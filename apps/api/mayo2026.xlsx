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31.xml"/>
  <Override ContentType="application/vnd.openxmlformats-officedocument.drawingml.chart+xml" PartName="/xl/charts/chart26.xml"/>
  <Override ContentType="application/vnd.openxmlformats-officedocument.drawingml.chart+xml" PartName="/xl/charts/chart39.xml"/>
  <Override ContentType="application/vnd.openxmlformats-officedocument.drawingml.chart+xml" PartName="/xl/charts/chart35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34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38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29.xml"/>
  <Override ContentType="application/vnd.openxmlformats-officedocument.drawingml.chart+xml" PartName="/xl/charts/chart37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33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28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40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32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drawingml.chart+xml" PartName="/xl/charts/chart36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UEVO LUNES" sheetId="1" r:id="rId5"/>
    <sheet state="visible" name="NUEVO MARTES" sheetId="2" r:id="rId6"/>
    <sheet state="visible" name="NUEVO MIERCOLES" sheetId="3" r:id="rId7"/>
    <sheet state="visible" name="NUEVO JUEVES" sheetId="4" r:id="rId8"/>
    <sheet state="visible" name="NUEVO VIERNES" sheetId="5" r:id="rId9"/>
    <sheet state="visible" name="NUEVO FORMATO" sheetId="6" r:id="rId10"/>
    <sheet state="visible" name="FORMATO CORTO" sheetId="7" r:id="rId11"/>
    <sheet state="visible" name="FORMATO ALARGADO" sheetId="8" r:id="rId12"/>
  </sheets>
  <definedNames/>
  <calcPr/>
</workbook>
</file>

<file path=xl/sharedStrings.xml><?xml version="1.0" encoding="utf-8"?>
<sst xmlns="http://schemas.openxmlformats.org/spreadsheetml/2006/main" count="18035" uniqueCount="198">
  <si>
    <t>GRANDEZA</t>
  </si>
  <si>
    <t>CONTROL DE VENTAS PARA DIAS LUNES</t>
  </si>
  <si>
    <t>MES</t>
  </si>
  <si>
    <t>MAYO</t>
  </si>
  <si>
    <t>AÑO</t>
  </si>
  <si>
    <t>NUMERO DE CLIENTES</t>
  </si>
  <si>
    <t>PRODUCTO</t>
  </si>
  <si>
    <t>PAM</t>
  </si>
  <si>
    <t>MIN</t>
  </si>
  <si>
    <t>PAS</t>
  </si>
  <si>
    <t>ESP</t>
  </si>
  <si>
    <t>HIG</t>
  </si>
  <si>
    <t>NUE</t>
  </si>
  <si>
    <t>PRECIO ESTABLECIDO</t>
  </si>
  <si>
    <t>INVENTARIO INICIAL 1</t>
  </si>
  <si>
    <t>FRESCO</t>
  </si>
  <si>
    <t>INVENTARIO INICIAL 2</t>
  </si>
  <si>
    <t>INVENTARIO INICIAL 3</t>
  </si>
  <si>
    <t>INVENTARIO INICIAL 4</t>
  </si>
  <si>
    <t>CLIENTE 1</t>
  </si>
  <si>
    <t>PRECIO CLIENTE</t>
  </si>
  <si>
    <t>IMPORTE</t>
  </si>
  <si>
    <t>INCIDENTES</t>
  </si>
  <si>
    <t>Clave</t>
  </si>
  <si>
    <t>COMPRA 0</t>
  </si>
  <si>
    <t>LE VENDIMOS</t>
  </si>
  <si>
    <t>C1</t>
  </si>
  <si>
    <t>SI VENDIÓ</t>
  </si>
  <si>
    <t>NO DIO TIEMPO</t>
  </si>
  <si>
    <t>Nombre</t>
  </si>
  <si>
    <t>REEMBOLSOS</t>
  </si>
  <si>
    <t>CERRADO</t>
  </si>
  <si>
    <t>KARINA CASTOÑO</t>
  </si>
  <si>
    <t>COMPRA 1</t>
  </si>
  <si>
    <t>VENTA</t>
  </si>
  <si>
    <t>VENTAS</t>
  </si>
  <si>
    <t>TENIA MUCHO PAN</t>
  </si>
  <si>
    <t>NOS FALTO</t>
  </si>
  <si>
    <t>TOTAL</t>
  </si>
  <si>
    <t>OTRO</t>
  </si>
  <si>
    <t>Negocio</t>
  </si>
  <si>
    <t>MISCELANEA LA PEQUEÑITA</t>
  </si>
  <si>
    <t>COMPRA 2</t>
  </si>
  <si>
    <t>Telefono</t>
  </si>
  <si>
    <t>722 647 9940</t>
  </si>
  <si>
    <t>Direccion</t>
  </si>
  <si>
    <t>P.º de las Flores 901, Delegación San Lorenzo Tepaltitlán I, Las Flores, 50010 San Lorenzo Tepaltitlán, Méx.</t>
  </si>
  <si>
    <t>COMPRA 3</t>
  </si>
  <si>
    <t>UBICACION</t>
  </si>
  <si>
    <t>COMPRA 4</t>
  </si>
  <si>
    <t>CLIENTE 2</t>
  </si>
  <si>
    <t>C2</t>
  </si>
  <si>
    <t>PEDRO SANCHEZ</t>
  </si>
  <si>
    <t>ABARROTES SANCHEZ</t>
  </si>
  <si>
    <t>722 225 2486</t>
  </si>
  <si>
    <t>Tenancingo 613, Colonia Sor Juana, Toluca MX</t>
  </si>
  <si>
    <t>CLIENTE 3</t>
  </si>
  <si>
    <t>C3</t>
  </si>
  <si>
    <t>DIANA</t>
  </si>
  <si>
    <t>MISCELANEA OLIMAY</t>
  </si>
  <si>
    <t>52 1 729 553 0875</t>
  </si>
  <si>
    <t>Felipe Villanueva 1100, Morelos Segunda Secc, 50120 Toluca de Lerdo, Méx.</t>
  </si>
  <si>
    <t>CLIENTE 4</t>
  </si>
  <si>
    <t>C4</t>
  </si>
  <si>
    <t xml:space="preserve">Juan Carlos </t>
  </si>
  <si>
    <t>CLIENTE 5</t>
  </si>
  <si>
    <t>C5</t>
  </si>
  <si>
    <t>Hugo</t>
  </si>
  <si>
    <t>CLIENTE 6</t>
  </si>
  <si>
    <t>C6</t>
  </si>
  <si>
    <t>Elsa</t>
  </si>
  <si>
    <t>CLIENTE 7</t>
  </si>
  <si>
    <t>C7</t>
  </si>
  <si>
    <t>MAXXI</t>
  </si>
  <si>
    <t>CLIENTE 8</t>
  </si>
  <si>
    <t>C8</t>
  </si>
  <si>
    <t xml:space="preserve">Carmen </t>
  </si>
  <si>
    <t>CLIENTE 9</t>
  </si>
  <si>
    <t>C9</t>
  </si>
  <si>
    <t>Daniel</t>
  </si>
  <si>
    <t>CLIENTE 10</t>
  </si>
  <si>
    <t>C10</t>
  </si>
  <si>
    <t>Aurelio</t>
  </si>
  <si>
    <t>CLIENTE 11</t>
  </si>
  <si>
    <t>C11</t>
  </si>
  <si>
    <t>Alberto</t>
  </si>
  <si>
    <t>CLIENTE 12</t>
  </si>
  <si>
    <t>C12</t>
  </si>
  <si>
    <t>Roberto</t>
  </si>
  <si>
    <t>CLIENTE 13</t>
  </si>
  <si>
    <t>C13</t>
  </si>
  <si>
    <t>Fernanda</t>
  </si>
  <si>
    <t>CLIENTE 14</t>
  </si>
  <si>
    <t>C14</t>
  </si>
  <si>
    <t xml:space="preserve">José </t>
  </si>
  <si>
    <t>CLIENTE 15</t>
  </si>
  <si>
    <t>C15</t>
  </si>
  <si>
    <t>CLIENTE 16</t>
  </si>
  <si>
    <t>C16</t>
  </si>
  <si>
    <t>CLIENTE 17</t>
  </si>
  <si>
    <t>C17</t>
  </si>
  <si>
    <t>CLIENTE 18</t>
  </si>
  <si>
    <t>C18</t>
  </si>
  <si>
    <t>CLIENTE 19</t>
  </si>
  <si>
    <t>C19</t>
  </si>
  <si>
    <t>CLIENTE 20</t>
  </si>
  <si>
    <t>C20</t>
  </si>
  <si>
    <t>CLIENTE 21</t>
  </si>
  <si>
    <t>C21</t>
  </si>
  <si>
    <t>CLIENTE 22</t>
  </si>
  <si>
    <t>C22</t>
  </si>
  <si>
    <t>CLIENTE 23</t>
  </si>
  <si>
    <t>C23</t>
  </si>
  <si>
    <t>CLIENTE 24</t>
  </si>
  <si>
    <t>C24</t>
  </si>
  <si>
    <t>CLIENTE 25</t>
  </si>
  <si>
    <t>C25</t>
  </si>
  <si>
    <t>EXT 1</t>
  </si>
  <si>
    <t>EXPLICACION</t>
  </si>
  <si>
    <t>AVERIA</t>
  </si>
  <si>
    <t>Alexis</t>
  </si>
  <si>
    <t>NO ALCANZO PAN</t>
  </si>
  <si>
    <t>FALTO TIEMPO</t>
  </si>
  <si>
    <t>EXT 2</t>
  </si>
  <si>
    <t>EXT 3</t>
  </si>
  <si>
    <t>EXT 4</t>
  </si>
  <si>
    <t>EXT 5</t>
  </si>
  <si>
    <t>EXT 6</t>
  </si>
  <si>
    <t>EXT 7</t>
  </si>
  <si>
    <t>EXT 8</t>
  </si>
  <si>
    <t>EXT 9</t>
  </si>
  <si>
    <t>EXT 10</t>
  </si>
  <si>
    <t>ENTREGA DE RESULTADOS</t>
  </si>
  <si>
    <t>INVENTARIO FINAL 1</t>
  </si>
  <si>
    <t>TOTAL 1</t>
  </si>
  <si>
    <t>Recibido</t>
  </si>
  <si>
    <t>Diferencia</t>
  </si>
  <si>
    <t>FRIO</t>
  </si>
  <si>
    <t>INVENTARIO FINAL 2</t>
  </si>
  <si>
    <t>TOTAL 2</t>
  </si>
  <si>
    <t>INVENTARIO FINAL 3</t>
  </si>
  <si>
    <t>TOTAL 3</t>
  </si>
  <si>
    <t>INVENTARIO FINAL 4</t>
  </si>
  <si>
    <t>TOTAL 4</t>
  </si>
  <si>
    <t>ESTADISTICAS POR SEMANA</t>
  </si>
  <si>
    <t>ACA</t>
  </si>
  <si>
    <t>MAN</t>
  </si>
  <si>
    <t xml:space="preserve">PIEZAS CAPITALIZADAS </t>
  </si>
  <si>
    <t>PIEZAS VENDIDAS</t>
  </si>
  <si>
    <t>PIEZAS FALTANTES</t>
  </si>
  <si>
    <t>PIEZAS REEMBOLSOS</t>
  </si>
  <si>
    <t>PRODUCCION IDEAL</t>
  </si>
  <si>
    <t>ESTADISTICAS DEL MES</t>
  </si>
  <si>
    <t>PIEZAS SOBRANTES</t>
  </si>
  <si>
    <t>CONTROL DE VENTAS PARA DIAS MARTES</t>
  </si>
  <si>
    <t>Leticia</t>
  </si>
  <si>
    <t xml:space="preserve">Jorge Hinojosa </t>
  </si>
  <si>
    <t>Marcos</t>
  </si>
  <si>
    <t>Caballitos</t>
  </si>
  <si>
    <t>Rosa Torres</t>
  </si>
  <si>
    <t>Alvaro</t>
  </si>
  <si>
    <t xml:space="preserve">Santiago </t>
  </si>
  <si>
    <t>Jose</t>
  </si>
  <si>
    <t>CONTROL DE VENTAS PARA DIAS MIERCOLES</t>
  </si>
  <si>
    <t>Daniela</t>
  </si>
  <si>
    <t>Teresa Rivera</t>
  </si>
  <si>
    <t>Juanitos</t>
  </si>
  <si>
    <t>Valente</t>
  </si>
  <si>
    <t>Super Ahorro</t>
  </si>
  <si>
    <t>Raul Castañeda</t>
  </si>
  <si>
    <t>Juan Bonanza</t>
  </si>
  <si>
    <t>Sauce</t>
  </si>
  <si>
    <t xml:space="preserve">Mario </t>
  </si>
  <si>
    <t>Mario</t>
  </si>
  <si>
    <t>Ricardo santoyo</t>
  </si>
  <si>
    <t>Toño</t>
  </si>
  <si>
    <t>CONTROL DE VENTAS PARA DIAS JEVES</t>
  </si>
  <si>
    <t>FRESAS</t>
  </si>
  <si>
    <t>722 308 2640</t>
  </si>
  <si>
    <t>Dr. Gustavo Baz 526, Valle Verde y Terminal, 50140 Toluca de Lerdo, Méx.</t>
  </si>
  <si>
    <t xml:space="preserve">Diana </t>
  </si>
  <si>
    <t xml:space="preserve">Gustavin </t>
  </si>
  <si>
    <t xml:space="preserve">Fernando </t>
  </si>
  <si>
    <t>Ricardo plebes</t>
  </si>
  <si>
    <t xml:space="preserve">Karina </t>
  </si>
  <si>
    <t xml:space="preserve">Polo </t>
  </si>
  <si>
    <t xml:space="preserve">Fernanda </t>
  </si>
  <si>
    <t>alexis</t>
  </si>
  <si>
    <t xml:space="preserve">maxxi </t>
  </si>
  <si>
    <t xml:space="preserve">Maxxi </t>
  </si>
  <si>
    <t xml:space="preserve">Juan bonanza </t>
  </si>
  <si>
    <t>Raul</t>
  </si>
  <si>
    <t xml:space="preserve">Valente </t>
  </si>
  <si>
    <t>CONTROL DE VENTAS PARA DIAS X</t>
  </si>
  <si>
    <t>R DE RICO</t>
  </si>
  <si>
    <t>RNA</t>
  </si>
  <si>
    <t>RNU</t>
  </si>
  <si>
    <t>RQZ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</si>
</sst>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$-80A]#,##0;\-[$$-80A]#,##0"/>
    <numFmt numFmtId="165" formatCode="d/MM/yyyy H:mm:ss"/>
  </numFmts>
  <fonts count="28">
    <font>
      <sz val="10.0"/>
      <color rgb="FF000000"/>
      <name val="Arial"/>
      <scheme val="minor"/>
    </font>
    <font>
      <b/>
      <sz val="25.0"/>
      <color rgb="FFF5F8FB"/>
      <name val="Arial"/>
    </font>
    <font/>
    <font>
      <b/>
      <sz val="12.0"/>
      <color rgb="FFFFFFFF"/>
      <name val="Arial"/>
    </font>
    <font>
      <color theme="1"/>
      <name val="Arial"/>
    </font>
    <font>
      <b/>
      <sz val="12.0"/>
      <color theme="1"/>
      <name val="Arial"/>
    </font>
    <font>
      <b/>
      <sz val="12.0"/>
      <color rgb="FF000000"/>
      <name val="Arial"/>
    </font>
    <font>
      <b/>
      <sz val="14.0"/>
      <color theme="1"/>
      <name val="Arial"/>
    </font>
    <font>
      <b/>
      <sz val="12.0"/>
      <color rgb="FFF5F8FB"/>
      <name val="Arial"/>
    </font>
    <font>
      <sz val="12.0"/>
      <color theme="1"/>
      <name val="Arial"/>
    </font>
    <font>
      <b/>
      <color rgb="FFFFFFFF"/>
      <name val="Arial"/>
    </font>
    <font>
      <b/>
      <sz val="23.0"/>
      <color theme="1"/>
      <name val="Arial"/>
    </font>
    <font>
      <sz val="12.0"/>
      <color rgb="FF000000"/>
      <name val="Arial"/>
    </font>
    <font>
      <color rgb="FFFFFFFF"/>
      <name val="Arial"/>
    </font>
    <font>
      <b/>
      <u/>
      <sz val="12.0"/>
      <color rgb="FF0000FF"/>
      <name val="Arial"/>
    </font>
    <font>
      <b/>
      <u/>
      <sz val="12.0"/>
      <color rgb="FF000000"/>
      <name val="Arial"/>
    </font>
    <font>
      <b/>
      <sz val="18.0"/>
      <color rgb="FFFFFFFF"/>
      <name val="Arial"/>
    </font>
    <font>
      <b/>
      <sz val="18.0"/>
      <color rgb="FFF5F8FB"/>
      <name val="Arial"/>
    </font>
    <font>
      <b/>
      <sz val="11.0"/>
      <color theme="1"/>
      <name val="Arial"/>
    </font>
    <font>
      <b/>
      <sz val="11.0"/>
      <color rgb="FFF5F8FB"/>
      <name val="Arial"/>
    </font>
    <font>
      <b/>
      <sz val="20.0"/>
      <color rgb="FFFFFFFF"/>
      <name val="Arial"/>
    </font>
    <font>
      <b/>
      <sz val="36.0"/>
      <color theme="1"/>
      <name val="Arial"/>
    </font>
    <font>
      <b/>
      <sz val="24.0"/>
      <color theme="1"/>
      <name val="Arial"/>
    </font>
    <font>
      <b/>
      <sz val="14.0"/>
      <color rgb="FFFFFFFF"/>
      <name val="Arial"/>
    </font>
    <font>
      <sz val="12.0"/>
      <color rgb="FFFFFFFF"/>
      <name val="Arial"/>
    </font>
    <font>
      <b/>
      <sz val="23.0"/>
      <color rgb="FF000000"/>
      <name val="Arial"/>
    </font>
    <font>
      <b/>
      <sz val="36.0"/>
      <color rgb="FF000000"/>
      <name val="Arial"/>
    </font>
    <font>
      <b/>
      <sz val="24.0"/>
      <color rgb="FF000000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B7B7B7"/>
        <bgColor rgb="FFB7B7B7"/>
      </patternFill>
    </fill>
    <fill>
      <patternFill patternType="solid">
        <fgColor rgb="FFDBB374"/>
        <bgColor rgb="FFDBB374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E4CEA3"/>
        <bgColor rgb="FFE4CEA3"/>
      </patternFill>
    </fill>
    <fill>
      <patternFill patternType="solid">
        <fgColor rgb="FF9ED84A"/>
        <bgColor rgb="FF9ED84A"/>
      </patternFill>
    </fill>
    <fill>
      <patternFill patternType="solid">
        <fgColor rgb="FFF06753"/>
        <bgColor rgb="FFF06753"/>
      </patternFill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  <fill>
      <patternFill patternType="solid">
        <fgColor rgb="FF995116"/>
        <bgColor rgb="FF995116"/>
      </patternFill>
    </fill>
    <fill>
      <patternFill patternType="solid">
        <fgColor rgb="FFD3AB75"/>
        <bgColor rgb="FFD3AB75"/>
      </patternFill>
    </fill>
    <fill>
      <patternFill patternType="solid">
        <fgColor rgb="FFFFFF00"/>
        <bgColor rgb="FFFFFF00"/>
      </patternFill>
    </fill>
    <fill>
      <patternFill patternType="solid">
        <fgColor rgb="FF1C4587"/>
        <bgColor rgb="FF1C4587"/>
      </patternFill>
    </fill>
    <fill>
      <patternFill patternType="solid">
        <fgColor rgb="FF666666"/>
        <bgColor rgb="FF666666"/>
      </patternFill>
    </fill>
    <fill>
      <patternFill patternType="solid">
        <fgColor rgb="FFB4A7D6"/>
        <bgColor rgb="FFB4A7D6"/>
      </patternFill>
    </fill>
    <fill>
      <patternFill patternType="solid">
        <fgColor rgb="FFAB751A"/>
        <bgColor rgb="FFAB751A"/>
      </patternFill>
    </fill>
    <fill>
      <patternFill patternType="solid">
        <fgColor rgb="FFD5D7D9"/>
        <bgColor rgb="FFD5D7D9"/>
      </patternFill>
    </fill>
    <fill>
      <patternFill patternType="solid">
        <fgColor rgb="FFD9D9D9"/>
        <bgColor rgb="FFD9D9D9"/>
      </patternFill>
    </fill>
    <fill>
      <patternFill patternType="solid">
        <fgColor rgb="FFFF9900"/>
        <bgColor rgb="FFFF9900"/>
      </patternFill>
    </fill>
  </fills>
  <borders count="110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/>
      <bottom/>
    </border>
    <border>
      <top/>
      <bottom/>
    </border>
    <border>
      <right style="thick">
        <color rgb="FF000000"/>
      </right>
      <top/>
      <bottom/>
    </border>
    <border>
      <right style="medium">
        <color rgb="FF000000"/>
      </right>
      <bottom style="medium">
        <color rgb="FF000000"/>
      </bottom>
    </border>
    <border>
      <top/>
    </border>
    <border>
      <right style="thick">
        <color rgb="FF000000"/>
      </right>
      <top/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/>
    </border>
    <border>
      <right style="thick">
        <color rgb="FF000000"/>
      </right>
      <bottom/>
    </border>
    <border>
      <right style="thin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bottom/>
    </border>
    <border>
      <right style="thin">
        <color rgb="FFD9D9D9"/>
      </right>
      <bottom style="thin">
        <color rgb="FFD9D9D9"/>
      </bottom>
    </border>
    <border>
      <right style="thick">
        <color rgb="FF000000"/>
      </right>
      <bottom style="thin">
        <color rgb="FFD9D9D9"/>
      </bottom>
    </border>
    <border>
      <right style="thin">
        <color rgb="FFD9D9D9"/>
      </right>
      <bottom style="thick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n">
        <color rgb="FF000000"/>
      </right>
      <bottom style="medium">
        <color rgb="FF000000"/>
      </bottom>
    </border>
    <border>
      <top style="thick">
        <color rgb="FF000000"/>
      </top>
      <bottom style="thick">
        <color rgb="FF000000"/>
      </bottom>
    </border>
    <border>
      <left style="medium">
        <color rgb="FF000000"/>
      </left>
      <bottom style="thick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  <bottom/>
    </border>
    <border>
      <top style="thick">
        <color rgb="FF000000"/>
      </top>
      <bottom/>
    </border>
    <border>
      <right style="thick">
        <color rgb="FF000000"/>
      </right>
      <top style="thick">
        <color rgb="FF000000"/>
      </top>
      <bottom/>
    </border>
    <border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/>
      <bottom style="thick">
        <color rgb="FF000000"/>
      </bottom>
    </border>
    <border>
      <top/>
      <bottom style="thick">
        <color rgb="FF000000"/>
      </bottom>
    </border>
    <border>
      <right/>
      <top/>
      <bottom style="thick">
        <color rgb="FF000000"/>
      </bottom>
    </border>
    <border>
      <right/>
      <top style="thick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left/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D9D9D9"/>
      </right>
      <top style="thick">
        <color rgb="FF000000"/>
      </top>
      <bottom style="thin">
        <color rgb="FFD9D9D9"/>
      </bottom>
    </border>
    <border>
      <left style="thin">
        <color rgb="FFD9D9D9"/>
      </left>
      <right style="thick">
        <color rgb="FF000000"/>
      </right>
      <top style="thick">
        <color rgb="FF000000"/>
      </top>
      <bottom style="thin">
        <color rgb="FFD9D9D9"/>
      </bottom>
    </border>
    <border>
      <left style="thin">
        <color rgb="FF000000"/>
      </left>
      <right/>
      <top/>
      <bottom/>
    </border>
    <border>
      <left/>
      <right style="thick">
        <color rgb="FF000000"/>
      </right>
      <top/>
      <bottom/>
    </border>
    <border>
      <left style="thick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ck">
        <color rgb="FF000000"/>
      </righ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000000"/>
      </left>
      <right/>
      <top/>
      <bottom style="thick">
        <color rgb="FF000000"/>
      </bottom>
    </border>
    <border>
      <left/>
      <right style="thick">
        <color rgb="FF000000"/>
      </right>
      <top/>
      <bottom style="thick">
        <color rgb="FF000000"/>
      </bottom>
    </border>
    <border>
      <left style="thick">
        <color rgb="FF000000"/>
      </left>
      <right style="thin">
        <color rgb="FFD9D9D9"/>
      </right>
      <top style="thin">
        <color rgb="FFD9D9D9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D9D9D9"/>
      </left>
      <right style="thick">
        <color rgb="FF000000"/>
      </right>
      <top style="thin">
        <color rgb="FFD9D9D9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  <top style="medium">
        <color rgb="FF000000"/>
      </top>
      <bottom style="thick">
        <color rgb="FF000000"/>
      </bottom>
    </border>
    <border>
      <left style="thin">
        <color rgb="FF000000"/>
      </left>
      <right/>
      <top/>
    </border>
    <border>
      <left/>
      <right style="thick">
        <color rgb="FF000000"/>
      </right>
      <top/>
    </border>
    <border>
      <left style="thin">
        <color rgb="FF000000"/>
      </left>
      <right/>
      <top style="thick">
        <color rgb="FF000000"/>
      </top>
      <bottom/>
    </border>
    <border>
      <left/>
      <right style="thick">
        <color rgb="FF000000"/>
      </right>
      <top style="thick">
        <color rgb="FF000000"/>
      </top>
      <bottom/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D9D9D9"/>
      </right>
      <top style="thin">
        <color rgb="FFD9D9D9"/>
      </top>
      <bottom style="thick">
        <color rgb="FF000000"/>
      </bottom>
    </border>
    <border>
      <left style="thin">
        <color rgb="FFD9D9D9"/>
      </left>
      <right style="thick">
        <color rgb="FF000000"/>
      </right>
      <top style="thin">
        <color rgb="FFD9D9D9"/>
      </top>
      <bottom style="thick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right/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ck">
        <color rgb="FF000000"/>
      </right>
    </border>
    <border>
      <left style="medium">
        <color rgb="FF000000"/>
      </left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right/>
      <bottom style="thick">
        <color rgb="FF000000"/>
      </bottom>
    </border>
    <border>
      <left/>
      <right style="thick">
        <color rgb="FF000000"/>
      </right>
      <bottom style="thick">
        <color rgb="FF000000"/>
      </bottom>
    </border>
    <border>
      <right/>
      <top style="thick">
        <color rgb="FF000000"/>
      </top>
    </border>
    <border>
      <left/>
      <right style="thick">
        <color rgb="FF000000"/>
      </right>
      <top style="thick">
        <color rgb="FF000000"/>
      </top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readingOrder="0" shrinkToFit="0" wrapText="1"/>
    </xf>
    <xf borderId="5" fillId="0" fontId="2" numFmtId="0" xfId="0" applyBorder="1" applyFont="1"/>
    <xf borderId="4" fillId="2" fontId="3" numFmtId="0" xfId="0" applyAlignment="1" applyBorder="1" applyFont="1">
      <alignment horizontal="center" shrinkToFit="0" vertical="bottom" wrapText="1"/>
    </xf>
    <xf borderId="6" fillId="3" fontId="4" numFmtId="0" xfId="0" applyAlignment="1" applyBorder="1" applyFill="1" applyFont="1">
      <alignment readingOrder="0"/>
    </xf>
    <xf borderId="5" fillId="2" fontId="3" numFmtId="0" xfId="0" applyAlignment="1" applyBorder="1" applyFont="1">
      <alignment horizontal="center" shrinkToFit="0" vertical="bottom" wrapText="1"/>
    </xf>
    <xf borderId="7" fillId="3" fontId="5" numFmtId="0" xfId="0" applyAlignment="1" applyBorder="1" applyFont="1">
      <alignment horizontal="center" readingOrder="0" shrinkToFit="0" vertical="bottom" wrapText="1"/>
    </xf>
    <xf borderId="8" fillId="0" fontId="2" numFmtId="0" xfId="0" applyBorder="1" applyFont="1"/>
    <xf borderId="0" fillId="2" fontId="3" numFmtId="0" xfId="0" applyAlignment="1" applyFont="1">
      <alignment horizontal="right"/>
    </xf>
    <xf borderId="6" fillId="3" fontId="5" numFmtId="0" xfId="0" applyAlignment="1" applyBorder="1" applyFont="1">
      <alignment horizontal="center"/>
    </xf>
    <xf borderId="0" fillId="2" fontId="6" numFmtId="0" xfId="0" applyAlignment="1" applyFont="1">
      <alignment horizontal="center" shrinkToFit="0" vertical="center" wrapText="0"/>
    </xf>
    <xf borderId="9" fillId="2" fontId="6" numFmtId="0" xfId="0" applyAlignment="1" applyBorder="1" applyFont="1">
      <alignment horizontal="center" readingOrder="0" shrinkToFit="0" vertical="center" wrapText="1"/>
    </xf>
    <xf borderId="10" fillId="0" fontId="2" numFmtId="0" xfId="0" applyBorder="1" applyFont="1"/>
    <xf borderId="11" fillId="0" fontId="2" numFmtId="0" xfId="0" applyBorder="1" applyFont="1"/>
    <xf borderId="4" fillId="2" fontId="3" numFmtId="0" xfId="0" applyAlignment="1" applyBorder="1" applyFont="1">
      <alignment horizontal="right" shrinkToFit="0" wrapText="1"/>
    </xf>
    <xf borderId="12" fillId="4" fontId="3" numFmtId="0" xfId="0" applyAlignment="1" applyBorder="1" applyFill="1" applyFont="1">
      <alignment horizontal="center" vertical="bottom"/>
    </xf>
    <xf borderId="12" fillId="4" fontId="3" numFmtId="0" xfId="0" applyAlignment="1" applyBorder="1" applyFont="1">
      <alignment horizontal="center" vertical="bottom"/>
    </xf>
    <xf borderId="13" fillId="2" fontId="6" numFmtId="0" xfId="0" applyAlignment="1" applyBorder="1" applyFont="1">
      <alignment horizontal="center" shrinkToFit="0" vertical="center" wrapText="0"/>
    </xf>
    <xf borderId="13" fillId="0" fontId="2" numFmtId="0" xfId="0" applyBorder="1" applyFont="1"/>
    <xf borderId="14" fillId="0" fontId="2" numFmtId="0" xfId="0" applyBorder="1" applyFont="1"/>
    <xf borderId="15" fillId="2" fontId="3" numFmtId="0" xfId="0" applyAlignment="1" applyBorder="1" applyFont="1">
      <alignment horizontal="right" shrinkToFit="0" wrapText="1"/>
    </xf>
    <xf borderId="16" fillId="0" fontId="2" numFmtId="0" xfId="0" applyBorder="1" applyFont="1"/>
    <xf borderId="17" fillId="0" fontId="2" numFmtId="0" xfId="0" applyBorder="1" applyFont="1"/>
    <xf borderId="18" fillId="5" fontId="5" numFmtId="164" xfId="0" applyAlignment="1" applyBorder="1" applyFill="1" applyFont="1" applyNumberFormat="1">
      <alignment horizontal="center" readingOrder="0" vertical="bottom"/>
    </xf>
    <xf borderId="19" fillId="5" fontId="5" numFmtId="164" xfId="0" applyAlignment="1" applyBorder="1" applyFont="1" applyNumberFormat="1">
      <alignment horizontal="center" readingOrder="0" vertical="bottom"/>
    </xf>
    <xf borderId="20" fillId="5" fontId="5" numFmtId="164" xfId="0" applyAlignment="1" applyBorder="1" applyFont="1" applyNumberFormat="1">
      <alignment horizontal="center" readingOrder="0" vertical="bottom"/>
    </xf>
    <xf borderId="21" fillId="0" fontId="2" numFmtId="0" xfId="0" applyBorder="1" applyFont="1"/>
    <xf borderId="22" fillId="0" fontId="2" numFmtId="0" xfId="0" applyBorder="1" applyFont="1"/>
    <xf borderId="15" fillId="6" fontId="7" numFmtId="0" xfId="0" applyAlignment="1" applyBorder="1" applyFill="1" applyFont="1">
      <alignment horizontal="center" shrinkToFit="0" wrapText="1"/>
    </xf>
    <xf borderId="16" fillId="7" fontId="5" numFmtId="0" xfId="0" applyAlignment="1" applyBorder="1" applyFill="1" applyFont="1">
      <alignment horizontal="right" vertical="bottom"/>
    </xf>
    <xf borderId="23" fillId="0" fontId="2" numFmtId="0" xfId="0" applyBorder="1" applyFont="1"/>
    <xf borderId="23" fillId="8" fontId="7" numFmtId="0" xfId="0" applyAlignment="1" applyBorder="1" applyFill="1" applyFont="1">
      <alignment horizontal="center" vertical="bottom"/>
    </xf>
    <xf borderId="23" fillId="8" fontId="7" numFmtId="0" xfId="0" applyAlignment="1" applyBorder="1" applyFont="1">
      <alignment horizontal="center" readingOrder="0" vertical="bottom"/>
    </xf>
    <xf borderId="17" fillId="8" fontId="7" numFmtId="0" xfId="0" applyAlignment="1" applyBorder="1" applyFont="1">
      <alignment horizontal="center" readingOrder="0" vertical="bottom"/>
    </xf>
    <xf borderId="4" fillId="6" fontId="6" numFmtId="0" xfId="0" applyAlignment="1" applyBorder="1" applyFont="1">
      <alignment horizontal="center" shrinkToFit="0" vertical="center" wrapText="0"/>
    </xf>
    <xf borderId="4" fillId="0" fontId="2" numFmtId="0" xfId="0" applyBorder="1" applyFont="1"/>
    <xf borderId="23" fillId="8" fontId="7" numFmtId="0" xfId="0" applyAlignment="1" applyBorder="1" applyFont="1">
      <alignment horizontal="center" vertical="bottom"/>
    </xf>
    <xf borderId="17" fillId="8" fontId="7" numFmtId="0" xfId="0" applyAlignment="1" applyBorder="1" applyFont="1">
      <alignment horizontal="center" vertical="bottom"/>
    </xf>
    <xf borderId="24" fillId="2" fontId="8" numFmtId="0" xfId="0" applyAlignment="1" applyBorder="1" applyFont="1">
      <alignment horizontal="center" shrinkToFit="0" vertical="bottom" wrapText="1"/>
    </xf>
    <xf borderId="16" fillId="2" fontId="8" numFmtId="0" xfId="0" applyAlignment="1" applyBorder="1" applyFont="1">
      <alignment horizontal="center"/>
    </xf>
    <xf borderId="23" fillId="2" fontId="3" numFmtId="164" xfId="0" applyAlignment="1" applyBorder="1" applyFont="1" applyNumberFormat="1">
      <alignment horizontal="center" vertical="bottom"/>
    </xf>
    <xf borderId="16" fillId="2" fontId="3" numFmtId="164" xfId="0" applyAlignment="1" applyBorder="1" applyFont="1" applyNumberFormat="1">
      <alignment horizontal="center" vertical="bottom"/>
    </xf>
    <xf borderId="16" fillId="2" fontId="3" numFmtId="0" xfId="0" applyAlignment="1" applyBorder="1" applyFont="1">
      <alignment horizontal="center" vertical="bottom"/>
    </xf>
    <xf borderId="25" fillId="4" fontId="3" numFmtId="0" xfId="0" applyAlignment="1" applyBorder="1" applyFont="1">
      <alignment horizontal="center" shrinkToFit="0" wrapText="1"/>
    </xf>
    <xf borderId="23" fillId="7" fontId="5" numFmtId="0" xfId="0" applyAlignment="1" applyBorder="1" applyFont="1">
      <alignment horizontal="center"/>
    </xf>
    <xf borderId="23" fillId="7" fontId="4" numFmtId="0" xfId="0" applyAlignment="1" applyBorder="1" applyFont="1">
      <alignment vertical="bottom"/>
    </xf>
    <xf borderId="16" fillId="7" fontId="8" numFmtId="0" xfId="0" applyAlignment="1" applyBorder="1" applyFont="1">
      <alignment horizontal="center" shrinkToFit="0" vertical="center" wrapText="0"/>
    </xf>
    <xf borderId="7" fillId="7" fontId="9" numFmtId="0" xfId="0" applyBorder="1" applyFont="1"/>
    <xf borderId="25" fillId="4" fontId="10" numFmtId="0" xfId="0" applyAlignment="1" applyBorder="1" applyFont="1">
      <alignment horizontal="center" readingOrder="0"/>
    </xf>
    <xf borderId="26" fillId="6" fontId="11" numFmtId="0" xfId="0" applyAlignment="1" applyBorder="1" applyFont="1">
      <alignment horizontal="center"/>
    </xf>
    <xf borderId="27" fillId="9" fontId="5" numFmtId="0" xfId="0" applyAlignment="1" applyBorder="1" applyFill="1" applyFont="1">
      <alignment horizontal="right" vertical="bottom"/>
    </xf>
    <xf borderId="20" fillId="0" fontId="2" numFmtId="0" xfId="0" applyBorder="1" applyFont="1"/>
    <xf borderId="20" fillId="10" fontId="5" numFmtId="1" xfId="0" applyAlignment="1" applyBorder="1" applyFill="1" applyFont="1" applyNumberFormat="1">
      <alignment horizontal="center" vertical="bottom"/>
    </xf>
    <xf borderId="28" fillId="9" fontId="12" numFmtId="0" xfId="0" applyAlignment="1" applyBorder="1" applyFont="1">
      <alignment horizontal="center" shrinkToFit="0" vertical="center" wrapText="0"/>
    </xf>
    <xf borderId="29" fillId="9" fontId="9" numFmtId="0" xfId="0" applyAlignment="1" applyBorder="1" applyFont="1">
      <alignment horizontal="right" vertical="bottom"/>
    </xf>
    <xf borderId="30" fillId="9" fontId="4" numFmtId="0" xfId="0" applyBorder="1" applyFont="1"/>
    <xf borderId="26" fillId="0" fontId="2" numFmtId="0" xfId="0" applyBorder="1" applyFont="1"/>
    <xf borderId="20" fillId="11" fontId="4" numFmtId="1" xfId="0" applyAlignment="1" applyBorder="1" applyFill="1" applyFont="1" applyNumberFormat="1">
      <alignment vertical="bottom"/>
    </xf>
    <xf borderId="0" fillId="9" fontId="5" numFmtId="0" xfId="0" applyAlignment="1" applyFont="1">
      <alignment horizontal="center" vertical="bottom"/>
    </xf>
    <xf borderId="5" fillId="9" fontId="5" numFmtId="164" xfId="0" applyAlignment="1" applyBorder="1" applyFont="1" applyNumberFormat="1">
      <alignment horizontal="center" vertical="bottom"/>
    </xf>
    <xf borderId="30" fillId="9" fontId="4" numFmtId="0" xfId="0" applyBorder="1" applyFont="1"/>
    <xf borderId="25" fillId="4" fontId="13" numFmtId="0" xfId="0" applyAlignment="1" applyBorder="1" applyFont="1">
      <alignment horizontal="center" readingOrder="0" shrinkToFit="0" vertical="center" wrapText="1"/>
    </xf>
    <xf borderId="26" fillId="6" fontId="5" numFmtId="0" xfId="0" applyAlignment="1" applyBorder="1" applyFont="1">
      <alignment horizontal="center"/>
    </xf>
    <xf borderId="20" fillId="0" fontId="4" numFmtId="1" xfId="0" applyAlignment="1" applyBorder="1" applyFont="1" applyNumberFormat="1">
      <alignment vertical="bottom"/>
    </xf>
    <xf borderId="0" fillId="9" fontId="5" numFmtId="0" xfId="0" applyAlignment="1" applyFont="1">
      <alignment horizontal="center"/>
    </xf>
    <xf borderId="25" fillId="0" fontId="2" numFmtId="0" xfId="0" applyBorder="1" applyFont="1"/>
    <xf borderId="23" fillId="6" fontId="4" numFmtId="165" xfId="0" applyBorder="1" applyFont="1" applyNumberFormat="1"/>
    <xf borderId="16" fillId="9" fontId="5" numFmtId="0" xfId="0" applyAlignment="1" applyBorder="1" applyFont="1">
      <alignment horizontal="right" vertical="bottom"/>
    </xf>
    <xf borderId="23" fillId="7" fontId="4" numFmtId="1" xfId="0" applyAlignment="1" applyBorder="1" applyFont="1" applyNumberFormat="1">
      <alignment vertical="bottom"/>
    </xf>
    <xf borderId="16" fillId="9" fontId="5" numFmtId="0" xfId="0" applyAlignment="1" applyBorder="1" applyFont="1">
      <alignment horizontal="center" vertical="bottom"/>
    </xf>
    <xf borderId="17" fillId="9" fontId="5" numFmtId="164" xfId="0" applyAlignment="1" applyBorder="1" applyFont="1" applyNumberFormat="1">
      <alignment horizontal="center" vertical="bottom"/>
    </xf>
    <xf borderId="31" fillId="9" fontId="9" numFmtId="0" xfId="0" applyAlignment="1" applyBorder="1" applyFont="1">
      <alignment horizontal="right" vertical="bottom"/>
    </xf>
    <xf borderId="17" fillId="9" fontId="4" numFmtId="0" xfId="0" applyBorder="1" applyFont="1"/>
    <xf borderId="20" fillId="0" fontId="4" numFmtId="1" xfId="0" applyAlignment="1" applyBorder="1" applyFont="1" applyNumberFormat="1">
      <alignment readingOrder="0" vertical="bottom"/>
    </xf>
    <xf borderId="25" fillId="4" fontId="13" numFmtId="0" xfId="0" applyAlignment="1" applyBorder="1" applyFont="1">
      <alignment horizontal="left" readingOrder="0" shrinkToFit="0" vertical="center" wrapText="0"/>
    </xf>
    <xf borderId="32" fillId="12" fontId="5" numFmtId="0" xfId="0" applyAlignment="1" applyBorder="1" applyFill="1" applyFont="1">
      <alignment horizontal="center" shrinkToFit="0" wrapText="1"/>
    </xf>
    <xf borderId="25" fillId="13" fontId="14" numFmtId="0" xfId="0" applyAlignment="1" applyBorder="1" applyFill="1" applyFont="1">
      <alignment horizontal="center" readingOrder="0" shrinkToFit="0" vertical="center" wrapText="1"/>
    </xf>
    <xf borderId="33" fillId="0" fontId="2" numFmtId="0" xfId="0" applyBorder="1" applyFont="1"/>
    <xf borderId="20" fillId="7" fontId="4" numFmtId="1" xfId="0" applyAlignment="1" applyBorder="1" applyFont="1" applyNumberFormat="1">
      <alignment vertical="bottom"/>
    </xf>
    <xf borderId="34" fillId="7" fontId="4" numFmtId="1" xfId="0" applyAlignment="1" applyBorder="1" applyFont="1" applyNumberFormat="1">
      <alignment vertical="bottom"/>
    </xf>
    <xf borderId="24" fillId="2" fontId="8" numFmtId="0" xfId="0" applyAlignment="1" applyBorder="1" applyFont="1">
      <alignment horizontal="center" shrinkToFit="0" vertical="bottom" wrapText="1"/>
    </xf>
    <xf borderId="20" fillId="11" fontId="4" numFmtId="1" xfId="0" applyAlignment="1" applyBorder="1" applyFont="1" applyNumberFormat="1">
      <alignment readingOrder="0" vertical="bottom"/>
    </xf>
    <xf borderId="25" fillId="13" fontId="4" numFmtId="0" xfId="0" applyBorder="1" applyFont="1"/>
    <xf borderId="0" fillId="9" fontId="5" numFmtId="0" xfId="0" applyAlignment="1" applyFont="1">
      <alignment horizontal="right" vertical="bottom"/>
    </xf>
    <xf borderId="25" fillId="13" fontId="15" numFmtId="0" xfId="0" applyAlignment="1" applyBorder="1" applyFont="1">
      <alignment horizontal="center" readingOrder="0" shrinkToFit="0" vertical="center" wrapText="1"/>
    </xf>
    <xf borderId="25" fillId="4" fontId="3" numFmtId="0" xfId="0" applyAlignment="1" applyBorder="1" applyFont="1">
      <alignment horizontal="center" shrinkToFit="0" vertical="bottom" wrapText="1"/>
    </xf>
    <xf borderId="25" fillId="4" fontId="13" numFmtId="0" xfId="0" applyAlignment="1" applyBorder="1" applyFont="1">
      <alignment horizontal="center" shrinkToFit="0" wrapText="1"/>
    </xf>
    <xf borderId="25" fillId="4" fontId="4" numFmtId="0" xfId="0" applyBorder="1" applyFont="1"/>
    <xf borderId="32" fillId="12" fontId="5" numFmtId="0" xfId="0" applyAlignment="1" applyBorder="1" applyFont="1">
      <alignment horizontal="center" shrinkToFit="0" vertical="bottom" wrapText="1"/>
    </xf>
    <xf borderId="25" fillId="4" fontId="4" numFmtId="0" xfId="0" applyBorder="1" applyFont="1"/>
    <xf borderId="26" fillId="7" fontId="4" numFmtId="1" xfId="0" applyAlignment="1" applyBorder="1" applyFont="1" applyNumberFormat="1">
      <alignment vertical="bottom"/>
    </xf>
    <xf borderId="6" fillId="14" fontId="8" numFmtId="0" xfId="0" applyAlignment="1" applyBorder="1" applyFill="1" applyFont="1">
      <alignment horizontal="center" shrinkToFit="0" vertical="bottom" wrapText="1"/>
    </xf>
    <xf borderId="35" fillId="14" fontId="8" numFmtId="0" xfId="0" applyAlignment="1" applyBorder="1" applyFont="1">
      <alignment horizontal="center"/>
    </xf>
    <xf borderId="35" fillId="0" fontId="2" numFmtId="0" xfId="0" applyBorder="1" applyFont="1"/>
    <xf borderId="8" fillId="14" fontId="8" numFmtId="164" xfId="0" applyAlignment="1" applyBorder="1" applyFont="1" applyNumberFormat="1">
      <alignment horizontal="center" vertical="bottom"/>
    </xf>
    <xf borderId="35" fillId="14" fontId="8" numFmtId="0" xfId="0" applyAlignment="1" applyBorder="1" applyFont="1">
      <alignment horizontal="center" vertical="bottom"/>
    </xf>
    <xf borderId="25" fillId="12" fontId="3" numFmtId="0" xfId="0" applyAlignment="1" applyBorder="1" applyFont="1">
      <alignment horizontal="center" shrinkToFit="0" wrapText="1"/>
    </xf>
    <xf borderId="26" fillId="15" fontId="11" numFmtId="0" xfId="0" applyAlignment="1" applyBorder="1" applyFill="1" applyFont="1">
      <alignment horizontal="center"/>
    </xf>
    <xf borderId="25" fillId="0" fontId="4" numFmtId="0" xfId="0" applyAlignment="1" applyBorder="1" applyFont="1">
      <alignment readingOrder="0"/>
    </xf>
    <xf borderId="23" fillId="15" fontId="5" numFmtId="165" xfId="0" applyAlignment="1" applyBorder="1" applyFont="1" applyNumberFormat="1">
      <alignment horizontal="center" shrinkToFit="0" wrapText="1"/>
    </xf>
    <xf borderId="25" fillId="0" fontId="4" numFmtId="0" xfId="0" applyBorder="1" applyFont="1"/>
    <xf borderId="36" fillId="12" fontId="16" numFmtId="0" xfId="0" applyAlignment="1" applyBorder="1" applyFont="1">
      <alignment horizontal="center" shrinkToFit="0" wrapText="1"/>
    </xf>
    <xf borderId="7" fillId="2" fontId="3" numFmtId="0" xfId="0" applyAlignment="1" applyBorder="1" applyFont="1">
      <alignment horizontal="center" readingOrder="0" shrinkToFit="0" vertical="center" wrapText="1"/>
    </xf>
    <xf borderId="16" fillId="2" fontId="3" numFmtId="0" xfId="0" applyAlignment="1" applyBorder="1" applyFont="1">
      <alignment horizontal="center" shrinkToFit="0" wrapText="1"/>
    </xf>
    <xf borderId="37" fillId="2" fontId="3" numFmtId="0" xfId="0" applyAlignment="1" applyBorder="1" applyFont="1">
      <alignment horizontal="center" readingOrder="0" shrinkToFit="0" vertical="center" wrapText="1"/>
    </xf>
    <xf borderId="38" fillId="0" fontId="2" numFmtId="0" xfId="0" applyBorder="1" applyFont="1"/>
    <xf borderId="4" fillId="14" fontId="16" numFmtId="0" xfId="0" applyAlignment="1" applyBorder="1" applyFont="1">
      <alignment horizontal="center" shrinkToFit="0" wrapText="1"/>
    </xf>
    <xf borderId="27" fillId="7" fontId="5" numFmtId="0" xfId="0" applyAlignment="1" applyBorder="1" applyFont="1">
      <alignment horizontal="right" vertical="bottom"/>
    </xf>
    <xf borderId="39" fillId="0" fontId="2" numFmtId="0" xfId="0" applyBorder="1" applyFont="1"/>
    <xf borderId="20" fillId="8" fontId="5" numFmtId="1" xfId="0" applyAlignment="1" applyBorder="1" applyFont="1" applyNumberFormat="1">
      <alignment horizontal="right" vertical="bottom"/>
    </xf>
    <xf borderId="39" fillId="8" fontId="5" numFmtId="1" xfId="0" applyAlignment="1" applyBorder="1" applyFont="1" applyNumberFormat="1">
      <alignment horizontal="right" vertical="bottom"/>
    </xf>
    <xf borderId="26" fillId="4" fontId="17" numFmtId="0" xfId="0" applyAlignment="1" applyBorder="1" applyFont="1">
      <alignment horizontal="center" vertical="bottom"/>
    </xf>
    <xf borderId="5" fillId="8" fontId="5" numFmtId="164" xfId="0" applyAlignment="1" applyBorder="1" applyFont="1" applyNumberFormat="1">
      <alignment horizontal="center" vertical="bottom"/>
    </xf>
    <xf borderId="40" fillId="14" fontId="9" numFmtId="0" xfId="0" applyBorder="1" applyFont="1"/>
    <xf borderId="41" fillId="0" fontId="2" numFmtId="0" xfId="0" applyBorder="1" applyFont="1"/>
    <xf borderId="27" fillId="16" fontId="5" numFmtId="0" xfId="0" applyAlignment="1" applyBorder="1" applyFill="1" applyFont="1">
      <alignment horizontal="right" vertical="bottom"/>
    </xf>
    <xf borderId="20" fillId="3" fontId="4" numFmtId="0" xfId="0" applyAlignment="1" applyBorder="1" applyFont="1">
      <alignment vertical="bottom"/>
    </xf>
    <xf borderId="39" fillId="3" fontId="4" numFmtId="0" xfId="0" applyAlignment="1" applyBorder="1" applyFont="1">
      <alignment vertical="bottom"/>
    </xf>
    <xf borderId="16" fillId="12" fontId="3" numFmtId="0" xfId="0" applyAlignment="1" applyBorder="1" applyFont="1">
      <alignment horizontal="right" vertical="bottom"/>
    </xf>
    <xf borderId="23" fillId="12" fontId="3" numFmtId="1" xfId="0" applyAlignment="1" applyBorder="1" applyFont="1" applyNumberFormat="1">
      <alignment horizontal="right" vertical="bottom"/>
    </xf>
    <xf borderId="17" fillId="12" fontId="3" numFmtId="1" xfId="0" applyAlignment="1" applyBorder="1" applyFont="1" applyNumberFormat="1">
      <alignment horizontal="right" vertical="bottom"/>
    </xf>
    <xf borderId="20" fillId="16" fontId="18" numFmtId="0" xfId="0" applyAlignment="1" applyBorder="1" applyFont="1">
      <alignment horizontal="center" vertical="bottom"/>
    </xf>
    <xf borderId="39" fillId="3" fontId="4" numFmtId="164" xfId="0" applyAlignment="1" applyBorder="1" applyFont="1" applyNumberFormat="1">
      <alignment vertical="bottom"/>
    </xf>
    <xf borderId="15" fillId="0" fontId="2" numFmtId="0" xfId="0" applyBorder="1" applyFont="1"/>
    <xf borderId="23" fillId="12" fontId="19" numFmtId="0" xfId="0" applyAlignment="1" applyBorder="1" applyFont="1">
      <alignment horizontal="center" vertical="bottom"/>
    </xf>
    <xf borderId="17" fillId="12" fontId="3" numFmtId="164" xfId="0" applyAlignment="1" applyBorder="1" applyFont="1" applyNumberFormat="1">
      <alignment horizontal="center" vertical="bottom"/>
    </xf>
    <xf borderId="27" fillId="0" fontId="2" numFmtId="0" xfId="0" applyBorder="1" applyFont="1"/>
    <xf borderId="16" fillId="2" fontId="3" numFmtId="0" xfId="0" applyAlignment="1" applyBorder="1" applyFont="1">
      <alignment horizontal="center" shrinkToFit="0" vertical="bottom" wrapText="1"/>
    </xf>
    <xf borderId="37" fillId="2" fontId="9" numFmtId="0" xfId="0" applyBorder="1" applyFont="1"/>
    <xf borderId="26" fillId="4" fontId="17" numFmtId="0" xfId="0" applyAlignment="1" applyBorder="1" applyFont="1">
      <alignment horizontal="center"/>
    </xf>
    <xf borderId="5" fillId="8" fontId="5" numFmtId="164" xfId="0" applyAlignment="1" applyBorder="1" applyFont="1" applyNumberFormat="1">
      <alignment horizontal="center"/>
    </xf>
    <xf borderId="20" fillId="16" fontId="18" numFmtId="0" xfId="0" applyAlignment="1" applyBorder="1" applyFont="1">
      <alignment horizontal="center"/>
    </xf>
    <xf borderId="39" fillId="3" fontId="4" numFmtId="164" xfId="0" applyBorder="1" applyFont="1" applyNumberFormat="1"/>
    <xf borderId="23" fillId="12" fontId="19" numFmtId="0" xfId="0" applyAlignment="1" applyBorder="1" applyFont="1">
      <alignment horizontal="center"/>
    </xf>
    <xf borderId="17" fillId="12" fontId="3" numFmtId="164" xfId="0" applyAlignment="1" applyBorder="1" applyFont="1" applyNumberFormat="1">
      <alignment horizontal="center"/>
    </xf>
    <xf borderId="15" fillId="17" fontId="20" numFmtId="0" xfId="0" applyAlignment="1" applyBorder="1" applyFill="1" applyFont="1">
      <alignment horizontal="center" shrinkToFit="0" wrapText="1"/>
    </xf>
    <xf borderId="33" fillId="2" fontId="4" numFmtId="0" xfId="0" applyBorder="1" applyFont="1"/>
    <xf borderId="17" fillId="2" fontId="4" numFmtId="0" xfId="0" applyBorder="1" applyFont="1"/>
    <xf borderId="42" fillId="18" fontId="3" numFmtId="0" xfId="0" applyAlignment="1" applyBorder="1" applyFill="1" applyFont="1">
      <alignment horizontal="center" vertical="bottom"/>
    </xf>
    <xf borderId="17" fillId="18" fontId="3" numFmtId="0" xfId="0" applyAlignment="1" applyBorder="1" applyFont="1">
      <alignment horizontal="center" vertical="bottom"/>
    </xf>
    <xf borderId="25" fillId="18" fontId="21" numFmtId="0" xfId="0" applyAlignment="1" applyBorder="1" applyFont="1">
      <alignment horizontal="center" shrinkToFit="0" wrapText="1"/>
    </xf>
    <xf borderId="27" fillId="7" fontId="5" numFmtId="0" xfId="0" applyAlignment="1" applyBorder="1" applyFont="1">
      <alignment horizontal="right" shrinkToFit="0" wrapText="1"/>
    </xf>
    <xf borderId="20" fillId="10" fontId="9" numFmtId="1" xfId="0" applyAlignment="1" applyBorder="1" applyFont="1" applyNumberFormat="1">
      <alignment horizontal="right" vertical="bottom"/>
    </xf>
    <xf borderId="39" fillId="10" fontId="9" numFmtId="1" xfId="0" applyAlignment="1" applyBorder="1" applyFont="1" applyNumberFormat="1">
      <alignment horizontal="right" vertical="bottom"/>
    </xf>
    <xf borderId="1" fillId="18" fontId="12" numFmtId="0" xfId="0" applyAlignment="1" applyBorder="1" applyFont="1">
      <alignment horizontal="center" shrinkToFit="0" vertical="center" wrapText="0"/>
    </xf>
    <xf borderId="27" fillId="7" fontId="5" numFmtId="0" xfId="0" applyAlignment="1" applyBorder="1" applyFont="1">
      <alignment horizontal="right" vertical="bottom"/>
    </xf>
    <xf borderId="20" fillId="3" fontId="9" numFmtId="1" xfId="0" applyAlignment="1" applyBorder="1" applyFont="1" applyNumberFormat="1">
      <alignment horizontal="right" vertical="bottom"/>
    </xf>
    <xf borderId="39" fillId="3" fontId="9" numFmtId="1" xfId="0" applyAlignment="1" applyBorder="1" applyFont="1" applyNumberFormat="1">
      <alignment horizontal="right" vertical="bottom"/>
    </xf>
    <xf borderId="20" fillId="7" fontId="9" numFmtId="1" xfId="0" applyAlignment="1" applyBorder="1" applyFont="1" applyNumberFormat="1">
      <alignment horizontal="right" vertical="bottom"/>
    </xf>
    <xf borderId="39" fillId="7" fontId="9" numFmtId="1" xfId="0" applyAlignment="1" applyBorder="1" applyFont="1" applyNumberFormat="1">
      <alignment horizontal="right" vertical="bottom"/>
    </xf>
    <xf borderId="23" fillId="11" fontId="9" numFmtId="1" xfId="0" applyAlignment="1" applyBorder="1" applyFont="1" applyNumberFormat="1">
      <alignment horizontal="right" vertical="bottom"/>
    </xf>
    <xf borderId="17" fillId="11" fontId="9" numFmtId="1" xfId="0" applyAlignment="1" applyBorder="1" applyFont="1" applyNumberFormat="1">
      <alignment horizontal="right" vertical="bottom"/>
    </xf>
    <xf borderId="16" fillId="7" fontId="5" numFmtId="0" xfId="0" applyAlignment="1" applyBorder="1" applyFont="1">
      <alignment horizontal="right" vertical="bottom"/>
    </xf>
    <xf borderId="23" fillId="19" fontId="9" numFmtId="1" xfId="0" applyAlignment="1" applyBorder="1" applyFill="1" applyFont="1" applyNumberFormat="1">
      <alignment horizontal="right" vertical="bottom"/>
    </xf>
    <xf borderId="17" fillId="19" fontId="9" numFmtId="1" xfId="0" applyAlignment="1" applyBorder="1" applyFont="1" applyNumberFormat="1">
      <alignment horizontal="right" vertical="bottom"/>
    </xf>
    <xf borderId="20" fillId="3" fontId="9" numFmtId="1" xfId="0" applyAlignment="1" applyBorder="1" applyFont="1" applyNumberFormat="1">
      <alignment horizontal="right" vertical="bottom"/>
    </xf>
    <xf borderId="39" fillId="3" fontId="9" numFmtId="1" xfId="0" applyAlignment="1" applyBorder="1" applyFont="1" applyNumberFormat="1">
      <alignment horizontal="right" vertical="bottom"/>
    </xf>
    <xf borderId="20" fillId="7" fontId="9" numFmtId="1" xfId="0" applyAlignment="1" applyBorder="1" applyFont="1" applyNumberFormat="1">
      <alignment horizontal="right" vertical="bottom"/>
    </xf>
    <xf borderId="39" fillId="7" fontId="9" numFmtId="1" xfId="0" applyAlignment="1" applyBorder="1" applyFont="1" applyNumberFormat="1">
      <alignment horizontal="right" vertical="bottom"/>
    </xf>
    <xf borderId="23" fillId="11" fontId="9" numFmtId="1" xfId="0" applyAlignment="1" applyBorder="1" applyFont="1" applyNumberFormat="1">
      <alignment horizontal="right" vertical="bottom"/>
    </xf>
    <xf borderId="17" fillId="11" fontId="9" numFmtId="1" xfId="0" applyAlignment="1" applyBorder="1" applyFont="1" applyNumberFormat="1">
      <alignment horizontal="right" vertical="bottom"/>
    </xf>
    <xf borderId="23" fillId="19" fontId="9" numFmtId="1" xfId="0" applyAlignment="1" applyBorder="1" applyFont="1" applyNumberFormat="1">
      <alignment horizontal="right" vertical="bottom"/>
    </xf>
    <xf borderId="17" fillId="19" fontId="9" numFmtId="1" xfId="0" applyAlignment="1" applyBorder="1" applyFont="1" applyNumberFormat="1">
      <alignment horizontal="right" vertical="bottom"/>
    </xf>
    <xf borderId="15" fillId="2" fontId="3" numFmtId="0" xfId="0" applyAlignment="1" applyBorder="1" applyFont="1">
      <alignment horizontal="center" shrinkToFit="0" wrapText="1"/>
    </xf>
    <xf borderId="25" fillId="18" fontId="22" numFmtId="0" xfId="0" applyAlignment="1" applyBorder="1" applyFont="1">
      <alignment horizontal="center" shrinkToFit="0" wrapText="1"/>
    </xf>
    <xf borderId="23" fillId="15" fontId="5" numFmtId="0" xfId="0" applyAlignment="1" applyBorder="1" applyFont="1">
      <alignment horizontal="center" readingOrder="0" shrinkToFit="0" wrapText="1"/>
    </xf>
    <xf borderId="20" fillId="3" fontId="4" numFmtId="0" xfId="0" applyAlignment="1" applyBorder="1" applyFont="1">
      <alignment readingOrder="0" vertical="bottom"/>
    </xf>
    <xf borderId="39" fillId="3" fontId="4" numFmtId="0" xfId="0" applyAlignment="1" applyBorder="1" applyFont="1">
      <alignment readingOrder="0" vertical="bottom"/>
    </xf>
    <xf borderId="25" fillId="12" fontId="3" numFmtId="0" xfId="0" applyAlignment="1" applyBorder="1" applyFont="1">
      <alignment horizontal="center" readingOrder="0" shrinkToFit="0" wrapText="1"/>
    </xf>
    <xf borderId="17" fillId="8" fontId="7" numFmtId="0" xfId="0" applyAlignment="1" applyBorder="1" applyFont="1">
      <alignment horizontal="center" vertical="bottom"/>
    </xf>
    <xf borderId="6" fillId="3" fontId="4" numFmtId="0" xfId="0" applyBorder="1" applyFont="1"/>
    <xf borderId="43" fillId="20" fontId="8" numFmtId="0" xfId="0" applyAlignment="1" applyBorder="1" applyFill="1" applyFont="1">
      <alignment horizontal="center" shrinkToFit="0" vertical="center" wrapText="1"/>
    </xf>
    <xf borderId="44" fillId="0" fontId="2" numFmtId="0" xfId="0" applyBorder="1" applyFont="1"/>
    <xf borderId="45" fillId="0" fontId="2" numFmtId="0" xfId="0" applyBorder="1" applyFont="1"/>
    <xf borderId="9" fillId="20" fontId="6" numFmtId="0" xfId="0" applyAlignment="1" applyBorder="1" applyFont="1">
      <alignment horizontal="center" shrinkToFit="0" vertical="center" wrapText="1"/>
    </xf>
    <xf borderId="9" fillId="20" fontId="6" numFmtId="0" xfId="0" applyAlignment="1" applyBorder="1" applyFont="1">
      <alignment horizontal="center" shrinkToFit="0" vertical="bottom" wrapText="1"/>
    </xf>
    <xf borderId="6" fillId="3" fontId="12" numFmtId="0" xfId="0" applyAlignment="1" applyBorder="1" applyFont="1">
      <alignment horizontal="center" shrinkToFit="0" vertical="center" wrapText="0"/>
    </xf>
    <xf borderId="0" fillId="20" fontId="6" numFmtId="0" xfId="0" applyAlignment="1" applyFont="1">
      <alignment horizontal="center" readingOrder="0" shrinkToFit="0" vertical="bottom" wrapText="1"/>
    </xf>
    <xf borderId="7" fillId="3" fontId="6" numFmtId="0" xfId="0" applyAlignment="1" applyBorder="1" applyFont="1">
      <alignment horizontal="center" readingOrder="0" shrinkToFit="0" vertical="bottom" wrapText="1"/>
    </xf>
    <xf borderId="0" fillId="20" fontId="6" numFmtId="0" xfId="0" applyAlignment="1" applyFont="1">
      <alignment horizontal="right" readingOrder="0" shrinkToFit="0" vertical="center" wrapText="0"/>
    </xf>
    <xf borderId="6" fillId="3" fontId="6" numFmtId="0" xfId="0" applyAlignment="1" applyBorder="1" applyFont="1">
      <alignment horizontal="center" shrinkToFit="0" vertical="center" wrapText="0"/>
    </xf>
    <xf borderId="0" fillId="20" fontId="6" numFmtId="0" xfId="0" applyAlignment="1" applyFont="1">
      <alignment horizontal="center" shrinkToFit="0" vertical="center" wrapText="0"/>
    </xf>
    <xf borderId="9" fillId="20" fontId="6" numFmtId="0" xfId="0" applyAlignment="1" applyBorder="1" applyFont="1">
      <alignment horizontal="center" readingOrder="0" shrinkToFit="0" vertical="center" wrapText="1"/>
    </xf>
    <xf borderId="9" fillId="20" fontId="6" numFmtId="0" xfId="0" applyAlignment="1" applyBorder="1" applyFont="1">
      <alignment horizontal="right" shrinkToFit="0" vertical="center" wrapText="1"/>
    </xf>
    <xf borderId="46" fillId="0" fontId="2" numFmtId="0" xfId="0" applyBorder="1" applyFont="1"/>
    <xf borderId="47" fillId="4" fontId="3" numFmtId="0" xfId="0" applyAlignment="1" applyBorder="1" applyFont="1">
      <alignment horizontal="center" shrinkToFit="0" vertical="bottom" wrapText="0"/>
    </xf>
    <xf borderId="47" fillId="4" fontId="3" numFmtId="0" xfId="0" applyAlignment="1" applyBorder="1" applyFont="1">
      <alignment horizontal="center" readingOrder="0" shrinkToFit="0" vertical="bottom" wrapText="0"/>
    </xf>
    <xf borderId="13" fillId="20" fontId="6" numFmtId="0" xfId="0" applyAlignment="1" applyBorder="1" applyFont="1">
      <alignment horizontal="center" shrinkToFit="0" vertical="center" wrapText="0"/>
    </xf>
    <xf borderId="48" fillId="20" fontId="6" numFmtId="0" xfId="0" applyAlignment="1" applyBorder="1" applyFont="1">
      <alignment horizontal="right" shrinkToFit="0" vertical="center" wrapText="1"/>
    </xf>
    <xf borderId="49" fillId="0" fontId="2" numFmtId="0" xfId="0" applyBorder="1" applyFont="1"/>
    <xf borderId="50" fillId="0" fontId="2" numFmtId="0" xfId="0" applyBorder="1" applyFont="1"/>
    <xf borderId="18" fillId="5" fontId="5" numFmtId="164" xfId="0" applyAlignment="1" applyBorder="1" applyFont="1" applyNumberFormat="1">
      <alignment horizontal="center" vertical="bottom"/>
    </xf>
    <xf borderId="19" fillId="5" fontId="5" numFmtId="164" xfId="0" applyAlignment="1" applyBorder="1" applyFont="1" applyNumberFormat="1">
      <alignment horizontal="center" vertical="bottom"/>
    </xf>
    <xf borderId="20" fillId="5" fontId="5" numFmtId="164" xfId="0" applyAlignment="1" applyBorder="1" applyFont="1" applyNumberFormat="1">
      <alignment horizontal="center" vertical="bottom"/>
    </xf>
    <xf borderId="7" fillId="4" fontId="23" numFmtId="0" xfId="0" applyAlignment="1" applyBorder="1" applyFont="1">
      <alignment horizontal="center" readingOrder="0" shrinkToFit="0" vertical="center" wrapText="1"/>
    </xf>
    <xf borderId="51" fillId="0" fontId="2" numFmtId="0" xfId="0" applyBorder="1" applyFont="1"/>
    <xf borderId="52" fillId="7" fontId="6" numFmtId="0" xfId="0" applyAlignment="1" applyBorder="1" applyFont="1">
      <alignment horizontal="right" shrinkToFit="0" vertical="bottom" wrapText="0"/>
    </xf>
    <xf borderId="53" fillId="0" fontId="2" numFmtId="0" xfId="0" applyBorder="1" applyFont="1"/>
    <xf borderId="54" fillId="8" fontId="12" numFmtId="0" xfId="0" applyAlignment="1" applyBorder="1" applyFont="1">
      <alignment horizontal="center" shrinkToFit="0" vertical="center" wrapText="0"/>
    </xf>
    <xf borderId="54" fillId="8" fontId="9" numFmtId="0" xfId="0" applyAlignment="1" applyBorder="1" applyFont="1">
      <alignment horizontal="center" vertical="center"/>
    </xf>
    <xf borderId="55" fillId="8" fontId="12" numFmtId="0" xfId="0" applyAlignment="1" applyBorder="1" applyFont="1">
      <alignment horizontal="center" shrinkToFit="0" vertical="center" wrapText="0"/>
    </xf>
    <xf borderId="1" fillId="4" fontId="6" numFmtId="0" xfId="0" applyAlignment="1" applyBorder="1" applyFont="1">
      <alignment horizontal="center" shrinkToFit="0" vertical="center" wrapText="0"/>
    </xf>
    <xf borderId="56" fillId="8" fontId="12" numFmtId="0" xfId="0" applyAlignment="1" applyBorder="1" applyFont="1">
      <alignment horizontal="center" shrinkToFit="0" vertical="center" wrapText="0"/>
    </xf>
    <xf borderId="56" fillId="8" fontId="9" numFmtId="0" xfId="0" applyAlignment="1" applyBorder="1" applyFont="1">
      <alignment horizontal="center" vertical="center"/>
    </xf>
    <xf borderId="57" fillId="8" fontId="12" numFmtId="0" xfId="0" applyAlignment="1" applyBorder="1" applyFont="1">
      <alignment horizontal="center" shrinkToFit="0" vertical="center" wrapText="0"/>
    </xf>
    <xf borderId="4" fillId="2" fontId="8" numFmtId="0" xfId="0" applyAlignment="1" applyBorder="1" applyFont="1">
      <alignment horizontal="center" shrinkToFit="0" vertical="bottom" wrapText="1"/>
    </xf>
    <xf borderId="58" fillId="2" fontId="8" numFmtId="0" xfId="0" applyAlignment="1" applyBorder="1" applyFont="1">
      <alignment horizontal="center" shrinkToFit="0" vertical="center" wrapText="0"/>
    </xf>
    <xf borderId="54" fillId="2" fontId="3" numFmtId="164" xfId="0" applyAlignment="1" applyBorder="1" applyFont="1" applyNumberFormat="1">
      <alignment horizontal="center" shrinkToFit="0" vertical="bottom" wrapText="0"/>
    </xf>
    <xf borderId="58" fillId="2" fontId="3" numFmtId="164" xfId="0" applyAlignment="1" applyBorder="1" applyFont="1" applyNumberFormat="1">
      <alignment horizontal="center" shrinkToFit="0" vertical="bottom" wrapText="0"/>
    </xf>
    <xf borderId="58" fillId="2" fontId="3" numFmtId="164" xfId="0" applyAlignment="1" applyBorder="1" applyFont="1" applyNumberFormat="1">
      <alignment horizontal="center" readingOrder="0" shrinkToFit="0" vertical="bottom" wrapText="0"/>
    </xf>
    <xf borderId="54" fillId="2" fontId="3" numFmtId="164" xfId="0" applyAlignment="1" applyBorder="1" applyFont="1" applyNumberFormat="1">
      <alignment horizontal="center" readingOrder="0" vertical="bottom"/>
    </xf>
    <xf borderId="59" fillId="2" fontId="8" numFmtId="0" xfId="0" applyAlignment="1" applyBorder="1" applyFont="1">
      <alignment horizontal="center" shrinkToFit="0" vertical="center" wrapText="0"/>
    </xf>
    <xf borderId="7" fillId="2" fontId="3" numFmtId="0" xfId="0" applyAlignment="1" applyBorder="1" applyFont="1">
      <alignment horizontal="center" readingOrder="0"/>
    </xf>
    <xf borderId="60" fillId="4" fontId="3" numFmtId="0" xfId="0" applyAlignment="1" applyBorder="1" applyFont="1">
      <alignment horizontal="center" readingOrder="0" shrinkToFit="0" vertical="center" wrapText="1"/>
    </xf>
    <xf borderId="61" fillId="7" fontId="6" numFmtId="0" xfId="0" applyAlignment="1" applyBorder="1" applyFont="1">
      <alignment horizontal="center" shrinkToFit="0" vertical="center" wrapText="0"/>
    </xf>
    <xf borderId="62" fillId="7" fontId="6" numFmtId="0" xfId="0" applyAlignment="1" applyBorder="1" applyFont="1">
      <alignment horizontal="right" shrinkToFit="0" vertical="bottom" wrapText="0"/>
    </xf>
    <xf borderId="63" fillId="7" fontId="6" numFmtId="0" xfId="0" applyAlignment="1" applyBorder="1" applyFont="1">
      <alignment horizontal="center" shrinkToFit="0" vertical="bottom" wrapText="0"/>
    </xf>
    <xf borderId="54" fillId="7" fontId="5" numFmtId="0" xfId="0" applyAlignment="1" applyBorder="1" applyFont="1">
      <alignment horizontal="center" vertical="bottom"/>
    </xf>
    <xf borderId="25" fillId="4" fontId="24" numFmtId="0" xfId="0" applyAlignment="1" applyBorder="1" applyFont="1">
      <alignment horizontal="center" readingOrder="0" shrinkToFit="0" vertical="center" wrapText="1"/>
    </xf>
    <xf borderId="64" fillId="7" fontId="25" numFmtId="0" xfId="0" applyAlignment="1" applyBorder="1" applyFont="1">
      <alignment horizontal="center" readingOrder="0" vertical="center"/>
    </xf>
    <xf borderId="65" fillId="8" fontId="6" numFmtId="0" xfId="0" applyAlignment="1" applyBorder="1" applyFont="1">
      <alignment horizontal="right" shrinkToFit="0" vertical="bottom" wrapText="0"/>
    </xf>
    <xf borderId="66" fillId="0" fontId="2" numFmtId="0" xfId="0" applyBorder="1" applyFont="1"/>
    <xf borderId="67" fillId="10" fontId="6" numFmtId="1" xfId="0" applyAlignment="1" applyBorder="1" applyFont="1" applyNumberFormat="1">
      <alignment horizontal="center" shrinkToFit="0" vertical="bottom" wrapText="0"/>
    </xf>
    <xf borderId="68" fillId="10" fontId="6" numFmtId="1" xfId="0" applyAlignment="1" applyBorder="1" applyFont="1" applyNumberFormat="1">
      <alignment horizontal="center" shrinkToFit="0" vertical="bottom" wrapText="0"/>
    </xf>
    <xf borderId="28" fillId="21" fontId="12" numFmtId="0" xfId="0" applyAlignment="1" applyBorder="1" applyFill="1" applyFont="1">
      <alignment horizontal="center" shrinkToFit="0" vertical="center" wrapText="0"/>
    </xf>
    <xf borderId="69" fillId="22" fontId="9" numFmtId="0" xfId="0" applyAlignment="1" applyBorder="1" applyFill="1" applyFont="1">
      <alignment horizontal="right" readingOrder="0"/>
    </xf>
    <xf borderId="70" fillId="22" fontId="9" numFmtId="0" xfId="0" applyAlignment="1" applyBorder="1" applyFont="1">
      <alignment readingOrder="0"/>
    </xf>
    <xf borderId="25" fillId="4" fontId="3" numFmtId="0" xfId="0" applyAlignment="1" applyBorder="1" applyFont="1">
      <alignment horizontal="center" readingOrder="0" shrinkToFit="0" vertical="center" wrapText="1"/>
    </xf>
    <xf borderId="64" fillId="0" fontId="2" numFmtId="0" xfId="0" applyBorder="1" applyFont="1"/>
    <xf borderId="37" fillId="8" fontId="6" numFmtId="0" xfId="0" applyAlignment="1" applyBorder="1" applyFont="1">
      <alignment horizontal="right" shrinkToFit="0" vertical="bottom" wrapText="0"/>
    </xf>
    <xf borderId="63" fillId="11" fontId="6" numFmtId="1" xfId="0" applyAlignment="1" applyBorder="1" applyFont="1" applyNumberFormat="1">
      <alignment horizontal="center" shrinkToFit="0" vertical="bottom" wrapText="0"/>
    </xf>
    <xf borderId="63" fillId="11" fontId="5" numFmtId="1" xfId="0" applyAlignment="1" applyBorder="1" applyFont="1" applyNumberFormat="1">
      <alignment horizontal="center" vertical="bottom"/>
    </xf>
    <xf borderId="71" fillId="21" fontId="6" numFmtId="0" xfId="0" applyAlignment="1" applyBorder="1" applyFont="1">
      <alignment horizontal="center" shrinkToFit="0" vertical="bottom" wrapText="0"/>
    </xf>
    <xf borderId="72" fillId="21" fontId="6" numFmtId="164" xfId="0" applyAlignment="1" applyBorder="1" applyFont="1" applyNumberFormat="1">
      <alignment horizontal="center" shrinkToFit="0" vertical="bottom" wrapText="0"/>
    </xf>
    <xf borderId="73" fillId="22" fontId="9" numFmtId="0" xfId="0" applyAlignment="1" applyBorder="1" applyFont="1">
      <alignment horizontal="right" readingOrder="0"/>
    </xf>
    <xf borderId="74" fillId="22" fontId="9" numFmtId="0" xfId="0" applyBorder="1" applyFont="1"/>
    <xf borderId="64" fillId="7" fontId="6" numFmtId="0" xfId="0" applyAlignment="1" applyBorder="1" applyFont="1">
      <alignment horizontal="center" readingOrder="0" vertical="center"/>
    </xf>
    <xf borderId="63" fillId="0" fontId="6" numFmtId="1" xfId="0" applyAlignment="1" applyBorder="1" applyFont="1" applyNumberFormat="1">
      <alignment horizontal="center" readingOrder="0" shrinkToFit="0" vertical="bottom" wrapText="0"/>
    </xf>
    <xf borderId="63" fillId="0" fontId="6" numFmtId="1" xfId="0" applyAlignment="1" applyBorder="1" applyFont="1" applyNumberFormat="1">
      <alignment horizontal="center" shrinkToFit="0" vertical="bottom" wrapText="0"/>
    </xf>
    <xf borderId="63" fillId="0" fontId="5" numFmtId="1" xfId="0" applyAlignment="1" applyBorder="1" applyFont="1" applyNumberFormat="1">
      <alignment horizontal="center" vertical="bottom"/>
    </xf>
    <xf borderId="71" fillId="21" fontId="6" numFmtId="0" xfId="0" applyAlignment="1" applyBorder="1" applyFont="1">
      <alignment horizontal="center" shrinkToFit="0" vertical="center" wrapText="0"/>
    </xf>
    <xf borderId="75" fillId="22" fontId="9" numFmtId="0" xfId="0" applyAlignment="1" applyBorder="1" applyFont="1">
      <alignment horizontal="right" readingOrder="0"/>
    </xf>
    <xf borderId="24" fillId="7" fontId="6" numFmtId="165" xfId="0" applyAlignment="1" applyBorder="1" applyFont="1" applyNumberFormat="1">
      <alignment horizontal="center" shrinkToFit="0" vertical="center" wrapText="1"/>
    </xf>
    <xf borderId="63" fillId="7" fontId="6" numFmtId="1" xfId="0" applyAlignment="1" applyBorder="1" applyFont="1" applyNumberFormat="1">
      <alignment horizontal="center" shrinkToFit="0" vertical="bottom" wrapText="0"/>
    </xf>
    <xf borderId="63" fillId="7" fontId="5" numFmtId="1" xfId="0" applyAlignment="1" applyBorder="1" applyFont="1" applyNumberFormat="1">
      <alignment horizontal="center" vertical="bottom"/>
    </xf>
    <xf borderId="76" fillId="21" fontId="6" numFmtId="0" xfId="0" applyAlignment="1" applyBorder="1" applyFont="1">
      <alignment horizontal="center" shrinkToFit="0" vertical="bottom" wrapText="0"/>
    </xf>
    <xf borderId="77" fillId="21" fontId="6" numFmtId="164" xfId="0" applyAlignment="1" applyBorder="1" applyFont="1" applyNumberFormat="1">
      <alignment horizontal="center" shrinkToFit="0" vertical="bottom" wrapText="0"/>
    </xf>
    <xf borderId="78" fillId="22" fontId="9" numFmtId="0" xfId="0" applyAlignment="1" applyBorder="1" applyFont="1">
      <alignment horizontal="right" readingOrder="0"/>
    </xf>
    <xf borderId="79" fillId="11" fontId="6" numFmtId="1" xfId="0" applyAlignment="1" applyBorder="1" applyFont="1" applyNumberFormat="1">
      <alignment horizontal="center" shrinkToFit="0" vertical="bottom" wrapText="0"/>
    </xf>
    <xf borderId="79" fillId="0" fontId="6" numFmtId="1" xfId="0" applyAlignment="1" applyBorder="1" applyFont="1" applyNumberFormat="1">
      <alignment horizontal="center" shrinkToFit="0" vertical="bottom" wrapText="0"/>
    </xf>
    <xf borderId="79" fillId="7" fontId="6" numFmtId="1" xfId="0" applyAlignment="1" applyBorder="1" applyFont="1" applyNumberFormat="1">
      <alignment horizontal="center" shrinkToFit="0" vertical="bottom" wrapText="0"/>
    </xf>
    <xf borderId="66" fillId="10" fontId="6" numFmtId="1" xfId="0" applyAlignment="1" applyBorder="1" applyFont="1" applyNumberFormat="1">
      <alignment horizontal="center" vertical="bottom"/>
    </xf>
    <xf borderId="20" fillId="11" fontId="5" numFmtId="1" xfId="0" applyAlignment="1" applyBorder="1" applyFont="1" applyNumberFormat="1">
      <alignment horizontal="center" vertical="bottom"/>
    </xf>
    <xf borderId="20" fillId="0" fontId="5" numFmtId="1" xfId="0" applyAlignment="1" applyBorder="1" applyFont="1" applyNumberFormat="1">
      <alignment horizontal="center" readingOrder="0" vertical="bottom"/>
    </xf>
    <xf borderId="20" fillId="0" fontId="5" numFmtId="1" xfId="0" applyAlignment="1" applyBorder="1" applyFont="1" applyNumberFormat="1">
      <alignment horizontal="center" vertical="bottom"/>
    </xf>
    <xf borderId="20" fillId="7" fontId="5" numFmtId="1" xfId="0" applyAlignment="1" applyBorder="1" applyFont="1" applyNumberFormat="1">
      <alignment horizontal="center" vertical="bottom"/>
    </xf>
    <xf borderId="32" fillId="12" fontId="6" numFmtId="0" xfId="0" applyAlignment="1" applyBorder="1" applyFont="1">
      <alignment horizontal="center" readingOrder="0" shrinkToFit="0" vertical="center" wrapText="1"/>
    </xf>
    <xf borderId="80" fillId="22" fontId="9" numFmtId="0" xfId="0" applyBorder="1" applyFont="1"/>
    <xf borderId="4" fillId="2" fontId="8" numFmtId="0" xfId="0" applyAlignment="1" applyBorder="1" applyFont="1">
      <alignment horizontal="center" readingOrder="0" shrinkToFit="0" vertical="bottom" wrapText="1"/>
    </xf>
    <xf borderId="81" fillId="2" fontId="3" numFmtId="164" xfId="0" applyAlignment="1" applyBorder="1" applyFont="1" applyNumberFormat="1">
      <alignment horizontal="center" shrinkToFit="0" vertical="bottom" wrapText="0"/>
    </xf>
    <xf borderId="82" fillId="2" fontId="3" numFmtId="164" xfId="0" applyAlignment="1" applyBorder="1" applyFont="1" applyNumberFormat="1">
      <alignment horizontal="center" shrinkToFit="0" vertical="bottom" wrapText="0"/>
    </xf>
    <xf borderId="83" fillId="2" fontId="3" numFmtId="164" xfId="0" applyAlignment="1" applyBorder="1" applyFont="1" applyNumberFormat="1">
      <alignment horizontal="center" readingOrder="0" shrinkToFit="0" vertical="bottom" wrapText="0"/>
    </xf>
    <xf borderId="40" fillId="8" fontId="6" numFmtId="0" xfId="0" applyAlignment="1" applyBorder="1" applyFont="1">
      <alignment horizontal="right" shrinkToFit="0" vertical="bottom" wrapText="0"/>
    </xf>
    <xf borderId="64" fillId="7" fontId="6" numFmtId="165" xfId="0" applyAlignment="1" applyBorder="1" applyFont="1" applyNumberFormat="1">
      <alignment horizontal="center" shrinkToFit="0" vertical="center" wrapText="1"/>
    </xf>
    <xf borderId="26" fillId="7" fontId="5" numFmtId="1" xfId="0" applyAlignment="1" applyBorder="1" applyFont="1" applyNumberFormat="1">
      <alignment horizontal="center" vertical="bottom"/>
    </xf>
    <xf borderId="84" fillId="21" fontId="6" numFmtId="0" xfId="0" applyAlignment="1" applyBorder="1" applyFont="1">
      <alignment horizontal="center" shrinkToFit="0" vertical="bottom" wrapText="0"/>
    </xf>
    <xf borderId="85" fillId="21" fontId="6" numFmtId="164" xfId="0" applyAlignment="1" applyBorder="1" applyFont="1" applyNumberFormat="1">
      <alignment horizontal="center" shrinkToFit="0" vertical="bottom" wrapText="0"/>
    </xf>
    <xf borderId="6" fillId="23" fontId="6" numFmtId="0" xfId="0" applyAlignment="1" applyBorder="1" applyFill="1" applyFont="1">
      <alignment horizontal="center" readingOrder="0" shrinkToFit="0" vertical="bottom" wrapText="1"/>
    </xf>
    <xf borderId="7" fillId="23" fontId="6" numFmtId="0" xfId="0" applyAlignment="1" applyBorder="1" applyFont="1">
      <alignment horizontal="center" shrinkToFit="0" vertical="center" wrapText="0"/>
    </xf>
    <xf borderId="6" fillId="23" fontId="6" numFmtId="164" xfId="0" applyAlignment="1" applyBorder="1" applyFont="1" applyNumberFormat="1">
      <alignment horizontal="center" shrinkToFit="0" vertical="bottom" wrapText="0"/>
    </xf>
    <xf borderId="6" fillId="23" fontId="6" numFmtId="164" xfId="0" applyAlignment="1" applyBorder="1" applyFont="1" applyNumberFormat="1">
      <alignment horizontal="center" readingOrder="0" shrinkToFit="0" vertical="bottom" wrapText="0"/>
    </xf>
    <xf borderId="6" fillId="23" fontId="6" numFmtId="164" xfId="0" applyAlignment="1" applyBorder="1" applyFont="1" applyNumberFormat="1">
      <alignment horizontal="center" readingOrder="0" vertical="bottom"/>
    </xf>
    <xf borderId="7" fillId="23" fontId="6" numFmtId="0" xfId="0" applyAlignment="1" applyBorder="1" applyFont="1">
      <alignment horizontal="center" readingOrder="0"/>
    </xf>
    <xf borderId="60" fillId="12" fontId="3" numFmtId="0" xfId="0" applyAlignment="1" applyBorder="1" applyFont="1">
      <alignment horizontal="center" readingOrder="0" shrinkToFit="0" vertical="center" wrapText="1"/>
    </xf>
    <xf borderId="67" fillId="11" fontId="6" numFmtId="1" xfId="0" applyAlignment="1" applyBorder="1" applyFont="1" applyNumberFormat="1">
      <alignment horizontal="center" shrinkToFit="0" vertical="bottom" wrapText="0"/>
    </xf>
    <xf borderId="67" fillId="11" fontId="5" numFmtId="1" xfId="0" applyAlignment="1" applyBorder="1" applyFont="1" applyNumberFormat="1">
      <alignment horizontal="center" vertical="bottom"/>
    </xf>
    <xf borderId="86" fillId="21" fontId="6" numFmtId="0" xfId="0" applyAlignment="1" applyBorder="1" applyFont="1">
      <alignment horizontal="center" shrinkToFit="0" vertical="bottom" wrapText="0"/>
    </xf>
    <xf borderId="87" fillId="21" fontId="6" numFmtId="164" xfId="0" applyAlignment="1" applyBorder="1" applyFont="1" applyNumberFormat="1">
      <alignment horizontal="center" shrinkToFit="0" vertical="bottom" wrapText="0"/>
    </xf>
    <xf borderId="70" fillId="22" fontId="9" numFmtId="0" xfId="0" applyBorder="1" applyFont="1"/>
    <xf borderId="25" fillId="0" fontId="5" numFmtId="0" xfId="0" applyAlignment="1" applyBorder="1" applyFont="1">
      <alignment horizontal="center" readingOrder="0" shrinkToFit="0" vertical="center" wrapText="1"/>
    </xf>
    <xf borderId="24" fillId="7" fontId="6" numFmtId="165" xfId="0" applyAlignment="1" applyBorder="1" applyFont="1" applyNumberFormat="1">
      <alignment horizontal="center" readingOrder="0" shrinkToFit="0" vertical="center" wrapText="1"/>
    </xf>
    <xf borderId="88" fillId="8" fontId="6" numFmtId="0" xfId="0" applyAlignment="1" applyBorder="1" applyFont="1">
      <alignment horizontal="right" shrinkToFit="0" vertical="bottom" wrapText="0"/>
    </xf>
    <xf borderId="89" fillId="0" fontId="2" numFmtId="0" xfId="0" applyBorder="1" applyFont="1"/>
    <xf borderId="81" fillId="7" fontId="6" numFmtId="1" xfId="0" applyAlignment="1" applyBorder="1" applyFont="1" applyNumberFormat="1">
      <alignment horizontal="center" shrinkToFit="0" vertical="bottom" wrapText="0"/>
    </xf>
    <xf borderId="81" fillId="7" fontId="5" numFmtId="1" xfId="0" applyAlignment="1" applyBorder="1" applyFont="1" applyNumberFormat="1">
      <alignment horizontal="center" vertical="bottom"/>
    </xf>
    <xf borderId="90" fillId="22" fontId="9" numFmtId="0" xfId="0" applyAlignment="1" applyBorder="1" applyFont="1">
      <alignment horizontal="right" readingOrder="0"/>
    </xf>
    <xf borderId="91" fillId="22" fontId="9" numFmtId="0" xfId="0" applyBorder="1" applyFont="1"/>
    <xf borderId="68" fillId="11" fontId="6" numFmtId="1" xfId="0" applyAlignment="1" applyBorder="1" applyFont="1" applyNumberFormat="1">
      <alignment horizontal="center" shrinkToFit="0" vertical="bottom" wrapText="0"/>
    </xf>
    <xf borderId="82" fillId="7" fontId="6" numFmtId="1" xfId="0" applyAlignment="1" applyBorder="1" applyFont="1" applyNumberFormat="1">
      <alignment horizontal="center" shrinkToFit="0" vertical="bottom" wrapText="0"/>
    </xf>
    <xf borderId="66" fillId="11" fontId="5" numFmtId="1" xfId="0" applyAlignment="1" applyBorder="1" applyFont="1" applyNumberFormat="1">
      <alignment horizontal="center" vertical="bottom"/>
    </xf>
    <xf borderId="23" fillId="7" fontId="5" numFmtId="1" xfId="0" applyAlignment="1" applyBorder="1" applyFont="1" applyNumberFormat="1">
      <alignment horizontal="center" vertical="bottom"/>
    </xf>
    <xf borderId="92" fillId="2" fontId="3" numFmtId="0" xfId="0" applyAlignment="1" applyBorder="1" applyFont="1">
      <alignment horizontal="center" readingOrder="0" shrinkToFit="0" vertical="center" wrapText="1"/>
    </xf>
    <xf borderId="93" fillId="0" fontId="2" numFmtId="0" xfId="0" applyBorder="1" applyFont="1"/>
    <xf borderId="94" fillId="0" fontId="2" numFmtId="0" xfId="0" applyBorder="1" applyFont="1"/>
    <xf borderId="4" fillId="18" fontId="16" numFmtId="0" xfId="0" applyAlignment="1" applyBorder="1" applyFont="1">
      <alignment horizontal="center" shrinkToFit="0" vertical="center" wrapText="1"/>
    </xf>
    <xf borderId="95" fillId="0" fontId="2" numFmtId="0" xfId="0" applyBorder="1" applyFont="1"/>
    <xf borderId="96" fillId="7" fontId="6" numFmtId="0" xfId="0" applyAlignment="1" applyBorder="1" applyFont="1">
      <alignment horizontal="right" shrinkToFit="0" vertical="bottom" wrapText="0"/>
    </xf>
    <xf borderId="97" fillId="8" fontId="12" numFmtId="1" xfId="0" applyAlignment="1" applyBorder="1" applyFont="1" applyNumberFormat="1">
      <alignment shrinkToFit="0" vertical="bottom" wrapText="0"/>
    </xf>
    <xf borderId="98" fillId="4" fontId="17" numFmtId="0" xfId="0" applyAlignment="1" applyBorder="1" applyFont="1">
      <alignment horizontal="center" shrinkToFit="0" vertical="center" wrapText="0"/>
    </xf>
    <xf borderId="25" fillId="0" fontId="6" numFmtId="164" xfId="0" applyAlignment="1" applyBorder="1" applyFont="1" applyNumberFormat="1">
      <alignment horizontal="center" shrinkToFit="0" vertical="center" wrapText="0"/>
    </xf>
    <xf borderId="99" fillId="4" fontId="9" numFmtId="0" xfId="0" applyBorder="1" applyFont="1"/>
    <xf borderId="100" fillId="0" fontId="2" numFmtId="0" xfId="0" applyBorder="1" applyFont="1"/>
    <xf borderId="101" fillId="0" fontId="2" numFmtId="0" xfId="0" applyBorder="1" applyFont="1"/>
    <xf borderId="82" fillId="7" fontId="6" numFmtId="0" xfId="0" applyAlignment="1" applyBorder="1" applyFont="1">
      <alignment horizontal="right" shrinkToFit="0" vertical="bottom" wrapText="0"/>
    </xf>
    <xf borderId="81" fillId="8" fontId="12" numFmtId="1" xfId="0" applyAlignment="1" applyBorder="1" applyFont="1" applyNumberFormat="1">
      <alignment shrinkToFit="0" vertical="bottom" wrapText="0"/>
    </xf>
    <xf borderId="102" fillId="0" fontId="2" numFmtId="0" xfId="0" applyBorder="1" applyFont="1"/>
    <xf borderId="92" fillId="0" fontId="2" numFmtId="0" xfId="0" applyBorder="1" applyFont="1"/>
    <xf borderId="1" fillId="18" fontId="16" numFmtId="0" xfId="0" applyAlignment="1" applyBorder="1" applyFont="1">
      <alignment horizontal="center" shrinkToFit="0" vertical="center" wrapText="1"/>
    </xf>
    <xf borderId="103" fillId="0" fontId="2" numFmtId="0" xfId="0" applyBorder="1" applyFont="1"/>
    <xf borderId="104" fillId="4" fontId="17" numFmtId="0" xfId="0" applyAlignment="1" applyBorder="1" applyFont="1">
      <alignment horizontal="center" shrinkToFit="0" vertical="center" wrapText="0"/>
    </xf>
    <xf borderId="60" fillId="0" fontId="6" numFmtId="164" xfId="0" applyAlignment="1" applyBorder="1" applyFont="1" applyNumberFormat="1">
      <alignment horizontal="center" shrinkToFit="0" vertical="center" wrapText="0"/>
    </xf>
    <xf borderId="67" fillId="8" fontId="12" numFmtId="1" xfId="0" applyAlignment="1" applyBorder="1" applyFont="1" applyNumberFormat="1">
      <alignment shrinkToFit="0" vertical="bottom" wrapText="0"/>
    </xf>
    <xf borderId="6" fillId="2" fontId="3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105" fillId="18" fontId="3" numFmtId="0" xfId="0" applyAlignment="1" applyBorder="1" applyFont="1">
      <alignment horizontal="center" shrinkToFit="0" vertical="bottom" wrapText="0"/>
    </xf>
    <xf borderId="106" fillId="18" fontId="3" numFmtId="0" xfId="0" applyAlignment="1" applyBorder="1" applyFont="1">
      <alignment horizontal="center" shrinkToFit="0" vertical="bottom" wrapText="0"/>
    </xf>
    <xf borderId="106" fillId="18" fontId="3" numFmtId="0" xfId="0" applyAlignment="1" applyBorder="1" applyFont="1">
      <alignment horizontal="center" readingOrder="0" shrinkToFit="0" vertical="bottom" wrapText="0"/>
    </xf>
    <xf borderId="60" fillId="18" fontId="26" numFmtId="0" xfId="0" applyAlignment="1" applyBorder="1" applyFont="1">
      <alignment horizontal="center" readingOrder="0" shrinkToFit="0" vertical="center" wrapText="1"/>
    </xf>
    <xf borderId="107" fillId="7" fontId="6" numFmtId="0" xfId="0" applyAlignment="1" applyBorder="1" applyFont="1">
      <alignment horizontal="right" readingOrder="0" shrinkToFit="0" vertical="center" wrapText="1"/>
    </xf>
    <xf borderId="65" fillId="0" fontId="2" numFmtId="0" xfId="0" applyBorder="1" applyFont="1"/>
    <xf borderId="67" fillId="10" fontId="12" numFmtId="1" xfId="0" applyAlignment="1" applyBorder="1" applyFont="1" applyNumberFormat="1">
      <alignment shrinkToFit="0" vertical="bottom" wrapText="0"/>
    </xf>
    <xf borderId="37" fillId="7" fontId="6" numFmtId="0" xfId="0" applyAlignment="1" applyBorder="1" applyFont="1">
      <alignment horizontal="right" readingOrder="0"/>
    </xf>
    <xf borderId="37" fillId="0" fontId="2" numFmtId="0" xfId="0" applyBorder="1" applyFont="1"/>
    <xf borderId="63" fillId="3" fontId="12" numFmtId="1" xfId="0" applyAlignment="1" applyBorder="1" applyFont="1" applyNumberFormat="1">
      <alignment shrinkToFit="0" vertical="bottom" wrapText="0"/>
    </xf>
    <xf borderId="63" fillId="7" fontId="12" numFmtId="1" xfId="0" applyAlignment="1" applyBorder="1" applyFont="1" applyNumberFormat="1">
      <alignment shrinkToFit="0" vertical="bottom" wrapText="0"/>
    </xf>
    <xf borderId="108" fillId="11" fontId="12" numFmtId="1" xfId="0" applyAlignment="1" applyBorder="1" applyFont="1" applyNumberFormat="1">
      <alignment shrinkToFit="0" vertical="bottom" wrapText="0"/>
    </xf>
    <xf borderId="56" fillId="19" fontId="12" numFmtId="1" xfId="0" applyAlignment="1" applyBorder="1" applyFont="1" applyNumberFormat="1">
      <alignment shrinkToFit="0" vertical="bottom" wrapText="0"/>
    </xf>
    <xf borderId="63" fillId="3" fontId="12" numFmtId="1" xfId="0" applyAlignment="1" applyBorder="1" applyFont="1" applyNumberFormat="1">
      <alignment shrinkToFit="0" vertical="bottom" wrapText="0"/>
    </xf>
    <xf borderId="63" fillId="7" fontId="12" numFmtId="1" xfId="0" applyAlignment="1" applyBorder="1" applyFont="1" applyNumberFormat="1">
      <alignment shrinkToFit="0" vertical="bottom" wrapText="0"/>
    </xf>
    <xf borderId="108" fillId="11" fontId="12" numFmtId="1" xfId="0" applyAlignment="1" applyBorder="1" applyFont="1" applyNumberFormat="1">
      <alignment shrinkToFit="0" vertical="bottom" wrapText="0"/>
    </xf>
    <xf borderId="56" fillId="19" fontId="12" numFmtId="1" xfId="0" applyAlignment="1" applyBorder="1" applyFont="1" applyNumberFormat="1">
      <alignment shrinkToFit="0" vertical="bottom" wrapText="0"/>
    </xf>
    <xf borderId="60" fillId="2" fontId="3" numFmtId="0" xfId="0" applyAlignment="1" applyBorder="1" applyFont="1">
      <alignment horizontal="center" readingOrder="0" shrinkToFit="0" vertical="center" wrapText="1"/>
    </xf>
    <xf borderId="60" fillId="18" fontId="27" numFmtId="0" xfId="0" applyAlignment="1" applyBorder="1" applyFont="1">
      <alignment horizontal="center" readingOrder="0" shrinkToFit="0" vertical="center" wrapText="1"/>
    </xf>
    <xf borderId="68" fillId="10" fontId="12" numFmtId="1" xfId="0" applyAlignment="1" applyBorder="1" applyFont="1" applyNumberFormat="1">
      <alignment shrinkToFit="0" vertical="bottom" wrapText="0"/>
    </xf>
    <xf borderId="79" fillId="3" fontId="12" numFmtId="1" xfId="0" applyAlignment="1" applyBorder="1" applyFont="1" applyNumberFormat="1">
      <alignment shrinkToFit="0" vertical="bottom" wrapText="0"/>
    </xf>
    <xf borderId="79" fillId="7" fontId="12" numFmtId="1" xfId="0" applyAlignment="1" applyBorder="1" applyFont="1" applyNumberFormat="1">
      <alignment shrinkToFit="0" vertical="bottom" wrapText="0"/>
    </xf>
    <xf borderId="62" fillId="11" fontId="12" numFmtId="1" xfId="0" applyAlignment="1" applyBorder="1" applyFont="1" applyNumberFormat="1">
      <alignment shrinkToFit="0" vertical="bottom" wrapText="0"/>
    </xf>
    <xf borderId="15" fillId="7" fontId="6" numFmtId="0" xfId="0" applyAlignment="1" applyBorder="1" applyFont="1">
      <alignment horizontal="right" readingOrder="0"/>
    </xf>
    <xf borderId="52" fillId="19" fontId="12" numFmtId="1" xfId="0" applyAlignment="1" applyBorder="1" applyFont="1" applyNumberFormat="1">
      <alignment shrinkToFit="0" vertical="bottom" wrapText="0"/>
    </xf>
    <xf borderId="47" fillId="5" fontId="6" numFmtId="164" xfId="0" applyAlignment="1" applyBorder="1" applyFont="1" applyNumberFormat="1">
      <alignment horizontal="center" readingOrder="0" vertical="bottom"/>
    </xf>
    <xf borderId="47" fillId="5" fontId="6" numFmtId="164" xfId="0" applyAlignment="1" applyBorder="1" applyFont="1" applyNumberFormat="1">
      <alignment horizontal="center" readingOrder="0" shrinkToFit="0" vertical="bottom" wrapText="0"/>
    </xf>
    <xf borderId="58" fillId="8" fontId="9" numFmtId="0" xfId="0" applyAlignment="1" applyBorder="1" applyFont="1">
      <alignment horizontal="center" vertical="center"/>
    </xf>
    <xf borderId="52" fillId="8" fontId="9" numFmtId="0" xfId="0" applyAlignment="1" applyBorder="1" applyFont="1">
      <alignment horizontal="center" vertical="center"/>
    </xf>
    <xf borderId="58" fillId="2" fontId="3" numFmtId="164" xfId="0" applyAlignment="1" applyBorder="1" applyFont="1" applyNumberFormat="1">
      <alignment horizontal="center" readingOrder="0" vertical="bottom"/>
    </xf>
    <xf borderId="109" fillId="7" fontId="5" numFmtId="0" xfId="0" applyAlignment="1" applyBorder="1" applyFont="1">
      <alignment horizontal="center" vertical="bottom"/>
    </xf>
    <xf borderId="79" fillId="11" fontId="5" numFmtId="1" xfId="0" applyAlignment="1" applyBorder="1" applyFont="1" applyNumberFormat="1">
      <alignment horizontal="center" vertical="bottom"/>
    </xf>
    <xf borderId="79" fillId="0" fontId="5" numFmtId="1" xfId="0" applyAlignment="1" applyBorder="1" applyFont="1" applyNumberFormat="1">
      <alignment horizontal="center" vertical="bottom"/>
    </xf>
    <xf borderId="79" fillId="7" fontId="5" numFmtId="1" xfId="0" applyAlignment="1" applyBorder="1" applyFont="1" applyNumberFormat="1">
      <alignment horizontal="center" vertical="bottom"/>
    </xf>
    <xf borderId="68" fillId="11" fontId="5" numFmtId="1" xfId="0" applyAlignment="1" applyBorder="1" applyFont="1" applyNumberFormat="1">
      <alignment horizontal="center" vertical="bottom"/>
    </xf>
    <xf borderId="82" fillId="7" fontId="5" numFmtId="1" xfId="0" applyAlignment="1" applyBorder="1" applyFont="1" applyNumberFormat="1">
      <alignment horizontal="center" vertical="bottom"/>
    </xf>
    <xf borderId="106" fillId="18" fontId="3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000">
                <a:solidFill>
                  <a:srgbClr val="000000"/>
                </a:solidFill>
                <a:latin typeface="Arial"/>
              </a:defRPr>
            </a:pPr>
            <a:r>
              <a:rPr b="1" sz="1000">
                <a:solidFill>
                  <a:srgbClr val="000000"/>
                </a:solidFill>
                <a:latin typeface="Arial"/>
              </a:rPr>
              <a:t>ESTADISTICAS SEMANA 1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'NUEVO LUNES'!$B$622:$D$622</c:f>
            </c:strRef>
          </c:tx>
          <c:spPr>
            <a:ln cmpd="sng" w="38100">
              <a:solidFill>
                <a:srgbClr val="9ED84A"/>
              </a:solidFill>
            </a:ln>
          </c:spPr>
          <c:marker>
            <c:symbol val="circle"/>
            <c:size val="7"/>
            <c:spPr>
              <a:solidFill>
                <a:srgbClr val="9ED84A"/>
              </a:solidFill>
              <a:ln cmpd="sng">
                <a:solidFill>
                  <a:srgbClr val="9ED84A"/>
                </a:solidFill>
              </a:ln>
            </c:spPr>
          </c:marker>
          <c:cat>
            <c:strRef>
              <c:f>'NUEVO LUNES'!$E$621:$J$621</c:f>
            </c:strRef>
          </c:cat>
          <c:val>
            <c:numRef>
              <c:f>'NUEVO LUNES'!$E$622:$J$622</c:f>
              <c:numCache/>
            </c:numRef>
          </c:val>
          <c:smooth val="0"/>
        </c:ser>
        <c:ser>
          <c:idx val="1"/>
          <c:order val="1"/>
          <c:tx>
            <c:strRef>
              <c:f>'NUEVO LUNES'!$B$623:$D$623</c:f>
            </c:strRef>
          </c:tx>
          <c:spPr>
            <a:ln cmpd="sng"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marker>
          <c:cat>
            <c:strRef>
              <c:f>'NUEVO LUNES'!$E$621:$J$621</c:f>
            </c:strRef>
          </c:cat>
          <c:val>
            <c:numRef>
              <c:f>'NUEVO LUNES'!$E$623:$J$623</c:f>
              <c:numCache/>
            </c:numRef>
          </c:val>
          <c:smooth val="0"/>
        </c:ser>
        <c:ser>
          <c:idx val="2"/>
          <c:order val="2"/>
          <c:tx>
            <c:strRef>
              <c:f>'NUEVO LUNES'!$B$624:$D$624</c:f>
            </c:strRef>
          </c:tx>
          <c:spPr>
            <a:ln cmpd="sng" w="38100">
              <a:solidFill>
                <a:srgbClr val="808080"/>
              </a:solidFill>
            </a:ln>
          </c:spPr>
          <c:marker>
            <c:symbol val="circle"/>
            <c:size val="7"/>
            <c:spPr>
              <a:solidFill>
                <a:srgbClr val="808080"/>
              </a:solidFill>
              <a:ln cmpd="sng">
                <a:solidFill>
                  <a:srgbClr val="808080"/>
                </a:solidFill>
              </a:ln>
            </c:spPr>
          </c:marker>
          <c:cat>
            <c:strRef>
              <c:f>'NUEVO LUNES'!$E$621:$J$621</c:f>
            </c:strRef>
          </c:cat>
          <c:val>
            <c:numRef>
              <c:f>'NUEVO LUNES'!$E$624:$J$624</c:f>
              <c:numCache/>
            </c:numRef>
          </c:val>
          <c:smooth val="0"/>
        </c:ser>
        <c:ser>
          <c:idx val="3"/>
          <c:order val="3"/>
          <c:tx>
            <c:strRef>
              <c:f>'NUEVO LUNES'!$B$625:$D$625</c:f>
            </c:strRef>
          </c:tx>
          <c:spPr>
            <a:ln cmpd="sng" w="38100">
              <a:solidFill>
                <a:srgbClr val="F06753"/>
              </a:solidFill>
            </a:ln>
          </c:spPr>
          <c:marker>
            <c:symbol val="circle"/>
            <c:size val="7"/>
            <c:spPr>
              <a:solidFill>
                <a:srgbClr val="F06753"/>
              </a:solidFill>
              <a:ln cmpd="sng">
                <a:solidFill>
                  <a:srgbClr val="F06753"/>
                </a:solidFill>
              </a:ln>
            </c:spPr>
          </c:marker>
          <c:cat>
            <c:strRef>
              <c:f>'NUEVO LUNES'!$E$621:$J$621</c:f>
            </c:strRef>
          </c:cat>
          <c:val>
            <c:numRef>
              <c:f>'NUEVO LUNES'!$E$625:$J$625</c:f>
              <c:numCache/>
            </c:numRef>
          </c:val>
          <c:smooth val="0"/>
        </c:ser>
        <c:ser>
          <c:idx val="4"/>
          <c:order val="4"/>
          <c:tx>
            <c:strRef>
              <c:f>'NUEVO LUNES'!$B$626:$D$626</c:f>
            </c:strRef>
          </c:tx>
          <c:spPr>
            <a:ln cmpd="sng" w="38100">
              <a:solidFill>
                <a:srgbClr val="8E7CC3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8E7CC3">
                  <a:alpha val="100000"/>
                </a:srgbClr>
              </a:solidFill>
              <a:ln cmpd="sng">
                <a:solidFill>
                  <a:srgbClr val="8E7CC3">
                    <a:alpha val="100000"/>
                  </a:srgbClr>
                </a:solidFill>
              </a:ln>
            </c:spPr>
          </c:marker>
          <c:cat>
            <c:strRef>
              <c:f>'NUEVO LUNES'!$E$621:$J$621</c:f>
            </c:strRef>
          </c:cat>
          <c:val>
            <c:numRef>
              <c:f>'NUEVO LUNES'!$E$626:$J$626</c:f>
              <c:numCache/>
            </c:numRef>
          </c:val>
          <c:smooth val="0"/>
        </c:ser>
        <c:axId val="1930080346"/>
        <c:axId val="848922813"/>
      </c:lineChart>
      <c:catAx>
        <c:axId val="19300803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  <a:r>
                  <a:rPr b="1">
                    <a:solidFill>
                      <a:srgbClr val="000000"/>
                    </a:solidFill>
                    <a:latin typeface="Arial"/>
                  </a:rPr>
                  <a:t>Producto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</a:p>
        </c:txPr>
        <c:crossAx val="848922813"/>
      </c:catAx>
      <c:valAx>
        <c:axId val="848922813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</a:p>
        </c:txPr>
        <c:crossAx val="1930080346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000">
                <a:solidFill>
                  <a:srgbClr val="000000"/>
                </a:solidFill>
                <a:latin typeface="Arial"/>
              </a:defRPr>
            </a:pPr>
            <a:r>
              <a:rPr b="1" sz="1000">
                <a:solidFill>
                  <a:srgbClr val="000000"/>
                </a:solidFill>
                <a:latin typeface="Arial"/>
              </a:rPr>
              <a:t>ESTADISTICAS SEMANA 2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'NUEVO LUNES'!$B$628:$D$628</c:f>
            </c:strRef>
          </c:tx>
          <c:spPr>
            <a:ln cmpd="sng" w="38100">
              <a:solidFill>
                <a:srgbClr val="9ED84A"/>
              </a:solidFill>
            </a:ln>
          </c:spPr>
          <c:marker>
            <c:symbol val="circle"/>
            <c:size val="7"/>
            <c:spPr>
              <a:solidFill>
                <a:srgbClr val="9ED84A"/>
              </a:solidFill>
              <a:ln cmpd="sng">
                <a:solidFill>
                  <a:srgbClr val="9ED84A"/>
                </a:solidFill>
              </a:ln>
            </c:spPr>
          </c:marker>
          <c:cat>
            <c:strRef>
              <c:f>'NUEVO LUNES'!$E$627:$J$627</c:f>
            </c:strRef>
          </c:cat>
          <c:val>
            <c:numRef>
              <c:f>'NUEVO LUNES'!$E$628:$J$628</c:f>
              <c:numCache/>
            </c:numRef>
          </c:val>
          <c:smooth val="0"/>
        </c:ser>
        <c:ser>
          <c:idx val="1"/>
          <c:order val="1"/>
          <c:tx>
            <c:strRef>
              <c:f>'NUEVO LUNES'!$B$629:$D$629</c:f>
            </c:strRef>
          </c:tx>
          <c:spPr>
            <a:ln cmpd="sng"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marker>
          <c:cat>
            <c:strRef>
              <c:f>'NUEVO LUNES'!$E$627:$J$627</c:f>
            </c:strRef>
          </c:cat>
          <c:val>
            <c:numRef>
              <c:f>'NUEVO LUNES'!$E$629:$J$629</c:f>
              <c:numCache/>
            </c:numRef>
          </c:val>
          <c:smooth val="0"/>
        </c:ser>
        <c:ser>
          <c:idx val="2"/>
          <c:order val="2"/>
          <c:tx>
            <c:strRef>
              <c:f>'NUEVO LUNES'!$B$630:$D$630</c:f>
            </c:strRef>
          </c:tx>
          <c:spPr>
            <a:ln cmpd="sng" w="38100">
              <a:solidFill>
                <a:srgbClr val="808080"/>
              </a:solidFill>
            </a:ln>
          </c:spPr>
          <c:marker>
            <c:symbol val="circle"/>
            <c:size val="7"/>
            <c:spPr>
              <a:solidFill>
                <a:srgbClr val="808080"/>
              </a:solidFill>
              <a:ln cmpd="sng">
                <a:solidFill>
                  <a:srgbClr val="808080"/>
                </a:solidFill>
              </a:ln>
            </c:spPr>
          </c:marker>
          <c:cat>
            <c:strRef>
              <c:f>'NUEVO LUNES'!$E$627:$J$627</c:f>
            </c:strRef>
          </c:cat>
          <c:val>
            <c:numRef>
              <c:f>'NUEVO LUNES'!$E$630:$J$630</c:f>
              <c:numCache/>
            </c:numRef>
          </c:val>
          <c:smooth val="0"/>
        </c:ser>
        <c:ser>
          <c:idx val="3"/>
          <c:order val="3"/>
          <c:tx>
            <c:strRef>
              <c:f>'NUEVO LUNES'!$B$631:$D$631</c:f>
            </c:strRef>
          </c:tx>
          <c:spPr>
            <a:ln cmpd="sng" w="38100">
              <a:solidFill>
                <a:srgbClr val="F06753"/>
              </a:solidFill>
            </a:ln>
          </c:spPr>
          <c:marker>
            <c:symbol val="circle"/>
            <c:size val="7"/>
            <c:spPr>
              <a:solidFill>
                <a:srgbClr val="F06753"/>
              </a:solidFill>
              <a:ln cmpd="sng">
                <a:solidFill>
                  <a:srgbClr val="F06753"/>
                </a:solidFill>
              </a:ln>
            </c:spPr>
          </c:marker>
          <c:cat>
            <c:strRef>
              <c:f>'NUEVO LUNES'!$E$627:$J$627</c:f>
            </c:strRef>
          </c:cat>
          <c:val>
            <c:numRef>
              <c:f>'NUEVO LUNES'!$E$631:$J$631</c:f>
              <c:numCache/>
            </c:numRef>
          </c:val>
          <c:smooth val="0"/>
        </c:ser>
        <c:ser>
          <c:idx val="4"/>
          <c:order val="4"/>
          <c:tx>
            <c:strRef>
              <c:f>'NUEVO LUNES'!$B$632:$D$632</c:f>
            </c:strRef>
          </c:tx>
          <c:spPr>
            <a:ln cmpd="sng" w="38100">
              <a:solidFill>
                <a:srgbClr val="8E7CC3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8E7CC3">
                  <a:alpha val="100000"/>
                </a:srgbClr>
              </a:solidFill>
              <a:ln cmpd="sng">
                <a:solidFill>
                  <a:srgbClr val="8E7CC3">
                    <a:alpha val="100000"/>
                  </a:srgbClr>
                </a:solidFill>
              </a:ln>
            </c:spPr>
          </c:marker>
          <c:cat>
            <c:strRef>
              <c:f>'NUEVO LUNES'!$E$627:$J$627</c:f>
            </c:strRef>
          </c:cat>
          <c:val>
            <c:numRef>
              <c:f>'NUEVO LUNES'!$E$632:$J$632</c:f>
              <c:numCache/>
            </c:numRef>
          </c:val>
          <c:smooth val="0"/>
        </c:ser>
        <c:axId val="583440827"/>
        <c:axId val="1873015722"/>
      </c:lineChart>
      <c:catAx>
        <c:axId val="5834408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  <a:r>
                  <a:rPr b="1">
                    <a:solidFill>
                      <a:srgbClr val="000000"/>
                    </a:solidFill>
                    <a:latin typeface="Arial"/>
                  </a:rPr>
                  <a:t>Producto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</a:p>
        </c:txPr>
        <c:crossAx val="1873015722"/>
      </c:catAx>
      <c:valAx>
        <c:axId val="1873015722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</a:p>
        </c:txPr>
        <c:crossAx val="583440827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000">
                <a:solidFill>
                  <a:srgbClr val="000000"/>
                </a:solidFill>
                <a:latin typeface="Arial"/>
              </a:defRPr>
            </a:pPr>
            <a:r>
              <a:rPr b="1" sz="1000">
                <a:solidFill>
                  <a:srgbClr val="000000"/>
                </a:solidFill>
                <a:latin typeface="Arial"/>
              </a:rPr>
              <a:t>ESTADISTICAS SEMANA 3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'NUEVO LUNES'!$B$634:$D$634</c:f>
            </c:strRef>
          </c:tx>
          <c:spPr>
            <a:ln cmpd="sng" w="38100">
              <a:solidFill>
                <a:srgbClr val="9ED84A"/>
              </a:solidFill>
            </a:ln>
          </c:spPr>
          <c:marker>
            <c:symbol val="circle"/>
            <c:size val="7"/>
            <c:spPr>
              <a:solidFill>
                <a:srgbClr val="9ED84A"/>
              </a:solidFill>
              <a:ln cmpd="sng">
                <a:solidFill>
                  <a:srgbClr val="9ED84A"/>
                </a:solidFill>
              </a:ln>
            </c:spPr>
          </c:marker>
          <c:cat>
            <c:strRef>
              <c:f>'NUEVO LUNES'!$E$633:$J$633</c:f>
            </c:strRef>
          </c:cat>
          <c:val>
            <c:numRef>
              <c:f>'NUEVO LUNES'!$E$634:$J$634</c:f>
              <c:numCache/>
            </c:numRef>
          </c:val>
          <c:smooth val="0"/>
        </c:ser>
        <c:ser>
          <c:idx val="1"/>
          <c:order val="1"/>
          <c:tx>
            <c:strRef>
              <c:f>'NUEVO LUNES'!$B$635:$D$635</c:f>
            </c:strRef>
          </c:tx>
          <c:spPr>
            <a:ln cmpd="sng"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marker>
          <c:cat>
            <c:strRef>
              <c:f>'NUEVO LUNES'!$E$633:$J$633</c:f>
            </c:strRef>
          </c:cat>
          <c:val>
            <c:numRef>
              <c:f>'NUEVO LUNES'!$E$635:$J$635</c:f>
              <c:numCache/>
            </c:numRef>
          </c:val>
          <c:smooth val="0"/>
        </c:ser>
        <c:ser>
          <c:idx val="2"/>
          <c:order val="2"/>
          <c:tx>
            <c:strRef>
              <c:f>'NUEVO LUNES'!$B$636:$D$636</c:f>
            </c:strRef>
          </c:tx>
          <c:spPr>
            <a:ln cmpd="sng" w="38100">
              <a:solidFill>
                <a:srgbClr val="808080"/>
              </a:solidFill>
            </a:ln>
          </c:spPr>
          <c:marker>
            <c:symbol val="circle"/>
            <c:size val="7"/>
            <c:spPr>
              <a:solidFill>
                <a:srgbClr val="808080"/>
              </a:solidFill>
              <a:ln cmpd="sng">
                <a:solidFill>
                  <a:srgbClr val="808080"/>
                </a:solidFill>
              </a:ln>
            </c:spPr>
          </c:marker>
          <c:cat>
            <c:strRef>
              <c:f>'NUEVO LUNES'!$E$633:$J$633</c:f>
            </c:strRef>
          </c:cat>
          <c:val>
            <c:numRef>
              <c:f>'NUEVO LUNES'!$E$636:$J$636</c:f>
              <c:numCache/>
            </c:numRef>
          </c:val>
          <c:smooth val="0"/>
        </c:ser>
        <c:ser>
          <c:idx val="3"/>
          <c:order val="3"/>
          <c:tx>
            <c:strRef>
              <c:f>'NUEVO LUNES'!$B$637:$D$637</c:f>
            </c:strRef>
          </c:tx>
          <c:spPr>
            <a:ln cmpd="sng" w="38100">
              <a:solidFill>
                <a:srgbClr val="F06753"/>
              </a:solidFill>
            </a:ln>
          </c:spPr>
          <c:marker>
            <c:symbol val="circle"/>
            <c:size val="7"/>
            <c:spPr>
              <a:solidFill>
                <a:srgbClr val="F06753"/>
              </a:solidFill>
              <a:ln cmpd="sng">
                <a:solidFill>
                  <a:srgbClr val="F06753"/>
                </a:solidFill>
              </a:ln>
            </c:spPr>
          </c:marker>
          <c:cat>
            <c:strRef>
              <c:f>'NUEVO LUNES'!$E$633:$J$633</c:f>
            </c:strRef>
          </c:cat>
          <c:val>
            <c:numRef>
              <c:f>'NUEVO LUNES'!$E$637:$J$637</c:f>
              <c:numCache/>
            </c:numRef>
          </c:val>
          <c:smooth val="0"/>
        </c:ser>
        <c:ser>
          <c:idx val="4"/>
          <c:order val="4"/>
          <c:tx>
            <c:strRef>
              <c:f>'NUEVO LUNES'!$B$638:$D$638</c:f>
            </c:strRef>
          </c:tx>
          <c:spPr>
            <a:ln cmpd="sng" w="38100">
              <a:solidFill>
                <a:srgbClr val="8E7CC3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8E7CC3">
                  <a:alpha val="100000"/>
                </a:srgbClr>
              </a:solidFill>
              <a:ln cmpd="sng">
                <a:solidFill>
                  <a:srgbClr val="8E7CC3">
                    <a:alpha val="100000"/>
                  </a:srgbClr>
                </a:solidFill>
              </a:ln>
            </c:spPr>
          </c:marker>
          <c:cat>
            <c:strRef>
              <c:f>'NUEVO LUNES'!$E$633:$J$633</c:f>
            </c:strRef>
          </c:cat>
          <c:val>
            <c:numRef>
              <c:f>'NUEVO LUNES'!$E$638:$J$638</c:f>
              <c:numCache/>
            </c:numRef>
          </c:val>
          <c:smooth val="0"/>
        </c:ser>
        <c:axId val="2040829795"/>
        <c:axId val="1392148849"/>
      </c:lineChart>
      <c:catAx>
        <c:axId val="20408297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  <a:r>
                  <a:rPr b="1">
                    <a:solidFill>
                      <a:srgbClr val="000000"/>
                    </a:solidFill>
                    <a:latin typeface="Arial"/>
                  </a:rPr>
                  <a:t>Producto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392148849"/>
      </c:catAx>
      <c:valAx>
        <c:axId val="1392148849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</a:p>
        </c:txPr>
        <c:crossAx val="2040829795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000">
                <a:solidFill>
                  <a:srgbClr val="000000"/>
                </a:solidFill>
                <a:latin typeface="Arial"/>
              </a:defRPr>
            </a:pPr>
            <a:r>
              <a:rPr b="1" sz="1000">
                <a:solidFill>
                  <a:srgbClr val="000000"/>
                </a:solidFill>
                <a:latin typeface="Arial"/>
              </a:rPr>
              <a:t>ESTADISTICAS SEMANA 4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'NUEVO LUNES'!$B$640:$D$640</c:f>
            </c:strRef>
          </c:tx>
          <c:spPr>
            <a:ln cmpd="sng" w="38100">
              <a:solidFill>
                <a:srgbClr val="9ED84A"/>
              </a:solidFill>
            </a:ln>
          </c:spPr>
          <c:marker>
            <c:symbol val="circle"/>
            <c:size val="7"/>
            <c:spPr>
              <a:solidFill>
                <a:srgbClr val="9ED84A"/>
              </a:solidFill>
              <a:ln cmpd="sng">
                <a:solidFill>
                  <a:srgbClr val="9ED84A"/>
                </a:solidFill>
              </a:ln>
            </c:spPr>
          </c:marker>
          <c:cat>
            <c:strRef>
              <c:f>'NUEVO LUNES'!$E$639:$J$639</c:f>
            </c:strRef>
          </c:cat>
          <c:val>
            <c:numRef>
              <c:f>'NUEVO LUNES'!$E$640:$J$640</c:f>
              <c:numCache/>
            </c:numRef>
          </c:val>
          <c:smooth val="0"/>
        </c:ser>
        <c:ser>
          <c:idx val="1"/>
          <c:order val="1"/>
          <c:tx>
            <c:strRef>
              <c:f>'NUEVO LUNES'!$B$641:$D$641</c:f>
            </c:strRef>
          </c:tx>
          <c:spPr>
            <a:ln cmpd="sng"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marker>
          <c:cat>
            <c:strRef>
              <c:f>'NUEVO LUNES'!$E$639:$J$639</c:f>
            </c:strRef>
          </c:cat>
          <c:val>
            <c:numRef>
              <c:f>'NUEVO LUNES'!$E$641:$J$641</c:f>
              <c:numCache/>
            </c:numRef>
          </c:val>
          <c:smooth val="0"/>
        </c:ser>
        <c:ser>
          <c:idx val="2"/>
          <c:order val="2"/>
          <c:tx>
            <c:strRef>
              <c:f>'NUEVO LUNES'!$B$642:$D$642</c:f>
            </c:strRef>
          </c:tx>
          <c:spPr>
            <a:ln cmpd="sng" w="38100">
              <a:solidFill>
                <a:srgbClr val="808080"/>
              </a:solidFill>
            </a:ln>
          </c:spPr>
          <c:marker>
            <c:symbol val="circle"/>
            <c:size val="7"/>
            <c:spPr>
              <a:solidFill>
                <a:srgbClr val="808080"/>
              </a:solidFill>
              <a:ln cmpd="sng">
                <a:solidFill>
                  <a:srgbClr val="808080"/>
                </a:solidFill>
              </a:ln>
            </c:spPr>
          </c:marker>
          <c:cat>
            <c:strRef>
              <c:f>'NUEVO LUNES'!$E$639:$J$639</c:f>
            </c:strRef>
          </c:cat>
          <c:val>
            <c:numRef>
              <c:f>'NUEVO LUNES'!$E$642:$J$642</c:f>
              <c:numCache/>
            </c:numRef>
          </c:val>
          <c:smooth val="0"/>
        </c:ser>
        <c:ser>
          <c:idx val="3"/>
          <c:order val="3"/>
          <c:tx>
            <c:strRef>
              <c:f>'NUEVO LUNES'!$B$643:$D$643</c:f>
            </c:strRef>
          </c:tx>
          <c:spPr>
            <a:ln cmpd="sng" w="38100">
              <a:solidFill>
                <a:srgbClr val="F06753"/>
              </a:solidFill>
            </a:ln>
          </c:spPr>
          <c:marker>
            <c:symbol val="circle"/>
            <c:size val="7"/>
            <c:spPr>
              <a:solidFill>
                <a:srgbClr val="F06753"/>
              </a:solidFill>
              <a:ln cmpd="sng">
                <a:solidFill>
                  <a:srgbClr val="F06753"/>
                </a:solidFill>
              </a:ln>
            </c:spPr>
          </c:marker>
          <c:cat>
            <c:strRef>
              <c:f>'NUEVO LUNES'!$E$639:$J$639</c:f>
            </c:strRef>
          </c:cat>
          <c:val>
            <c:numRef>
              <c:f>'NUEVO LUNES'!$E$643:$J$643</c:f>
              <c:numCache/>
            </c:numRef>
          </c:val>
          <c:smooth val="0"/>
        </c:ser>
        <c:ser>
          <c:idx val="4"/>
          <c:order val="4"/>
          <c:tx>
            <c:strRef>
              <c:f>'NUEVO LUNES'!$B$644:$D$644</c:f>
            </c:strRef>
          </c:tx>
          <c:spPr>
            <a:ln cmpd="sng" w="38100">
              <a:solidFill>
                <a:srgbClr val="8E7CC3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8E7CC3">
                  <a:alpha val="100000"/>
                </a:srgbClr>
              </a:solidFill>
              <a:ln cmpd="sng">
                <a:solidFill>
                  <a:srgbClr val="8E7CC3">
                    <a:alpha val="100000"/>
                  </a:srgbClr>
                </a:solidFill>
              </a:ln>
            </c:spPr>
          </c:marker>
          <c:cat>
            <c:strRef>
              <c:f>'NUEVO LUNES'!$E$639:$J$639</c:f>
            </c:strRef>
          </c:cat>
          <c:val>
            <c:numRef>
              <c:f>'NUEVO LUNES'!$E$644:$J$644</c:f>
              <c:numCache/>
            </c:numRef>
          </c:val>
          <c:smooth val="0"/>
        </c:ser>
        <c:axId val="534437388"/>
        <c:axId val="1014789866"/>
      </c:lineChart>
      <c:catAx>
        <c:axId val="5344373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  <a:r>
                  <a:rPr b="1">
                    <a:solidFill>
                      <a:srgbClr val="000000"/>
                    </a:solidFill>
                    <a:latin typeface="Arial"/>
                  </a:rPr>
                  <a:t>Producto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014789866"/>
      </c:catAx>
      <c:valAx>
        <c:axId val="1014789866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</a:p>
        </c:txPr>
        <c:crossAx val="534437388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000">
                <a:solidFill>
                  <a:srgbClr val="000000"/>
                </a:solidFill>
                <a:latin typeface="Arial"/>
              </a:defRPr>
            </a:pPr>
            <a:r>
              <a:rPr b="1" sz="1000">
                <a:solidFill>
                  <a:srgbClr val="000000"/>
                </a:solidFill>
                <a:latin typeface="Arial"/>
              </a:rPr>
              <a:t>ESTADISTICAS DEL MES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'NUEVO LUNES'!$B$647:$D$647</c:f>
            </c:strRef>
          </c:tx>
          <c:spPr>
            <a:ln cmpd="sng" w="38100">
              <a:solidFill>
                <a:srgbClr val="9ED84A"/>
              </a:solidFill>
            </a:ln>
          </c:spPr>
          <c:marker>
            <c:symbol val="circle"/>
            <c:size val="7"/>
            <c:spPr>
              <a:solidFill>
                <a:srgbClr val="9ED84A"/>
              </a:solidFill>
              <a:ln cmpd="sng">
                <a:solidFill>
                  <a:srgbClr val="9ED84A"/>
                </a:solidFill>
              </a:ln>
            </c:spPr>
          </c:marker>
          <c:cat>
            <c:strRef>
              <c:f>'NUEVO LUNES'!$E$646:$J$646</c:f>
            </c:strRef>
          </c:cat>
          <c:val>
            <c:numRef>
              <c:f>'NUEVO LUNES'!$E$647:$J$647</c:f>
              <c:numCache/>
            </c:numRef>
          </c:val>
          <c:smooth val="0"/>
        </c:ser>
        <c:ser>
          <c:idx val="1"/>
          <c:order val="1"/>
          <c:tx>
            <c:strRef>
              <c:f>'NUEVO LUNES'!$B$648:$D$648</c:f>
            </c:strRef>
          </c:tx>
          <c:spPr>
            <a:ln cmpd="sng"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marker>
          <c:cat>
            <c:strRef>
              <c:f>'NUEVO LUNES'!$E$646:$J$646</c:f>
            </c:strRef>
          </c:cat>
          <c:val>
            <c:numRef>
              <c:f>'NUEVO LUNES'!$E$648:$J$648</c:f>
              <c:numCache/>
            </c:numRef>
          </c:val>
          <c:smooth val="0"/>
        </c:ser>
        <c:ser>
          <c:idx val="2"/>
          <c:order val="2"/>
          <c:tx>
            <c:strRef>
              <c:f>'NUEVO LUNES'!$B$649:$D$649</c:f>
            </c:strRef>
          </c:tx>
          <c:spPr>
            <a:ln cmpd="sng" w="38100">
              <a:solidFill>
                <a:srgbClr val="808080"/>
              </a:solidFill>
            </a:ln>
          </c:spPr>
          <c:marker>
            <c:symbol val="circle"/>
            <c:size val="7"/>
            <c:spPr>
              <a:solidFill>
                <a:srgbClr val="808080"/>
              </a:solidFill>
              <a:ln cmpd="sng">
                <a:solidFill>
                  <a:srgbClr val="808080"/>
                </a:solidFill>
              </a:ln>
            </c:spPr>
          </c:marker>
          <c:cat>
            <c:strRef>
              <c:f>'NUEVO LUNES'!$E$646:$J$646</c:f>
            </c:strRef>
          </c:cat>
          <c:val>
            <c:numRef>
              <c:f>'NUEVO LUNES'!$E$649:$J$649</c:f>
              <c:numCache/>
            </c:numRef>
          </c:val>
          <c:smooth val="0"/>
        </c:ser>
        <c:ser>
          <c:idx val="3"/>
          <c:order val="3"/>
          <c:tx>
            <c:strRef>
              <c:f>'NUEVO LUNES'!$B$650:$D$650</c:f>
            </c:strRef>
          </c:tx>
          <c:spPr>
            <a:ln cmpd="sng" w="38100">
              <a:solidFill>
                <a:srgbClr val="F06753"/>
              </a:solidFill>
            </a:ln>
          </c:spPr>
          <c:marker>
            <c:symbol val="circle"/>
            <c:size val="7"/>
            <c:spPr>
              <a:solidFill>
                <a:srgbClr val="F06753"/>
              </a:solidFill>
              <a:ln cmpd="sng">
                <a:solidFill>
                  <a:srgbClr val="F06753"/>
                </a:solidFill>
              </a:ln>
            </c:spPr>
          </c:marker>
          <c:cat>
            <c:strRef>
              <c:f>'NUEVO LUNES'!$E$646:$J$646</c:f>
            </c:strRef>
          </c:cat>
          <c:val>
            <c:numRef>
              <c:f>'NUEVO LUNES'!$E$650:$J$650</c:f>
              <c:numCache/>
            </c:numRef>
          </c:val>
          <c:smooth val="0"/>
        </c:ser>
        <c:ser>
          <c:idx val="4"/>
          <c:order val="4"/>
          <c:tx>
            <c:strRef>
              <c:f>'NUEVO LUNES'!$B$651:$D$651</c:f>
            </c:strRef>
          </c:tx>
          <c:spPr>
            <a:ln cmpd="sng" w="38100">
              <a:solidFill>
                <a:srgbClr val="8E7CC3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8E7CC3">
                  <a:alpha val="100000"/>
                </a:srgbClr>
              </a:solidFill>
              <a:ln cmpd="sng">
                <a:solidFill>
                  <a:srgbClr val="8E7CC3">
                    <a:alpha val="100000"/>
                  </a:srgbClr>
                </a:solidFill>
              </a:ln>
            </c:spPr>
          </c:marker>
          <c:cat>
            <c:strRef>
              <c:f>'NUEVO LUNES'!$E$646:$J$646</c:f>
            </c:strRef>
          </c:cat>
          <c:val>
            <c:numRef>
              <c:f>'NUEVO LUNES'!$E$651:$J$651</c:f>
              <c:numCache/>
            </c:numRef>
          </c:val>
          <c:smooth val="0"/>
        </c:ser>
        <c:axId val="342920559"/>
        <c:axId val="318050100"/>
      </c:lineChart>
      <c:catAx>
        <c:axId val="3429205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318050100"/>
      </c:catAx>
      <c:valAx>
        <c:axId val="318050100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</a:p>
        </c:txPr>
        <c:crossAx val="342920559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000">
                <a:solidFill>
                  <a:srgbClr val="000000"/>
                </a:solidFill>
                <a:latin typeface="Arial"/>
              </a:defRPr>
            </a:pPr>
            <a:r>
              <a:rPr b="1" sz="1000">
                <a:solidFill>
                  <a:srgbClr val="000000"/>
                </a:solidFill>
                <a:latin typeface="Arial"/>
              </a:rPr>
              <a:t>ESTADISTICAS SEMANA 1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'NUEVO MARTES'!$B$622:$D$622</c:f>
            </c:strRef>
          </c:tx>
          <c:spPr>
            <a:ln cmpd="sng" w="38100">
              <a:solidFill>
                <a:srgbClr val="9ED84A"/>
              </a:solidFill>
            </a:ln>
          </c:spPr>
          <c:marker>
            <c:symbol val="circle"/>
            <c:size val="7"/>
            <c:spPr>
              <a:solidFill>
                <a:srgbClr val="9ED84A"/>
              </a:solidFill>
              <a:ln cmpd="sng">
                <a:solidFill>
                  <a:srgbClr val="9ED84A"/>
                </a:solidFill>
              </a:ln>
            </c:spPr>
          </c:marker>
          <c:cat>
            <c:strRef>
              <c:f>'NUEVO MARTES'!$E$621:$J$621</c:f>
            </c:strRef>
          </c:cat>
          <c:val>
            <c:numRef>
              <c:f>'NUEVO MARTES'!$E$622:$J$622</c:f>
              <c:numCache/>
            </c:numRef>
          </c:val>
          <c:smooth val="0"/>
        </c:ser>
        <c:ser>
          <c:idx val="1"/>
          <c:order val="1"/>
          <c:tx>
            <c:strRef>
              <c:f>'NUEVO MARTES'!$B$623:$D$623</c:f>
            </c:strRef>
          </c:tx>
          <c:spPr>
            <a:ln cmpd="sng"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marker>
          <c:cat>
            <c:strRef>
              <c:f>'NUEVO MARTES'!$E$621:$J$621</c:f>
            </c:strRef>
          </c:cat>
          <c:val>
            <c:numRef>
              <c:f>'NUEVO MARTES'!$E$623:$J$623</c:f>
              <c:numCache/>
            </c:numRef>
          </c:val>
          <c:smooth val="0"/>
        </c:ser>
        <c:ser>
          <c:idx val="2"/>
          <c:order val="2"/>
          <c:tx>
            <c:strRef>
              <c:f>'NUEVO MARTES'!$B$624:$D$624</c:f>
            </c:strRef>
          </c:tx>
          <c:spPr>
            <a:ln cmpd="sng" w="38100">
              <a:solidFill>
                <a:srgbClr val="808080"/>
              </a:solidFill>
            </a:ln>
          </c:spPr>
          <c:marker>
            <c:symbol val="circle"/>
            <c:size val="7"/>
            <c:spPr>
              <a:solidFill>
                <a:srgbClr val="808080"/>
              </a:solidFill>
              <a:ln cmpd="sng">
                <a:solidFill>
                  <a:srgbClr val="808080"/>
                </a:solidFill>
              </a:ln>
            </c:spPr>
          </c:marker>
          <c:cat>
            <c:strRef>
              <c:f>'NUEVO MARTES'!$E$621:$J$621</c:f>
            </c:strRef>
          </c:cat>
          <c:val>
            <c:numRef>
              <c:f>'NUEVO MARTES'!$E$624:$J$624</c:f>
              <c:numCache/>
            </c:numRef>
          </c:val>
          <c:smooth val="0"/>
        </c:ser>
        <c:ser>
          <c:idx val="3"/>
          <c:order val="3"/>
          <c:tx>
            <c:strRef>
              <c:f>'NUEVO MARTES'!$B$625:$D$625</c:f>
            </c:strRef>
          </c:tx>
          <c:spPr>
            <a:ln cmpd="sng" w="38100">
              <a:solidFill>
                <a:srgbClr val="F06753"/>
              </a:solidFill>
            </a:ln>
          </c:spPr>
          <c:marker>
            <c:symbol val="circle"/>
            <c:size val="7"/>
            <c:spPr>
              <a:solidFill>
                <a:srgbClr val="F06753"/>
              </a:solidFill>
              <a:ln cmpd="sng">
                <a:solidFill>
                  <a:srgbClr val="F06753"/>
                </a:solidFill>
              </a:ln>
            </c:spPr>
          </c:marker>
          <c:cat>
            <c:strRef>
              <c:f>'NUEVO MARTES'!$E$621:$J$621</c:f>
            </c:strRef>
          </c:cat>
          <c:val>
            <c:numRef>
              <c:f>'NUEVO MARTES'!$E$625:$J$625</c:f>
              <c:numCache/>
            </c:numRef>
          </c:val>
          <c:smooth val="0"/>
        </c:ser>
        <c:ser>
          <c:idx val="4"/>
          <c:order val="4"/>
          <c:tx>
            <c:strRef>
              <c:f>'NUEVO MARTES'!$B$626:$D$626</c:f>
            </c:strRef>
          </c:tx>
          <c:spPr>
            <a:ln cmpd="sng" w="38100">
              <a:solidFill>
                <a:srgbClr val="8E7CC3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8E7CC3">
                  <a:alpha val="100000"/>
                </a:srgbClr>
              </a:solidFill>
              <a:ln cmpd="sng">
                <a:solidFill>
                  <a:srgbClr val="8E7CC3">
                    <a:alpha val="100000"/>
                  </a:srgbClr>
                </a:solidFill>
              </a:ln>
            </c:spPr>
          </c:marker>
          <c:cat>
            <c:strRef>
              <c:f>'NUEVO MARTES'!$E$621:$J$621</c:f>
            </c:strRef>
          </c:cat>
          <c:val>
            <c:numRef>
              <c:f>'NUEVO MARTES'!$E$626:$J$626</c:f>
              <c:numCache/>
            </c:numRef>
          </c:val>
          <c:smooth val="0"/>
        </c:ser>
        <c:axId val="2048066919"/>
        <c:axId val="1726036588"/>
      </c:lineChart>
      <c:catAx>
        <c:axId val="20480669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  <a:r>
                  <a:rPr b="1">
                    <a:solidFill>
                      <a:srgbClr val="000000"/>
                    </a:solidFill>
                    <a:latin typeface="Arial"/>
                  </a:rPr>
                  <a:t>Producto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</a:p>
        </c:txPr>
        <c:crossAx val="1726036588"/>
      </c:catAx>
      <c:valAx>
        <c:axId val="1726036588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</a:p>
        </c:txPr>
        <c:crossAx val="2048066919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000">
                <a:solidFill>
                  <a:srgbClr val="000000"/>
                </a:solidFill>
                <a:latin typeface="Arial"/>
              </a:defRPr>
            </a:pPr>
            <a:r>
              <a:rPr b="1" sz="1000">
                <a:solidFill>
                  <a:srgbClr val="000000"/>
                </a:solidFill>
                <a:latin typeface="Arial"/>
              </a:rPr>
              <a:t>ESTADISTICAS SEMANA 2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'NUEVO MARTES'!$B$628:$D$628</c:f>
            </c:strRef>
          </c:tx>
          <c:spPr>
            <a:ln cmpd="sng" w="38100">
              <a:solidFill>
                <a:srgbClr val="9ED84A"/>
              </a:solidFill>
            </a:ln>
          </c:spPr>
          <c:marker>
            <c:symbol val="circle"/>
            <c:size val="7"/>
            <c:spPr>
              <a:solidFill>
                <a:srgbClr val="9ED84A"/>
              </a:solidFill>
              <a:ln cmpd="sng">
                <a:solidFill>
                  <a:srgbClr val="9ED84A"/>
                </a:solidFill>
              </a:ln>
            </c:spPr>
          </c:marker>
          <c:cat>
            <c:strRef>
              <c:f>'NUEVO MARTES'!$E$627:$J$627</c:f>
            </c:strRef>
          </c:cat>
          <c:val>
            <c:numRef>
              <c:f>'NUEVO MARTES'!$E$628:$J$628</c:f>
              <c:numCache/>
            </c:numRef>
          </c:val>
          <c:smooth val="0"/>
        </c:ser>
        <c:ser>
          <c:idx val="1"/>
          <c:order val="1"/>
          <c:tx>
            <c:strRef>
              <c:f>'NUEVO MARTES'!$B$629:$D$629</c:f>
            </c:strRef>
          </c:tx>
          <c:spPr>
            <a:ln cmpd="sng"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marker>
          <c:cat>
            <c:strRef>
              <c:f>'NUEVO MARTES'!$E$627:$J$627</c:f>
            </c:strRef>
          </c:cat>
          <c:val>
            <c:numRef>
              <c:f>'NUEVO MARTES'!$E$629:$J$629</c:f>
              <c:numCache/>
            </c:numRef>
          </c:val>
          <c:smooth val="0"/>
        </c:ser>
        <c:ser>
          <c:idx val="2"/>
          <c:order val="2"/>
          <c:tx>
            <c:strRef>
              <c:f>'NUEVO MARTES'!$B$630:$D$630</c:f>
            </c:strRef>
          </c:tx>
          <c:spPr>
            <a:ln cmpd="sng" w="38100">
              <a:solidFill>
                <a:srgbClr val="808080"/>
              </a:solidFill>
            </a:ln>
          </c:spPr>
          <c:marker>
            <c:symbol val="circle"/>
            <c:size val="7"/>
            <c:spPr>
              <a:solidFill>
                <a:srgbClr val="808080"/>
              </a:solidFill>
              <a:ln cmpd="sng">
                <a:solidFill>
                  <a:srgbClr val="808080"/>
                </a:solidFill>
              </a:ln>
            </c:spPr>
          </c:marker>
          <c:cat>
            <c:strRef>
              <c:f>'NUEVO MARTES'!$E$627:$J$627</c:f>
            </c:strRef>
          </c:cat>
          <c:val>
            <c:numRef>
              <c:f>'NUEVO MARTES'!$E$630:$J$630</c:f>
              <c:numCache/>
            </c:numRef>
          </c:val>
          <c:smooth val="0"/>
        </c:ser>
        <c:ser>
          <c:idx val="3"/>
          <c:order val="3"/>
          <c:tx>
            <c:strRef>
              <c:f>'NUEVO MARTES'!$B$631:$D$631</c:f>
            </c:strRef>
          </c:tx>
          <c:spPr>
            <a:ln cmpd="sng" w="38100">
              <a:solidFill>
                <a:srgbClr val="F06753"/>
              </a:solidFill>
            </a:ln>
          </c:spPr>
          <c:marker>
            <c:symbol val="circle"/>
            <c:size val="7"/>
            <c:spPr>
              <a:solidFill>
                <a:srgbClr val="F06753"/>
              </a:solidFill>
              <a:ln cmpd="sng">
                <a:solidFill>
                  <a:srgbClr val="F06753"/>
                </a:solidFill>
              </a:ln>
            </c:spPr>
          </c:marker>
          <c:cat>
            <c:strRef>
              <c:f>'NUEVO MARTES'!$E$627:$J$627</c:f>
            </c:strRef>
          </c:cat>
          <c:val>
            <c:numRef>
              <c:f>'NUEVO MARTES'!$E$631:$J$631</c:f>
              <c:numCache/>
            </c:numRef>
          </c:val>
          <c:smooth val="0"/>
        </c:ser>
        <c:ser>
          <c:idx val="4"/>
          <c:order val="4"/>
          <c:tx>
            <c:strRef>
              <c:f>'NUEVO MARTES'!$B$632:$D$632</c:f>
            </c:strRef>
          </c:tx>
          <c:spPr>
            <a:ln cmpd="sng" w="38100">
              <a:solidFill>
                <a:srgbClr val="8E7CC3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8E7CC3">
                  <a:alpha val="100000"/>
                </a:srgbClr>
              </a:solidFill>
              <a:ln cmpd="sng">
                <a:solidFill>
                  <a:srgbClr val="8E7CC3">
                    <a:alpha val="100000"/>
                  </a:srgbClr>
                </a:solidFill>
              </a:ln>
            </c:spPr>
          </c:marker>
          <c:cat>
            <c:strRef>
              <c:f>'NUEVO MARTES'!$E$627:$J$627</c:f>
            </c:strRef>
          </c:cat>
          <c:val>
            <c:numRef>
              <c:f>'NUEVO MARTES'!$E$632:$J$632</c:f>
              <c:numCache/>
            </c:numRef>
          </c:val>
          <c:smooth val="0"/>
        </c:ser>
        <c:axId val="1108987512"/>
        <c:axId val="781147030"/>
      </c:lineChart>
      <c:catAx>
        <c:axId val="1108987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  <a:r>
                  <a:rPr b="1">
                    <a:solidFill>
                      <a:srgbClr val="000000"/>
                    </a:solidFill>
                    <a:latin typeface="Arial"/>
                  </a:rPr>
                  <a:t>Producto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</a:p>
        </c:txPr>
        <c:crossAx val="781147030"/>
      </c:catAx>
      <c:valAx>
        <c:axId val="781147030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</a:p>
        </c:txPr>
        <c:crossAx val="1108987512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000">
                <a:solidFill>
                  <a:srgbClr val="000000"/>
                </a:solidFill>
                <a:latin typeface="Arial"/>
              </a:defRPr>
            </a:pPr>
            <a:r>
              <a:rPr b="1" sz="1000">
                <a:solidFill>
                  <a:srgbClr val="000000"/>
                </a:solidFill>
                <a:latin typeface="Arial"/>
              </a:rPr>
              <a:t>ESTADISTICAS SEMANA 3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'NUEVO MARTES'!$B$634:$D$634</c:f>
            </c:strRef>
          </c:tx>
          <c:spPr>
            <a:ln cmpd="sng" w="38100">
              <a:solidFill>
                <a:srgbClr val="9ED84A"/>
              </a:solidFill>
            </a:ln>
          </c:spPr>
          <c:marker>
            <c:symbol val="circle"/>
            <c:size val="7"/>
            <c:spPr>
              <a:solidFill>
                <a:srgbClr val="9ED84A"/>
              </a:solidFill>
              <a:ln cmpd="sng">
                <a:solidFill>
                  <a:srgbClr val="9ED84A"/>
                </a:solidFill>
              </a:ln>
            </c:spPr>
          </c:marker>
          <c:cat>
            <c:strRef>
              <c:f>'NUEVO MARTES'!$E$633:$J$633</c:f>
            </c:strRef>
          </c:cat>
          <c:val>
            <c:numRef>
              <c:f>'NUEVO MARTES'!$E$634:$J$634</c:f>
              <c:numCache/>
            </c:numRef>
          </c:val>
          <c:smooth val="0"/>
        </c:ser>
        <c:ser>
          <c:idx val="1"/>
          <c:order val="1"/>
          <c:tx>
            <c:strRef>
              <c:f>'NUEVO MARTES'!$B$635:$D$635</c:f>
            </c:strRef>
          </c:tx>
          <c:spPr>
            <a:ln cmpd="sng"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marker>
          <c:cat>
            <c:strRef>
              <c:f>'NUEVO MARTES'!$E$633:$J$633</c:f>
            </c:strRef>
          </c:cat>
          <c:val>
            <c:numRef>
              <c:f>'NUEVO MARTES'!$E$635:$J$635</c:f>
              <c:numCache/>
            </c:numRef>
          </c:val>
          <c:smooth val="0"/>
        </c:ser>
        <c:ser>
          <c:idx val="2"/>
          <c:order val="2"/>
          <c:tx>
            <c:strRef>
              <c:f>'NUEVO MARTES'!$B$636:$D$636</c:f>
            </c:strRef>
          </c:tx>
          <c:spPr>
            <a:ln cmpd="sng" w="38100">
              <a:solidFill>
                <a:srgbClr val="808080"/>
              </a:solidFill>
            </a:ln>
          </c:spPr>
          <c:marker>
            <c:symbol val="circle"/>
            <c:size val="7"/>
            <c:spPr>
              <a:solidFill>
                <a:srgbClr val="808080"/>
              </a:solidFill>
              <a:ln cmpd="sng">
                <a:solidFill>
                  <a:srgbClr val="808080"/>
                </a:solidFill>
              </a:ln>
            </c:spPr>
          </c:marker>
          <c:cat>
            <c:strRef>
              <c:f>'NUEVO MARTES'!$E$633:$J$633</c:f>
            </c:strRef>
          </c:cat>
          <c:val>
            <c:numRef>
              <c:f>'NUEVO MARTES'!$E$636:$J$636</c:f>
              <c:numCache/>
            </c:numRef>
          </c:val>
          <c:smooth val="0"/>
        </c:ser>
        <c:ser>
          <c:idx val="3"/>
          <c:order val="3"/>
          <c:tx>
            <c:strRef>
              <c:f>'NUEVO MARTES'!$B$637:$D$637</c:f>
            </c:strRef>
          </c:tx>
          <c:spPr>
            <a:ln cmpd="sng" w="38100">
              <a:solidFill>
                <a:srgbClr val="F06753"/>
              </a:solidFill>
            </a:ln>
          </c:spPr>
          <c:marker>
            <c:symbol val="circle"/>
            <c:size val="7"/>
            <c:spPr>
              <a:solidFill>
                <a:srgbClr val="F06753"/>
              </a:solidFill>
              <a:ln cmpd="sng">
                <a:solidFill>
                  <a:srgbClr val="F06753"/>
                </a:solidFill>
              </a:ln>
            </c:spPr>
          </c:marker>
          <c:cat>
            <c:strRef>
              <c:f>'NUEVO MARTES'!$E$633:$J$633</c:f>
            </c:strRef>
          </c:cat>
          <c:val>
            <c:numRef>
              <c:f>'NUEVO MARTES'!$E$637:$J$637</c:f>
              <c:numCache/>
            </c:numRef>
          </c:val>
          <c:smooth val="0"/>
        </c:ser>
        <c:ser>
          <c:idx val="4"/>
          <c:order val="4"/>
          <c:tx>
            <c:strRef>
              <c:f>'NUEVO MARTES'!$B$638:$D$638</c:f>
            </c:strRef>
          </c:tx>
          <c:spPr>
            <a:ln cmpd="sng" w="38100">
              <a:solidFill>
                <a:srgbClr val="8E7CC3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8E7CC3">
                  <a:alpha val="100000"/>
                </a:srgbClr>
              </a:solidFill>
              <a:ln cmpd="sng">
                <a:solidFill>
                  <a:srgbClr val="8E7CC3">
                    <a:alpha val="100000"/>
                  </a:srgbClr>
                </a:solidFill>
              </a:ln>
            </c:spPr>
          </c:marker>
          <c:cat>
            <c:strRef>
              <c:f>'NUEVO MARTES'!$E$633:$J$633</c:f>
            </c:strRef>
          </c:cat>
          <c:val>
            <c:numRef>
              <c:f>'NUEVO MARTES'!$E$638:$J$638</c:f>
              <c:numCache/>
            </c:numRef>
          </c:val>
          <c:smooth val="0"/>
        </c:ser>
        <c:axId val="2031479302"/>
        <c:axId val="398781997"/>
      </c:lineChart>
      <c:catAx>
        <c:axId val="20314793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  <a:r>
                  <a:rPr b="1">
                    <a:solidFill>
                      <a:srgbClr val="000000"/>
                    </a:solidFill>
                    <a:latin typeface="Arial"/>
                  </a:rPr>
                  <a:t>Producto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398781997"/>
      </c:catAx>
      <c:valAx>
        <c:axId val="398781997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</a:p>
        </c:txPr>
        <c:crossAx val="2031479302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000">
                <a:solidFill>
                  <a:srgbClr val="000000"/>
                </a:solidFill>
                <a:latin typeface="Arial"/>
              </a:defRPr>
            </a:pPr>
            <a:r>
              <a:rPr b="1" sz="1000">
                <a:solidFill>
                  <a:srgbClr val="000000"/>
                </a:solidFill>
                <a:latin typeface="Arial"/>
              </a:rPr>
              <a:t>ESTADISTICAS SEMANA 4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'NUEVO MARTES'!$B$640:$D$640</c:f>
            </c:strRef>
          </c:tx>
          <c:spPr>
            <a:ln cmpd="sng" w="38100">
              <a:solidFill>
                <a:srgbClr val="9ED84A"/>
              </a:solidFill>
            </a:ln>
          </c:spPr>
          <c:marker>
            <c:symbol val="circle"/>
            <c:size val="7"/>
            <c:spPr>
              <a:solidFill>
                <a:srgbClr val="9ED84A"/>
              </a:solidFill>
              <a:ln cmpd="sng">
                <a:solidFill>
                  <a:srgbClr val="9ED84A"/>
                </a:solidFill>
              </a:ln>
            </c:spPr>
          </c:marker>
          <c:cat>
            <c:strRef>
              <c:f>'NUEVO MARTES'!$E$639:$J$639</c:f>
            </c:strRef>
          </c:cat>
          <c:val>
            <c:numRef>
              <c:f>'NUEVO MARTES'!$E$640:$J$640</c:f>
              <c:numCache/>
            </c:numRef>
          </c:val>
          <c:smooth val="0"/>
        </c:ser>
        <c:ser>
          <c:idx val="1"/>
          <c:order val="1"/>
          <c:tx>
            <c:strRef>
              <c:f>'NUEVO MARTES'!$B$641:$D$641</c:f>
            </c:strRef>
          </c:tx>
          <c:spPr>
            <a:ln cmpd="sng"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marker>
          <c:cat>
            <c:strRef>
              <c:f>'NUEVO MARTES'!$E$639:$J$639</c:f>
            </c:strRef>
          </c:cat>
          <c:val>
            <c:numRef>
              <c:f>'NUEVO MARTES'!$E$641:$J$641</c:f>
              <c:numCache/>
            </c:numRef>
          </c:val>
          <c:smooth val="0"/>
        </c:ser>
        <c:ser>
          <c:idx val="2"/>
          <c:order val="2"/>
          <c:tx>
            <c:strRef>
              <c:f>'NUEVO MARTES'!$B$642:$D$642</c:f>
            </c:strRef>
          </c:tx>
          <c:spPr>
            <a:ln cmpd="sng" w="38100">
              <a:solidFill>
                <a:srgbClr val="808080"/>
              </a:solidFill>
            </a:ln>
          </c:spPr>
          <c:marker>
            <c:symbol val="circle"/>
            <c:size val="7"/>
            <c:spPr>
              <a:solidFill>
                <a:srgbClr val="808080"/>
              </a:solidFill>
              <a:ln cmpd="sng">
                <a:solidFill>
                  <a:srgbClr val="808080"/>
                </a:solidFill>
              </a:ln>
            </c:spPr>
          </c:marker>
          <c:cat>
            <c:strRef>
              <c:f>'NUEVO MARTES'!$E$639:$J$639</c:f>
            </c:strRef>
          </c:cat>
          <c:val>
            <c:numRef>
              <c:f>'NUEVO MARTES'!$E$642:$J$642</c:f>
              <c:numCache/>
            </c:numRef>
          </c:val>
          <c:smooth val="0"/>
        </c:ser>
        <c:ser>
          <c:idx val="3"/>
          <c:order val="3"/>
          <c:tx>
            <c:strRef>
              <c:f>'NUEVO MARTES'!$B$643:$D$643</c:f>
            </c:strRef>
          </c:tx>
          <c:spPr>
            <a:ln cmpd="sng" w="38100">
              <a:solidFill>
                <a:srgbClr val="F06753"/>
              </a:solidFill>
            </a:ln>
          </c:spPr>
          <c:marker>
            <c:symbol val="circle"/>
            <c:size val="7"/>
            <c:spPr>
              <a:solidFill>
                <a:srgbClr val="F06753"/>
              </a:solidFill>
              <a:ln cmpd="sng">
                <a:solidFill>
                  <a:srgbClr val="F06753"/>
                </a:solidFill>
              </a:ln>
            </c:spPr>
          </c:marker>
          <c:cat>
            <c:strRef>
              <c:f>'NUEVO MARTES'!$E$639:$J$639</c:f>
            </c:strRef>
          </c:cat>
          <c:val>
            <c:numRef>
              <c:f>'NUEVO MARTES'!$E$643:$J$643</c:f>
              <c:numCache/>
            </c:numRef>
          </c:val>
          <c:smooth val="0"/>
        </c:ser>
        <c:ser>
          <c:idx val="4"/>
          <c:order val="4"/>
          <c:tx>
            <c:strRef>
              <c:f>'NUEVO MARTES'!$B$644:$D$644</c:f>
            </c:strRef>
          </c:tx>
          <c:spPr>
            <a:ln cmpd="sng" w="38100">
              <a:solidFill>
                <a:srgbClr val="8E7CC3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8E7CC3">
                  <a:alpha val="100000"/>
                </a:srgbClr>
              </a:solidFill>
              <a:ln cmpd="sng">
                <a:solidFill>
                  <a:srgbClr val="8E7CC3">
                    <a:alpha val="100000"/>
                  </a:srgbClr>
                </a:solidFill>
              </a:ln>
            </c:spPr>
          </c:marker>
          <c:cat>
            <c:strRef>
              <c:f>'NUEVO MARTES'!$E$639:$J$639</c:f>
            </c:strRef>
          </c:cat>
          <c:val>
            <c:numRef>
              <c:f>'NUEVO MARTES'!$E$644:$J$644</c:f>
              <c:numCache/>
            </c:numRef>
          </c:val>
          <c:smooth val="0"/>
        </c:ser>
        <c:axId val="174586936"/>
        <c:axId val="1717217517"/>
      </c:lineChart>
      <c:catAx>
        <c:axId val="1745869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  <a:r>
                  <a:rPr b="1">
                    <a:solidFill>
                      <a:srgbClr val="000000"/>
                    </a:solidFill>
                    <a:latin typeface="Arial"/>
                  </a:rPr>
                  <a:t>Producto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717217517"/>
      </c:catAx>
      <c:valAx>
        <c:axId val="1717217517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</a:p>
        </c:txPr>
        <c:crossAx val="174586936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000">
                <a:solidFill>
                  <a:srgbClr val="000000"/>
                </a:solidFill>
                <a:latin typeface="Arial"/>
              </a:defRPr>
            </a:pPr>
            <a:r>
              <a:rPr b="1" sz="1000">
                <a:solidFill>
                  <a:srgbClr val="000000"/>
                </a:solidFill>
                <a:latin typeface="Arial"/>
              </a:rPr>
              <a:t>ESTADISTICAS DEL MES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'NUEVO MARTES'!$B$647:$D$647</c:f>
            </c:strRef>
          </c:tx>
          <c:spPr>
            <a:ln cmpd="sng" w="38100">
              <a:solidFill>
                <a:srgbClr val="9ED84A"/>
              </a:solidFill>
            </a:ln>
          </c:spPr>
          <c:marker>
            <c:symbol val="circle"/>
            <c:size val="7"/>
            <c:spPr>
              <a:solidFill>
                <a:srgbClr val="9ED84A"/>
              </a:solidFill>
              <a:ln cmpd="sng">
                <a:solidFill>
                  <a:srgbClr val="9ED84A"/>
                </a:solidFill>
              </a:ln>
            </c:spPr>
          </c:marker>
          <c:cat>
            <c:strRef>
              <c:f>'NUEVO MARTES'!$E$646:$J$646</c:f>
            </c:strRef>
          </c:cat>
          <c:val>
            <c:numRef>
              <c:f>'NUEVO MARTES'!$E$647:$J$647</c:f>
              <c:numCache/>
            </c:numRef>
          </c:val>
          <c:smooth val="0"/>
        </c:ser>
        <c:ser>
          <c:idx val="1"/>
          <c:order val="1"/>
          <c:tx>
            <c:strRef>
              <c:f>'NUEVO MARTES'!$B$648:$D$648</c:f>
            </c:strRef>
          </c:tx>
          <c:spPr>
            <a:ln cmpd="sng"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marker>
          <c:cat>
            <c:strRef>
              <c:f>'NUEVO MARTES'!$E$646:$J$646</c:f>
            </c:strRef>
          </c:cat>
          <c:val>
            <c:numRef>
              <c:f>'NUEVO MARTES'!$E$648:$J$648</c:f>
              <c:numCache/>
            </c:numRef>
          </c:val>
          <c:smooth val="0"/>
        </c:ser>
        <c:ser>
          <c:idx val="2"/>
          <c:order val="2"/>
          <c:tx>
            <c:strRef>
              <c:f>'NUEVO MARTES'!$B$649:$D$649</c:f>
            </c:strRef>
          </c:tx>
          <c:spPr>
            <a:ln cmpd="sng" w="38100">
              <a:solidFill>
                <a:srgbClr val="808080"/>
              </a:solidFill>
            </a:ln>
          </c:spPr>
          <c:marker>
            <c:symbol val="circle"/>
            <c:size val="7"/>
            <c:spPr>
              <a:solidFill>
                <a:srgbClr val="808080"/>
              </a:solidFill>
              <a:ln cmpd="sng">
                <a:solidFill>
                  <a:srgbClr val="808080"/>
                </a:solidFill>
              </a:ln>
            </c:spPr>
          </c:marker>
          <c:cat>
            <c:strRef>
              <c:f>'NUEVO MARTES'!$E$646:$J$646</c:f>
            </c:strRef>
          </c:cat>
          <c:val>
            <c:numRef>
              <c:f>'NUEVO MARTES'!$E$649:$J$649</c:f>
              <c:numCache/>
            </c:numRef>
          </c:val>
          <c:smooth val="0"/>
        </c:ser>
        <c:ser>
          <c:idx val="3"/>
          <c:order val="3"/>
          <c:tx>
            <c:strRef>
              <c:f>'NUEVO MARTES'!$B$650:$D$650</c:f>
            </c:strRef>
          </c:tx>
          <c:spPr>
            <a:ln cmpd="sng" w="38100">
              <a:solidFill>
                <a:srgbClr val="F06753"/>
              </a:solidFill>
            </a:ln>
          </c:spPr>
          <c:marker>
            <c:symbol val="circle"/>
            <c:size val="7"/>
            <c:spPr>
              <a:solidFill>
                <a:srgbClr val="F06753"/>
              </a:solidFill>
              <a:ln cmpd="sng">
                <a:solidFill>
                  <a:srgbClr val="F06753"/>
                </a:solidFill>
              </a:ln>
            </c:spPr>
          </c:marker>
          <c:cat>
            <c:strRef>
              <c:f>'NUEVO MARTES'!$E$646:$J$646</c:f>
            </c:strRef>
          </c:cat>
          <c:val>
            <c:numRef>
              <c:f>'NUEVO MARTES'!$E$650:$J$650</c:f>
              <c:numCache/>
            </c:numRef>
          </c:val>
          <c:smooth val="0"/>
        </c:ser>
        <c:ser>
          <c:idx val="4"/>
          <c:order val="4"/>
          <c:tx>
            <c:strRef>
              <c:f>'NUEVO MARTES'!$B$651:$D$651</c:f>
            </c:strRef>
          </c:tx>
          <c:spPr>
            <a:ln cmpd="sng" w="38100">
              <a:solidFill>
                <a:srgbClr val="8E7CC3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8E7CC3">
                  <a:alpha val="100000"/>
                </a:srgbClr>
              </a:solidFill>
              <a:ln cmpd="sng">
                <a:solidFill>
                  <a:srgbClr val="8E7CC3">
                    <a:alpha val="100000"/>
                  </a:srgbClr>
                </a:solidFill>
              </a:ln>
            </c:spPr>
          </c:marker>
          <c:cat>
            <c:strRef>
              <c:f>'NUEVO MARTES'!$E$646:$J$646</c:f>
            </c:strRef>
          </c:cat>
          <c:val>
            <c:numRef>
              <c:f>'NUEVO MARTES'!$E$651:$J$651</c:f>
              <c:numCache/>
            </c:numRef>
          </c:val>
          <c:smooth val="0"/>
        </c:ser>
        <c:axId val="2146590556"/>
        <c:axId val="1704958340"/>
      </c:lineChart>
      <c:catAx>
        <c:axId val="21465905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704958340"/>
      </c:catAx>
      <c:valAx>
        <c:axId val="1704958340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</a:p>
        </c:txPr>
        <c:crossAx val="2146590556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000">
                <a:solidFill>
                  <a:srgbClr val="000000"/>
                </a:solidFill>
                <a:latin typeface="Arial"/>
              </a:defRPr>
            </a:pPr>
            <a:r>
              <a:rPr b="1" sz="1000">
                <a:solidFill>
                  <a:srgbClr val="000000"/>
                </a:solidFill>
                <a:latin typeface="Arial"/>
              </a:rPr>
              <a:t>ESTADISTICAS SEMANA 1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'NUEVO MIERCOLES'!$B$622:$D$622</c:f>
            </c:strRef>
          </c:tx>
          <c:spPr>
            <a:ln cmpd="sng" w="38100">
              <a:solidFill>
                <a:srgbClr val="9ED84A"/>
              </a:solidFill>
            </a:ln>
          </c:spPr>
          <c:marker>
            <c:symbol val="circle"/>
            <c:size val="7"/>
            <c:spPr>
              <a:solidFill>
                <a:srgbClr val="9ED84A"/>
              </a:solidFill>
              <a:ln cmpd="sng">
                <a:solidFill>
                  <a:srgbClr val="9ED84A"/>
                </a:solidFill>
              </a:ln>
            </c:spPr>
          </c:marker>
          <c:cat>
            <c:strRef>
              <c:f>'NUEVO MIERCOLES'!$E$621:$J$621</c:f>
            </c:strRef>
          </c:cat>
          <c:val>
            <c:numRef>
              <c:f>'NUEVO MIERCOLES'!$E$622:$J$622</c:f>
              <c:numCache/>
            </c:numRef>
          </c:val>
          <c:smooth val="0"/>
        </c:ser>
        <c:ser>
          <c:idx val="1"/>
          <c:order val="1"/>
          <c:tx>
            <c:strRef>
              <c:f>'NUEVO MIERCOLES'!$B$623:$D$623</c:f>
            </c:strRef>
          </c:tx>
          <c:spPr>
            <a:ln cmpd="sng"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marker>
          <c:cat>
            <c:strRef>
              <c:f>'NUEVO MIERCOLES'!$E$621:$J$621</c:f>
            </c:strRef>
          </c:cat>
          <c:val>
            <c:numRef>
              <c:f>'NUEVO MIERCOLES'!$E$623:$J$623</c:f>
              <c:numCache/>
            </c:numRef>
          </c:val>
          <c:smooth val="0"/>
        </c:ser>
        <c:ser>
          <c:idx val="2"/>
          <c:order val="2"/>
          <c:tx>
            <c:strRef>
              <c:f>'NUEVO MIERCOLES'!$B$624:$D$624</c:f>
            </c:strRef>
          </c:tx>
          <c:spPr>
            <a:ln cmpd="sng" w="38100">
              <a:solidFill>
                <a:srgbClr val="808080"/>
              </a:solidFill>
            </a:ln>
          </c:spPr>
          <c:marker>
            <c:symbol val="circle"/>
            <c:size val="7"/>
            <c:spPr>
              <a:solidFill>
                <a:srgbClr val="808080"/>
              </a:solidFill>
              <a:ln cmpd="sng">
                <a:solidFill>
                  <a:srgbClr val="808080"/>
                </a:solidFill>
              </a:ln>
            </c:spPr>
          </c:marker>
          <c:cat>
            <c:strRef>
              <c:f>'NUEVO MIERCOLES'!$E$621:$J$621</c:f>
            </c:strRef>
          </c:cat>
          <c:val>
            <c:numRef>
              <c:f>'NUEVO MIERCOLES'!$E$624:$J$624</c:f>
              <c:numCache/>
            </c:numRef>
          </c:val>
          <c:smooth val="0"/>
        </c:ser>
        <c:ser>
          <c:idx val="3"/>
          <c:order val="3"/>
          <c:tx>
            <c:strRef>
              <c:f>'NUEVO MIERCOLES'!$B$625:$D$625</c:f>
            </c:strRef>
          </c:tx>
          <c:spPr>
            <a:ln cmpd="sng" w="38100">
              <a:solidFill>
                <a:srgbClr val="F06753"/>
              </a:solidFill>
            </a:ln>
          </c:spPr>
          <c:marker>
            <c:symbol val="circle"/>
            <c:size val="7"/>
            <c:spPr>
              <a:solidFill>
                <a:srgbClr val="F06753"/>
              </a:solidFill>
              <a:ln cmpd="sng">
                <a:solidFill>
                  <a:srgbClr val="F06753"/>
                </a:solidFill>
              </a:ln>
            </c:spPr>
          </c:marker>
          <c:cat>
            <c:strRef>
              <c:f>'NUEVO MIERCOLES'!$E$621:$J$621</c:f>
            </c:strRef>
          </c:cat>
          <c:val>
            <c:numRef>
              <c:f>'NUEVO MIERCOLES'!$E$625:$J$625</c:f>
              <c:numCache/>
            </c:numRef>
          </c:val>
          <c:smooth val="0"/>
        </c:ser>
        <c:ser>
          <c:idx val="4"/>
          <c:order val="4"/>
          <c:tx>
            <c:strRef>
              <c:f>'NUEVO MIERCOLES'!$B$626:$D$626</c:f>
            </c:strRef>
          </c:tx>
          <c:spPr>
            <a:ln cmpd="sng" w="38100">
              <a:solidFill>
                <a:srgbClr val="8E7CC3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8E7CC3">
                  <a:alpha val="100000"/>
                </a:srgbClr>
              </a:solidFill>
              <a:ln cmpd="sng">
                <a:solidFill>
                  <a:srgbClr val="8E7CC3">
                    <a:alpha val="100000"/>
                  </a:srgbClr>
                </a:solidFill>
              </a:ln>
            </c:spPr>
          </c:marker>
          <c:cat>
            <c:strRef>
              <c:f>'NUEVO MIERCOLES'!$E$621:$J$621</c:f>
            </c:strRef>
          </c:cat>
          <c:val>
            <c:numRef>
              <c:f>'NUEVO MIERCOLES'!$E$626:$J$626</c:f>
              <c:numCache/>
            </c:numRef>
          </c:val>
          <c:smooth val="0"/>
        </c:ser>
        <c:axId val="1931438435"/>
        <c:axId val="1543798011"/>
      </c:lineChart>
      <c:catAx>
        <c:axId val="19314384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  <a:r>
                  <a:rPr b="1">
                    <a:solidFill>
                      <a:srgbClr val="000000"/>
                    </a:solidFill>
                    <a:latin typeface="Arial"/>
                  </a:rPr>
                  <a:t>Producto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</a:p>
        </c:txPr>
        <c:crossAx val="1543798011"/>
      </c:catAx>
      <c:valAx>
        <c:axId val="1543798011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</a:p>
        </c:txPr>
        <c:crossAx val="1931438435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000">
                <a:solidFill>
                  <a:srgbClr val="000000"/>
                </a:solidFill>
                <a:latin typeface="Arial"/>
              </a:defRPr>
            </a:pPr>
            <a:r>
              <a:rPr b="1" sz="1000">
                <a:solidFill>
                  <a:srgbClr val="000000"/>
                </a:solidFill>
                <a:latin typeface="Arial"/>
              </a:rPr>
              <a:t>ESTADISTICAS SEMANA 2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'NUEVO MIERCOLES'!$B$628:$D$628</c:f>
            </c:strRef>
          </c:tx>
          <c:spPr>
            <a:ln cmpd="sng" w="38100">
              <a:solidFill>
                <a:srgbClr val="9ED84A"/>
              </a:solidFill>
            </a:ln>
          </c:spPr>
          <c:marker>
            <c:symbol val="circle"/>
            <c:size val="7"/>
            <c:spPr>
              <a:solidFill>
                <a:srgbClr val="9ED84A"/>
              </a:solidFill>
              <a:ln cmpd="sng">
                <a:solidFill>
                  <a:srgbClr val="9ED84A"/>
                </a:solidFill>
              </a:ln>
            </c:spPr>
          </c:marker>
          <c:cat>
            <c:strRef>
              <c:f>'NUEVO MIERCOLES'!$E$627:$J$627</c:f>
            </c:strRef>
          </c:cat>
          <c:val>
            <c:numRef>
              <c:f>'NUEVO MIERCOLES'!$E$628:$J$628</c:f>
              <c:numCache/>
            </c:numRef>
          </c:val>
          <c:smooth val="0"/>
        </c:ser>
        <c:ser>
          <c:idx val="1"/>
          <c:order val="1"/>
          <c:tx>
            <c:strRef>
              <c:f>'NUEVO MIERCOLES'!$B$629:$D$629</c:f>
            </c:strRef>
          </c:tx>
          <c:spPr>
            <a:ln cmpd="sng"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marker>
          <c:cat>
            <c:strRef>
              <c:f>'NUEVO MIERCOLES'!$E$627:$J$627</c:f>
            </c:strRef>
          </c:cat>
          <c:val>
            <c:numRef>
              <c:f>'NUEVO MIERCOLES'!$E$629:$J$629</c:f>
              <c:numCache/>
            </c:numRef>
          </c:val>
          <c:smooth val="0"/>
        </c:ser>
        <c:ser>
          <c:idx val="2"/>
          <c:order val="2"/>
          <c:tx>
            <c:strRef>
              <c:f>'NUEVO MIERCOLES'!$B$630:$D$630</c:f>
            </c:strRef>
          </c:tx>
          <c:spPr>
            <a:ln cmpd="sng" w="38100">
              <a:solidFill>
                <a:srgbClr val="808080"/>
              </a:solidFill>
            </a:ln>
          </c:spPr>
          <c:marker>
            <c:symbol val="circle"/>
            <c:size val="7"/>
            <c:spPr>
              <a:solidFill>
                <a:srgbClr val="808080"/>
              </a:solidFill>
              <a:ln cmpd="sng">
                <a:solidFill>
                  <a:srgbClr val="808080"/>
                </a:solidFill>
              </a:ln>
            </c:spPr>
          </c:marker>
          <c:cat>
            <c:strRef>
              <c:f>'NUEVO MIERCOLES'!$E$627:$J$627</c:f>
            </c:strRef>
          </c:cat>
          <c:val>
            <c:numRef>
              <c:f>'NUEVO MIERCOLES'!$E$630:$J$630</c:f>
              <c:numCache/>
            </c:numRef>
          </c:val>
          <c:smooth val="0"/>
        </c:ser>
        <c:ser>
          <c:idx val="3"/>
          <c:order val="3"/>
          <c:tx>
            <c:strRef>
              <c:f>'NUEVO MIERCOLES'!$B$631:$D$631</c:f>
            </c:strRef>
          </c:tx>
          <c:spPr>
            <a:ln cmpd="sng" w="38100">
              <a:solidFill>
                <a:srgbClr val="F06753"/>
              </a:solidFill>
            </a:ln>
          </c:spPr>
          <c:marker>
            <c:symbol val="circle"/>
            <c:size val="7"/>
            <c:spPr>
              <a:solidFill>
                <a:srgbClr val="F06753"/>
              </a:solidFill>
              <a:ln cmpd="sng">
                <a:solidFill>
                  <a:srgbClr val="F06753"/>
                </a:solidFill>
              </a:ln>
            </c:spPr>
          </c:marker>
          <c:cat>
            <c:strRef>
              <c:f>'NUEVO MIERCOLES'!$E$627:$J$627</c:f>
            </c:strRef>
          </c:cat>
          <c:val>
            <c:numRef>
              <c:f>'NUEVO MIERCOLES'!$E$631:$J$631</c:f>
              <c:numCache/>
            </c:numRef>
          </c:val>
          <c:smooth val="0"/>
        </c:ser>
        <c:ser>
          <c:idx val="4"/>
          <c:order val="4"/>
          <c:tx>
            <c:strRef>
              <c:f>'NUEVO MIERCOLES'!$B$632:$D$632</c:f>
            </c:strRef>
          </c:tx>
          <c:spPr>
            <a:ln cmpd="sng" w="38100">
              <a:solidFill>
                <a:srgbClr val="8E7CC3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8E7CC3">
                  <a:alpha val="100000"/>
                </a:srgbClr>
              </a:solidFill>
              <a:ln cmpd="sng">
                <a:solidFill>
                  <a:srgbClr val="8E7CC3">
                    <a:alpha val="100000"/>
                  </a:srgbClr>
                </a:solidFill>
              </a:ln>
            </c:spPr>
          </c:marker>
          <c:cat>
            <c:strRef>
              <c:f>'NUEVO MIERCOLES'!$E$627:$J$627</c:f>
            </c:strRef>
          </c:cat>
          <c:val>
            <c:numRef>
              <c:f>'NUEVO MIERCOLES'!$E$632:$J$632</c:f>
              <c:numCache/>
            </c:numRef>
          </c:val>
          <c:smooth val="0"/>
        </c:ser>
        <c:axId val="1426062606"/>
        <c:axId val="1145485805"/>
      </c:lineChart>
      <c:catAx>
        <c:axId val="14260626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  <a:r>
                  <a:rPr b="1">
                    <a:solidFill>
                      <a:srgbClr val="000000"/>
                    </a:solidFill>
                    <a:latin typeface="Arial"/>
                  </a:rPr>
                  <a:t>Producto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</a:p>
        </c:txPr>
        <c:crossAx val="1145485805"/>
      </c:catAx>
      <c:valAx>
        <c:axId val="1145485805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</a:p>
        </c:txPr>
        <c:crossAx val="1426062606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000">
                <a:solidFill>
                  <a:srgbClr val="000000"/>
                </a:solidFill>
                <a:latin typeface="Arial"/>
              </a:defRPr>
            </a:pPr>
            <a:r>
              <a:rPr b="1" sz="1000">
                <a:solidFill>
                  <a:srgbClr val="000000"/>
                </a:solidFill>
                <a:latin typeface="Arial"/>
              </a:rPr>
              <a:t>ESTADISTICAS SEMANA 3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'NUEVO MIERCOLES'!$B$634:$D$634</c:f>
            </c:strRef>
          </c:tx>
          <c:spPr>
            <a:ln cmpd="sng" w="38100">
              <a:solidFill>
                <a:srgbClr val="9ED84A"/>
              </a:solidFill>
            </a:ln>
          </c:spPr>
          <c:marker>
            <c:symbol val="circle"/>
            <c:size val="7"/>
            <c:spPr>
              <a:solidFill>
                <a:srgbClr val="9ED84A"/>
              </a:solidFill>
              <a:ln cmpd="sng">
                <a:solidFill>
                  <a:srgbClr val="9ED84A"/>
                </a:solidFill>
              </a:ln>
            </c:spPr>
          </c:marker>
          <c:cat>
            <c:strRef>
              <c:f>'NUEVO MIERCOLES'!$E$633:$J$633</c:f>
            </c:strRef>
          </c:cat>
          <c:val>
            <c:numRef>
              <c:f>'NUEVO MIERCOLES'!$E$634:$J$634</c:f>
              <c:numCache/>
            </c:numRef>
          </c:val>
          <c:smooth val="0"/>
        </c:ser>
        <c:ser>
          <c:idx val="1"/>
          <c:order val="1"/>
          <c:tx>
            <c:strRef>
              <c:f>'NUEVO MIERCOLES'!$B$635:$D$635</c:f>
            </c:strRef>
          </c:tx>
          <c:spPr>
            <a:ln cmpd="sng"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marker>
          <c:cat>
            <c:strRef>
              <c:f>'NUEVO MIERCOLES'!$E$633:$J$633</c:f>
            </c:strRef>
          </c:cat>
          <c:val>
            <c:numRef>
              <c:f>'NUEVO MIERCOLES'!$E$635:$J$635</c:f>
              <c:numCache/>
            </c:numRef>
          </c:val>
          <c:smooth val="0"/>
        </c:ser>
        <c:ser>
          <c:idx val="2"/>
          <c:order val="2"/>
          <c:tx>
            <c:strRef>
              <c:f>'NUEVO MIERCOLES'!$B$636:$D$636</c:f>
            </c:strRef>
          </c:tx>
          <c:spPr>
            <a:ln cmpd="sng" w="38100">
              <a:solidFill>
                <a:srgbClr val="808080"/>
              </a:solidFill>
            </a:ln>
          </c:spPr>
          <c:marker>
            <c:symbol val="circle"/>
            <c:size val="7"/>
            <c:spPr>
              <a:solidFill>
                <a:srgbClr val="808080"/>
              </a:solidFill>
              <a:ln cmpd="sng">
                <a:solidFill>
                  <a:srgbClr val="808080"/>
                </a:solidFill>
              </a:ln>
            </c:spPr>
          </c:marker>
          <c:cat>
            <c:strRef>
              <c:f>'NUEVO MIERCOLES'!$E$633:$J$633</c:f>
            </c:strRef>
          </c:cat>
          <c:val>
            <c:numRef>
              <c:f>'NUEVO MIERCOLES'!$E$636:$J$636</c:f>
              <c:numCache/>
            </c:numRef>
          </c:val>
          <c:smooth val="0"/>
        </c:ser>
        <c:ser>
          <c:idx val="3"/>
          <c:order val="3"/>
          <c:tx>
            <c:strRef>
              <c:f>'NUEVO MIERCOLES'!$B$637:$D$637</c:f>
            </c:strRef>
          </c:tx>
          <c:spPr>
            <a:ln cmpd="sng" w="38100">
              <a:solidFill>
                <a:srgbClr val="F06753"/>
              </a:solidFill>
            </a:ln>
          </c:spPr>
          <c:marker>
            <c:symbol val="circle"/>
            <c:size val="7"/>
            <c:spPr>
              <a:solidFill>
                <a:srgbClr val="F06753"/>
              </a:solidFill>
              <a:ln cmpd="sng">
                <a:solidFill>
                  <a:srgbClr val="F06753"/>
                </a:solidFill>
              </a:ln>
            </c:spPr>
          </c:marker>
          <c:cat>
            <c:strRef>
              <c:f>'NUEVO MIERCOLES'!$E$633:$J$633</c:f>
            </c:strRef>
          </c:cat>
          <c:val>
            <c:numRef>
              <c:f>'NUEVO MIERCOLES'!$E$637:$J$637</c:f>
              <c:numCache/>
            </c:numRef>
          </c:val>
          <c:smooth val="0"/>
        </c:ser>
        <c:ser>
          <c:idx val="4"/>
          <c:order val="4"/>
          <c:tx>
            <c:strRef>
              <c:f>'NUEVO MIERCOLES'!$B$638:$D$638</c:f>
            </c:strRef>
          </c:tx>
          <c:spPr>
            <a:ln cmpd="sng" w="38100">
              <a:solidFill>
                <a:srgbClr val="8E7CC3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8E7CC3">
                  <a:alpha val="100000"/>
                </a:srgbClr>
              </a:solidFill>
              <a:ln cmpd="sng">
                <a:solidFill>
                  <a:srgbClr val="8E7CC3">
                    <a:alpha val="100000"/>
                  </a:srgbClr>
                </a:solidFill>
              </a:ln>
            </c:spPr>
          </c:marker>
          <c:cat>
            <c:strRef>
              <c:f>'NUEVO MIERCOLES'!$E$633:$J$633</c:f>
            </c:strRef>
          </c:cat>
          <c:val>
            <c:numRef>
              <c:f>'NUEVO MIERCOLES'!$E$638:$J$638</c:f>
              <c:numCache/>
            </c:numRef>
          </c:val>
          <c:smooth val="0"/>
        </c:ser>
        <c:axId val="910820656"/>
        <c:axId val="1965056849"/>
      </c:lineChart>
      <c:catAx>
        <c:axId val="9108206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  <a:r>
                  <a:rPr b="1">
                    <a:solidFill>
                      <a:srgbClr val="000000"/>
                    </a:solidFill>
                    <a:latin typeface="Arial"/>
                  </a:rPr>
                  <a:t>Producto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965056849"/>
      </c:catAx>
      <c:valAx>
        <c:axId val="1965056849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</a:p>
        </c:txPr>
        <c:crossAx val="910820656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000">
                <a:solidFill>
                  <a:srgbClr val="000000"/>
                </a:solidFill>
                <a:latin typeface="Arial"/>
              </a:defRPr>
            </a:pPr>
            <a:r>
              <a:rPr b="1" sz="1000">
                <a:solidFill>
                  <a:srgbClr val="000000"/>
                </a:solidFill>
                <a:latin typeface="Arial"/>
              </a:rPr>
              <a:t>ESTADISTICAS SEMANA 4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'NUEVO MIERCOLES'!$B$640:$D$640</c:f>
            </c:strRef>
          </c:tx>
          <c:spPr>
            <a:ln cmpd="sng" w="38100">
              <a:solidFill>
                <a:srgbClr val="9ED84A"/>
              </a:solidFill>
            </a:ln>
          </c:spPr>
          <c:marker>
            <c:symbol val="circle"/>
            <c:size val="7"/>
            <c:spPr>
              <a:solidFill>
                <a:srgbClr val="9ED84A"/>
              </a:solidFill>
              <a:ln cmpd="sng">
                <a:solidFill>
                  <a:srgbClr val="9ED84A"/>
                </a:solidFill>
              </a:ln>
            </c:spPr>
          </c:marker>
          <c:cat>
            <c:strRef>
              <c:f>'NUEVO MIERCOLES'!$E$639:$J$639</c:f>
            </c:strRef>
          </c:cat>
          <c:val>
            <c:numRef>
              <c:f>'NUEVO MIERCOLES'!$E$640:$J$640</c:f>
              <c:numCache/>
            </c:numRef>
          </c:val>
          <c:smooth val="0"/>
        </c:ser>
        <c:ser>
          <c:idx val="1"/>
          <c:order val="1"/>
          <c:tx>
            <c:strRef>
              <c:f>'NUEVO MIERCOLES'!$B$641:$D$641</c:f>
            </c:strRef>
          </c:tx>
          <c:spPr>
            <a:ln cmpd="sng"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marker>
          <c:cat>
            <c:strRef>
              <c:f>'NUEVO MIERCOLES'!$E$639:$J$639</c:f>
            </c:strRef>
          </c:cat>
          <c:val>
            <c:numRef>
              <c:f>'NUEVO MIERCOLES'!$E$641:$J$641</c:f>
              <c:numCache/>
            </c:numRef>
          </c:val>
          <c:smooth val="0"/>
        </c:ser>
        <c:ser>
          <c:idx val="2"/>
          <c:order val="2"/>
          <c:tx>
            <c:strRef>
              <c:f>'NUEVO MIERCOLES'!$B$642:$D$642</c:f>
            </c:strRef>
          </c:tx>
          <c:spPr>
            <a:ln cmpd="sng" w="38100">
              <a:solidFill>
                <a:srgbClr val="808080"/>
              </a:solidFill>
            </a:ln>
          </c:spPr>
          <c:marker>
            <c:symbol val="circle"/>
            <c:size val="7"/>
            <c:spPr>
              <a:solidFill>
                <a:srgbClr val="808080"/>
              </a:solidFill>
              <a:ln cmpd="sng">
                <a:solidFill>
                  <a:srgbClr val="808080"/>
                </a:solidFill>
              </a:ln>
            </c:spPr>
          </c:marker>
          <c:cat>
            <c:strRef>
              <c:f>'NUEVO MIERCOLES'!$E$639:$J$639</c:f>
            </c:strRef>
          </c:cat>
          <c:val>
            <c:numRef>
              <c:f>'NUEVO MIERCOLES'!$E$642:$J$642</c:f>
              <c:numCache/>
            </c:numRef>
          </c:val>
          <c:smooth val="0"/>
        </c:ser>
        <c:ser>
          <c:idx val="3"/>
          <c:order val="3"/>
          <c:tx>
            <c:strRef>
              <c:f>'NUEVO MIERCOLES'!$B$643:$D$643</c:f>
            </c:strRef>
          </c:tx>
          <c:spPr>
            <a:ln cmpd="sng" w="38100">
              <a:solidFill>
                <a:srgbClr val="F06753"/>
              </a:solidFill>
            </a:ln>
          </c:spPr>
          <c:marker>
            <c:symbol val="circle"/>
            <c:size val="7"/>
            <c:spPr>
              <a:solidFill>
                <a:srgbClr val="F06753"/>
              </a:solidFill>
              <a:ln cmpd="sng">
                <a:solidFill>
                  <a:srgbClr val="F06753"/>
                </a:solidFill>
              </a:ln>
            </c:spPr>
          </c:marker>
          <c:cat>
            <c:strRef>
              <c:f>'NUEVO MIERCOLES'!$E$639:$J$639</c:f>
            </c:strRef>
          </c:cat>
          <c:val>
            <c:numRef>
              <c:f>'NUEVO MIERCOLES'!$E$643:$J$643</c:f>
              <c:numCache/>
            </c:numRef>
          </c:val>
          <c:smooth val="0"/>
        </c:ser>
        <c:ser>
          <c:idx val="4"/>
          <c:order val="4"/>
          <c:tx>
            <c:strRef>
              <c:f>'NUEVO MIERCOLES'!$B$644:$D$644</c:f>
            </c:strRef>
          </c:tx>
          <c:spPr>
            <a:ln cmpd="sng" w="38100">
              <a:solidFill>
                <a:srgbClr val="8E7CC3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8E7CC3">
                  <a:alpha val="100000"/>
                </a:srgbClr>
              </a:solidFill>
              <a:ln cmpd="sng">
                <a:solidFill>
                  <a:srgbClr val="8E7CC3">
                    <a:alpha val="100000"/>
                  </a:srgbClr>
                </a:solidFill>
              </a:ln>
            </c:spPr>
          </c:marker>
          <c:cat>
            <c:strRef>
              <c:f>'NUEVO MIERCOLES'!$E$639:$J$639</c:f>
            </c:strRef>
          </c:cat>
          <c:val>
            <c:numRef>
              <c:f>'NUEVO MIERCOLES'!$E$644:$J$644</c:f>
              <c:numCache/>
            </c:numRef>
          </c:val>
          <c:smooth val="0"/>
        </c:ser>
        <c:axId val="1030934863"/>
        <c:axId val="646842276"/>
      </c:lineChart>
      <c:catAx>
        <c:axId val="10309348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  <a:r>
                  <a:rPr b="1">
                    <a:solidFill>
                      <a:srgbClr val="000000"/>
                    </a:solidFill>
                    <a:latin typeface="Arial"/>
                  </a:rPr>
                  <a:t>Producto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646842276"/>
      </c:catAx>
      <c:valAx>
        <c:axId val="646842276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</a:p>
        </c:txPr>
        <c:crossAx val="1030934863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000">
                <a:solidFill>
                  <a:srgbClr val="000000"/>
                </a:solidFill>
                <a:latin typeface="Arial"/>
              </a:defRPr>
            </a:pPr>
            <a:r>
              <a:rPr b="1" sz="1000">
                <a:solidFill>
                  <a:srgbClr val="000000"/>
                </a:solidFill>
                <a:latin typeface="Arial"/>
              </a:rPr>
              <a:t>ESTADISTICAS DEL MES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'NUEVO MIERCOLES'!$B$647:$D$647</c:f>
            </c:strRef>
          </c:tx>
          <c:spPr>
            <a:ln cmpd="sng" w="38100">
              <a:solidFill>
                <a:srgbClr val="9ED84A"/>
              </a:solidFill>
            </a:ln>
          </c:spPr>
          <c:marker>
            <c:symbol val="circle"/>
            <c:size val="7"/>
            <c:spPr>
              <a:solidFill>
                <a:srgbClr val="9ED84A"/>
              </a:solidFill>
              <a:ln cmpd="sng">
                <a:solidFill>
                  <a:srgbClr val="9ED84A"/>
                </a:solidFill>
              </a:ln>
            </c:spPr>
          </c:marker>
          <c:cat>
            <c:strRef>
              <c:f>'NUEVO MIERCOLES'!$E$646:$J$646</c:f>
            </c:strRef>
          </c:cat>
          <c:val>
            <c:numRef>
              <c:f>'NUEVO MIERCOLES'!$E$647:$J$647</c:f>
              <c:numCache/>
            </c:numRef>
          </c:val>
          <c:smooth val="0"/>
        </c:ser>
        <c:ser>
          <c:idx val="1"/>
          <c:order val="1"/>
          <c:tx>
            <c:strRef>
              <c:f>'NUEVO MIERCOLES'!$B$648:$D$648</c:f>
            </c:strRef>
          </c:tx>
          <c:spPr>
            <a:ln cmpd="sng"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marker>
          <c:cat>
            <c:strRef>
              <c:f>'NUEVO MIERCOLES'!$E$646:$J$646</c:f>
            </c:strRef>
          </c:cat>
          <c:val>
            <c:numRef>
              <c:f>'NUEVO MIERCOLES'!$E$648:$J$648</c:f>
              <c:numCache/>
            </c:numRef>
          </c:val>
          <c:smooth val="0"/>
        </c:ser>
        <c:ser>
          <c:idx val="2"/>
          <c:order val="2"/>
          <c:tx>
            <c:strRef>
              <c:f>'NUEVO MIERCOLES'!$B$649:$D$649</c:f>
            </c:strRef>
          </c:tx>
          <c:spPr>
            <a:ln cmpd="sng" w="38100">
              <a:solidFill>
                <a:srgbClr val="808080"/>
              </a:solidFill>
            </a:ln>
          </c:spPr>
          <c:marker>
            <c:symbol val="circle"/>
            <c:size val="7"/>
            <c:spPr>
              <a:solidFill>
                <a:srgbClr val="808080"/>
              </a:solidFill>
              <a:ln cmpd="sng">
                <a:solidFill>
                  <a:srgbClr val="808080"/>
                </a:solidFill>
              </a:ln>
            </c:spPr>
          </c:marker>
          <c:cat>
            <c:strRef>
              <c:f>'NUEVO MIERCOLES'!$E$646:$J$646</c:f>
            </c:strRef>
          </c:cat>
          <c:val>
            <c:numRef>
              <c:f>'NUEVO MIERCOLES'!$E$649:$J$649</c:f>
              <c:numCache/>
            </c:numRef>
          </c:val>
          <c:smooth val="0"/>
        </c:ser>
        <c:ser>
          <c:idx val="3"/>
          <c:order val="3"/>
          <c:tx>
            <c:strRef>
              <c:f>'NUEVO MIERCOLES'!$B$650:$D$650</c:f>
            </c:strRef>
          </c:tx>
          <c:spPr>
            <a:ln cmpd="sng" w="38100">
              <a:solidFill>
                <a:srgbClr val="F06753"/>
              </a:solidFill>
            </a:ln>
          </c:spPr>
          <c:marker>
            <c:symbol val="circle"/>
            <c:size val="7"/>
            <c:spPr>
              <a:solidFill>
                <a:srgbClr val="F06753"/>
              </a:solidFill>
              <a:ln cmpd="sng">
                <a:solidFill>
                  <a:srgbClr val="F06753"/>
                </a:solidFill>
              </a:ln>
            </c:spPr>
          </c:marker>
          <c:cat>
            <c:strRef>
              <c:f>'NUEVO MIERCOLES'!$E$646:$J$646</c:f>
            </c:strRef>
          </c:cat>
          <c:val>
            <c:numRef>
              <c:f>'NUEVO MIERCOLES'!$E$650:$J$650</c:f>
              <c:numCache/>
            </c:numRef>
          </c:val>
          <c:smooth val="0"/>
        </c:ser>
        <c:ser>
          <c:idx val="4"/>
          <c:order val="4"/>
          <c:tx>
            <c:strRef>
              <c:f>'NUEVO MIERCOLES'!$B$651:$D$651</c:f>
            </c:strRef>
          </c:tx>
          <c:spPr>
            <a:ln cmpd="sng" w="38100">
              <a:solidFill>
                <a:srgbClr val="8E7CC3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8E7CC3">
                  <a:alpha val="100000"/>
                </a:srgbClr>
              </a:solidFill>
              <a:ln cmpd="sng">
                <a:solidFill>
                  <a:srgbClr val="8E7CC3">
                    <a:alpha val="100000"/>
                  </a:srgbClr>
                </a:solidFill>
              </a:ln>
            </c:spPr>
          </c:marker>
          <c:cat>
            <c:strRef>
              <c:f>'NUEVO MIERCOLES'!$E$646:$J$646</c:f>
            </c:strRef>
          </c:cat>
          <c:val>
            <c:numRef>
              <c:f>'NUEVO MIERCOLES'!$E$651:$J$651</c:f>
              <c:numCache/>
            </c:numRef>
          </c:val>
          <c:smooth val="0"/>
        </c:ser>
        <c:axId val="2084185985"/>
        <c:axId val="1765788024"/>
      </c:lineChart>
      <c:catAx>
        <c:axId val="20841859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765788024"/>
      </c:catAx>
      <c:valAx>
        <c:axId val="1765788024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</a:p>
        </c:txPr>
        <c:crossAx val="2084185985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000">
                <a:solidFill>
                  <a:srgbClr val="000000"/>
                </a:solidFill>
                <a:latin typeface="Arial"/>
              </a:defRPr>
            </a:pPr>
            <a:r>
              <a:rPr b="1" sz="1000">
                <a:solidFill>
                  <a:srgbClr val="000000"/>
                </a:solidFill>
                <a:latin typeface="Arial"/>
              </a:rPr>
              <a:t>ESTADISTICAS SEMANA 1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'NUEVO JUEVES'!$B$622:$D$622</c:f>
            </c:strRef>
          </c:tx>
          <c:spPr>
            <a:ln cmpd="sng" w="38100">
              <a:solidFill>
                <a:srgbClr val="9ED84A"/>
              </a:solidFill>
            </a:ln>
          </c:spPr>
          <c:marker>
            <c:symbol val="circle"/>
            <c:size val="7"/>
            <c:spPr>
              <a:solidFill>
                <a:srgbClr val="9ED84A"/>
              </a:solidFill>
              <a:ln cmpd="sng">
                <a:solidFill>
                  <a:srgbClr val="9ED84A"/>
                </a:solidFill>
              </a:ln>
            </c:spPr>
          </c:marker>
          <c:cat>
            <c:strRef>
              <c:f>'NUEVO JUEVES'!$E$621:$J$621</c:f>
            </c:strRef>
          </c:cat>
          <c:val>
            <c:numRef>
              <c:f>'NUEVO JUEVES'!$E$622:$J$622</c:f>
              <c:numCache/>
            </c:numRef>
          </c:val>
          <c:smooth val="0"/>
        </c:ser>
        <c:ser>
          <c:idx val="1"/>
          <c:order val="1"/>
          <c:tx>
            <c:strRef>
              <c:f>'NUEVO JUEVES'!$B$623:$D$623</c:f>
            </c:strRef>
          </c:tx>
          <c:spPr>
            <a:ln cmpd="sng"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marker>
          <c:cat>
            <c:strRef>
              <c:f>'NUEVO JUEVES'!$E$621:$J$621</c:f>
            </c:strRef>
          </c:cat>
          <c:val>
            <c:numRef>
              <c:f>'NUEVO JUEVES'!$E$623:$J$623</c:f>
              <c:numCache/>
            </c:numRef>
          </c:val>
          <c:smooth val="0"/>
        </c:ser>
        <c:ser>
          <c:idx val="2"/>
          <c:order val="2"/>
          <c:tx>
            <c:strRef>
              <c:f>'NUEVO JUEVES'!$B$624:$D$624</c:f>
            </c:strRef>
          </c:tx>
          <c:spPr>
            <a:ln cmpd="sng" w="38100">
              <a:solidFill>
                <a:srgbClr val="808080"/>
              </a:solidFill>
            </a:ln>
          </c:spPr>
          <c:marker>
            <c:symbol val="circle"/>
            <c:size val="7"/>
            <c:spPr>
              <a:solidFill>
                <a:srgbClr val="808080"/>
              </a:solidFill>
              <a:ln cmpd="sng">
                <a:solidFill>
                  <a:srgbClr val="808080"/>
                </a:solidFill>
              </a:ln>
            </c:spPr>
          </c:marker>
          <c:cat>
            <c:strRef>
              <c:f>'NUEVO JUEVES'!$E$621:$J$621</c:f>
            </c:strRef>
          </c:cat>
          <c:val>
            <c:numRef>
              <c:f>'NUEVO JUEVES'!$E$624:$J$624</c:f>
              <c:numCache/>
            </c:numRef>
          </c:val>
          <c:smooth val="0"/>
        </c:ser>
        <c:ser>
          <c:idx val="3"/>
          <c:order val="3"/>
          <c:tx>
            <c:strRef>
              <c:f>'NUEVO JUEVES'!$B$625:$D$625</c:f>
            </c:strRef>
          </c:tx>
          <c:spPr>
            <a:ln cmpd="sng" w="38100">
              <a:solidFill>
                <a:srgbClr val="F06753"/>
              </a:solidFill>
            </a:ln>
          </c:spPr>
          <c:marker>
            <c:symbol val="circle"/>
            <c:size val="7"/>
            <c:spPr>
              <a:solidFill>
                <a:srgbClr val="F06753"/>
              </a:solidFill>
              <a:ln cmpd="sng">
                <a:solidFill>
                  <a:srgbClr val="F06753"/>
                </a:solidFill>
              </a:ln>
            </c:spPr>
          </c:marker>
          <c:cat>
            <c:strRef>
              <c:f>'NUEVO JUEVES'!$E$621:$J$621</c:f>
            </c:strRef>
          </c:cat>
          <c:val>
            <c:numRef>
              <c:f>'NUEVO JUEVES'!$E$625:$J$625</c:f>
              <c:numCache/>
            </c:numRef>
          </c:val>
          <c:smooth val="0"/>
        </c:ser>
        <c:ser>
          <c:idx val="4"/>
          <c:order val="4"/>
          <c:tx>
            <c:strRef>
              <c:f>'NUEVO JUEVES'!$B$626:$D$626</c:f>
            </c:strRef>
          </c:tx>
          <c:spPr>
            <a:ln cmpd="sng" w="38100">
              <a:solidFill>
                <a:srgbClr val="8E7CC3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8E7CC3">
                  <a:alpha val="100000"/>
                </a:srgbClr>
              </a:solidFill>
              <a:ln cmpd="sng">
                <a:solidFill>
                  <a:srgbClr val="8E7CC3">
                    <a:alpha val="100000"/>
                  </a:srgbClr>
                </a:solidFill>
              </a:ln>
            </c:spPr>
          </c:marker>
          <c:cat>
            <c:strRef>
              <c:f>'NUEVO JUEVES'!$E$621:$J$621</c:f>
            </c:strRef>
          </c:cat>
          <c:val>
            <c:numRef>
              <c:f>'NUEVO JUEVES'!$E$626:$J$626</c:f>
              <c:numCache/>
            </c:numRef>
          </c:val>
          <c:smooth val="0"/>
        </c:ser>
        <c:axId val="705421463"/>
        <c:axId val="940284752"/>
      </c:lineChart>
      <c:catAx>
        <c:axId val="7054214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  <a:r>
                  <a:rPr b="1">
                    <a:solidFill>
                      <a:srgbClr val="000000"/>
                    </a:solidFill>
                    <a:latin typeface="Arial"/>
                  </a:rPr>
                  <a:t>Producto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</a:p>
        </c:txPr>
        <c:crossAx val="940284752"/>
      </c:catAx>
      <c:valAx>
        <c:axId val="940284752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</a:p>
        </c:txPr>
        <c:crossAx val="705421463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000">
                <a:solidFill>
                  <a:srgbClr val="000000"/>
                </a:solidFill>
                <a:latin typeface="Arial"/>
              </a:defRPr>
            </a:pPr>
            <a:r>
              <a:rPr b="1" sz="1000">
                <a:solidFill>
                  <a:srgbClr val="000000"/>
                </a:solidFill>
                <a:latin typeface="Arial"/>
              </a:rPr>
              <a:t>ESTADISTICAS SEMANA 2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'NUEVO JUEVES'!$B$628:$D$628</c:f>
            </c:strRef>
          </c:tx>
          <c:spPr>
            <a:ln cmpd="sng" w="38100">
              <a:solidFill>
                <a:srgbClr val="9ED84A"/>
              </a:solidFill>
            </a:ln>
          </c:spPr>
          <c:marker>
            <c:symbol val="circle"/>
            <c:size val="7"/>
            <c:spPr>
              <a:solidFill>
                <a:srgbClr val="9ED84A"/>
              </a:solidFill>
              <a:ln cmpd="sng">
                <a:solidFill>
                  <a:srgbClr val="9ED84A"/>
                </a:solidFill>
              </a:ln>
            </c:spPr>
          </c:marker>
          <c:cat>
            <c:strRef>
              <c:f>'NUEVO JUEVES'!$E$627:$J$627</c:f>
            </c:strRef>
          </c:cat>
          <c:val>
            <c:numRef>
              <c:f>'NUEVO JUEVES'!$E$628:$J$628</c:f>
              <c:numCache/>
            </c:numRef>
          </c:val>
          <c:smooth val="0"/>
        </c:ser>
        <c:ser>
          <c:idx val="1"/>
          <c:order val="1"/>
          <c:tx>
            <c:strRef>
              <c:f>'NUEVO JUEVES'!$B$629:$D$629</c:f>
            </c:strRef>
          </c:tx>
          <c:spPr>
            <a:ln cmpd="sng"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marker>
          <c:cat>
            <c:strRef>
              <c:f>'NUEVO JUEVES'!$E$627:$J$627</c:f>
            </c:strRef>
          </c:cat>
          <c:val>
            <c:numRef>
              <c:f>'NUEVO JUEVES'!$E$629:$J$629</c:f>
              <c:numCache/>
            </c:numRef>
          </c:val>
          <c:smooth val="0"/>
        </c:ser>
        <c:ser>
          <c:idx val="2"/>
          <c:order val="2"/>
          <c:tx>
            <c:strRef>
              <c:f>'NUEVO JUEVES'!$B$630:$D$630</c:f>
            </c:strRef>
          </c:tx>
          <c:spPr>
            <a:ln cmpd="sng" w="38100">
              <a:solidFill>
                <a:srgbClr val="808080"/>
              </a:solidFill>
            </a:ln>
          </c:spPr>
          <c:marker>
            <c:symbol val="circle"/>
            <c:size val="7"/>
            <c:spPr>
              <a:solidFill>
                <a:srgbClr val="808080"/>
              </a:solidFill>
              <a:ln cmpd="sng">
                <a:solidFill>
                  <a:srgbClr val="808080"/>
                </a:solidFill>
              </a:ln>
            </c:spPr>
          </c:marker>
          <c:cat>
            <c:strRef>
              <c:f>'NUEVO JUEVES'!$E$627:$J$627</c:f>
            </c:strRef>
          </c:cat>
          <c:val>
            <c:numRef>
              <c:f>'NUEVO JUEVES'!$E$630:$J$630</c:f>
              <c:numCache/>
            </c:numRef>
          </c:val>
          <c:smooth val="0"/>
        </c:ser>
        <c:ser>
          <c:idx val="3"/>
          <c:order val="3"/>
          <c:tx>
            <c:strRef>
              <c:f>'NUEVO JUEVES'!$B$631:$D$631</c:f>
            </c:strRef>
          </c:tx>
          <c:spPr>
            <a:ln cmpd="sng" w="38100">
              <a:solidFill>
                <a:srgbClr val="F06753"/>
              </a:solidFill>
            </a:ln>
          </c:spPr>
          <c:marker>
            <c:symbol val="circle"/>
            <c:size val="7"/>
            <c:spPr>
              <a:solidFill>
                <a:srgbClr val="F06753"/>
              </a:solidFill>
              <a:ln cmpd="sng">
                <a:solidFill>
                  <a:srgbClr val="F06753"/>
                </a:solidFill>
              </a:ln>
            </c:spPr>
          </c:marker>
          <c:cat>
            <c:strRef>
              <c:f>'NUEVO JUEVES'!$E$627:$J$627</c:f>
            </c:strRef>
          </c:cat>
          <c:val>
            <c:numRef>
              <c:f>'NUEVO JUEVES'!$E$631:$J$631</c:f>
              <c:numCache/>
            </c:numRef>
          </c:val>
          <c:smooth val="0"/>
        </c:ser>
        <c:ser>
          <c:idx val="4"/>
          <c:order val="4"/>
          <c:tx>
            <c:strRef>
              <c:f>'NUEVO JUEVES'!$B$632:$D$632</c:f>
            </c:strRef>
          </c:tx>
          <c:spPr>
            <a:ln cmpd="sng" w="38100">
              <a:solidFill>
                <a:srgbClr val="8E7CC3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8E7CC3">
                  <a:alpha val="100000"/>
                </a:srgbClr>
              </a:solidFill>
              <a:ln cmpd="sng">
                <a:solidFill>
                  <a:srgbClr val="8E7CC3">
                    <a:alpha val="100000"/>
                  </a:srgbClr>
                </a:solidFill>
              </a:ln>
            </c:spPr>
          </c:marker>
          <c:cat>
            <c:strRef>
              <c:f>'NUEVO JUEVES'!$E$627:$J$627</c:f>
            </c:strRef>
          </c:cat>
          <c:val>
            <c:numRef>
              <c:f>'NUEVO JUEVES'!$E$632:$J$632</c:f>
              <c:numCache/>
            </c:numRef>
          </c:val>
          <c:smooth val="0"/>
        </c:ser>
        <c:axId val="640490148"/>
        <c:axId val="1699268972"/>
      </c:lineChart>
      <c:catAx>
        <c:axId val="6404901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  <a:r>
                  <a:rPr b="1">
                    <a:solidFill>
                      <a:srgbClr val="000000"/>
                    </a:solidFill>
                    <a:latin typeface="Arial"/>
                  </a:rPr>
                  <a:t>Producto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</a:p>
        </c:txPr>
        <c:crossAx val="1699268972"/>
      </c:catAx>
      <c:valAx>
        <c:axId val="1699268972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</a:p>
        </c:txPr>
        <c:crossAx val="640490148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000">
                <a:solidFill>
                  <a:srgbClr val="000000"/>
                </a:solidFill>
                <a:latin typeface="Arial"/>
              </a:defRPr>
            </a:pPr>
            <a:r>
              <a:rPr b="1" sz="1000">
                <a:solidFill>
                  <a:srgbClr val="000000"/>
                </a:solidFill>
                <a:latin typeface="Arial"/>
              </a:rPr>
              <a:t>ESTADISTICAS SEMANA 3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'NUEVO JUEVES'!$B$634:$D$634</c:f>
            </c:strRef>
          </c:tx>
          <c:spPr>
            <a:ln cmpd="sng" w="38100">
              <a:solidFill>
                <a:srgbClr val="9ED84A"/>
              </a:solidFill>
            </a:ln>
          </c:spPr>
          <c:marker>
            <c:symbol val="circle"/>
            <c:size val="7"/>
            <c:spPr>
              <a:solidFill>
                <a:srgbClr val="9ED84A"/>
              </a:solidFill>
              <a:ln cmpd="sng">
                <a:solidFill>
                  <a:srgbClr val="9ED84A"/>
                </a:solidFill>
              </a:ln>
            </c:spPr>
          </c:marker>
          <c:cat>
            <c:strRef>
              <c:f>'NUEVO JUEVES'!$E$633:$J$633</c:f>
            </c:strRef>
          </c:cat>
          <c:val>
            <c:numRef>
              <c:f>'NUEVO JUEVES'!$E$634:$J$634</c:f>
              <c:numCache/>
            </c:numRef>
          </c:val>
          <c:smooth val="0"/>
        </c:ser>
        <c:ser>
          <c:idx val="1"/>
          <c:order val="1"/>
          <c:tx>
            <c:strRef>
              <c:f>'NUEVO JUEVES'!$B$635:$D$635</c:f>
            </c:strRef>
          </c:tx>
          <c:spPr>
            <a:ln cmpd="sng"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marker>
          <c:cat>
            <c:strRef>
              <c:f>'NUEVO JUEVES'!$E$633:$J$633</c:f>
            </c:strRef>
          </c:cat>
          <c:val>
            <c:numRef>
              <c:f>'NUEVO JUEVES'!$E$635:$J$635</c:f>
              <c:numCache/>
            </c:numRef>
          </c:val>
          <c:smooth val="0"/>
        </c:ser>
        <c:ser>
          <c:idx val="2"/>
          <c:order val="2"/>
          <c:tx>
            <c:strRef>
              <c:f>'NUEVO JUEVES'!$B$636:$D$636</c:f>
            </c:strRef>
          </c:tx>
          <c:spPr>
            <a:ln cmpd="sng" w="38100">
              <a:solidFill>
                <a:srgbClr val="808080"/>
              </a:solidFill>
            </a:ln>
          </c:spPr>
          <c:marker>
            <c:symbol val="circle"/>
            <c:size val="7"/>
            <c:spPr>
              <a:solidFill>
                <a:srgbClr val="808080"/>
              </a:solidFill>
              <a:ln cmpd="sng">
                <a:solidFill>
                  <a:srgbClr val="808080"/>
                </a:solidFill>
              </a:ln>
            </c:spPr>
          </c:marker>
          <c:cat>
            <c:strRef>
              <c:f>'NUEVO JUEVES'!$E$633:$J$633</c:f>
            </c:strRef>
          </c:cat>
          <c:val>
            <c:numRef>
              <c:f>'NUEVO JUEVES'!$E$636:$J$636</c:f>
              <c:numCache/>
            </c:numRef>
          </c:val>
          <c:smooth val="0"/>
        </c:ser>
        <c:ser>
          <c:idx val="3"/>
          <c:order val="3"/>
          <c:tx>
            <c:strRef>
              <c:f>'NUEVO JUEVES'!$B$637:$D$637</c:f>
            </c:strRef>
          </c:tx>
          <c:spPr>
            <a:ln cmpd="sng" w="38100">
              <a:solidFill>
                <a:srgbClr val="F06753"/>
              </a:solidFill>
            </a:ln>
          </c:spPr>
          <c:marker>
            <c:symbol val="circle"/>
            <c:size val="7"/>
            <c:spPr>
              <a:solidFill>
                <a:srgbClr val="F06753"/>
              </a:solidFill>
              <a:ln cmpd="sng">
                <a:solidFill>
                  <a:srgbClr val="F06753"/>
                </a:solidFill>
              </a:ln>
            </c:spPr>
          </c:marker>
          <c:cat>
            <c:strRef>
              <c:f>'NUEVO JUEVES'!$E$633:$J$633</c:f>
            </c:strRef>
          </c:cat>
          <c:val>
            <c:numRef>
              <c:f>'NUEVO JUEVES'!$E$637:$J$637</c:f>
              <c:numCache/>
            </c:numRef>
          </c:val>
          <c:smooth val="0"/>
        </c:ser>
        <c:ser>
          <c:idx val="4"/>
          <c:order val="4"/>
          <c:tx>
            <c:strRef>
              <c:f>'NUEVO JUEVES'!$B$638:$D$638</c:f>
            </c:strRef>
          </c:tx>
          <c:spPr>
            <a:ln cmpd="sng" w="38100">
              <a:solidFill>
                <a:srgbClr val="8E7CC3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8E7CC3">
                  <a:alpha val="100000"/>
                </a:srgbClr>
              </a:solidFill>
              <a:ln cmpd="sng">
                <a:solidFill>
                  <a:srgbClr val="8E7CC3">
                    <a:alpha val="100000"/>
                  </a:srgbClr>
                </a:solidFill>
              </a:ln>
            </c:spPr>
          </c:marker>
          <c:cat>
            <c:strRef>
              <c:f>'NUEVO JUEVES'!$E$633:$J$633</c:f>
            </c:strRef>
          </c:cat>
          <c:val>
            <c:numRef>
              <c:f>'NUEVO JUEVES'!$E$638:$J$638</c:f>
              <c:numCache/>
            </c:numRef>
          </c:val>
          <c:smooth val="0"/>
        </c:ser>
        <c:axId val="450597312"/>
        <c:axId val="80452574"/>
      </c:lineChart>
      <c:catAx>
        <c:axId val="450597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  <a:r>
                  <a:rPr b="1">
                    <a:solidFill>
                      <a:srgbClr val="000000"/>
                    </a:solidFill>
                    <a:latin typeface="Arial"/>
                  </a:rPr>
                  <a:t>Producto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80452574"/>
      </c:catAx>
      <c:valAx>
        <c:axId val="80452574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</a:p>
        </c:txPr>
        <c:crossAx val="450597312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000">
                <a:solidFill>
                  <a:srgbClr val="000000"/>
                </a:solidFill>
                <a:latin typeface="Arial"/>
              </a:defRPr>
            </a:pPr>
            <a:r>
              <a:rPr b="1" sz="1000">
                <a:solidFill>
                  <a:srgbClr val="000000"/>
                </a:solidFill>
                <a:latin typeface="Arial"/>
              </a:rPr>
              <a:t>ESTADISTICAS SEMANA 4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'NUEVO JUEVES'!$B$640:$D$640</c:f>
            </c:strRef>
          </c:tx>
          <c:spPr>
            <a:ln cmpd="sng" w="38100">
              <a:solidFill>
                <a:srgbClr val="9ED84A"/>
              </a:solidFill>
            </a:ln>
          </c:spPr>
          <c:marker>
            <c:symbol val="circle"/>
            <c:size val="7"/>
            <c:spPr>
              <a:solidFill>
                <a:srgbClr val="9ED84A"/>
              </a:solidFill>
              <a:ln cmpd="sng">
                <a:solidFill>
                  <a:srgbClr val="9ED84A"/>
                </a:solidFill>
              </a:ln>
            </c:spPr>
          </c:marker>
          <c:cat>
            <c:strRef>
              <c:f>'NUEVO JUEVES'!$E$639:$J$639</c:f>
            </c:strRef>
          </c:cat>
          <c:val>
            <c:numRef>
              <c:f>'NUEVO JUEVES'!$E$640:$J$640</c:f>
              <c:numCache/>
            </c:numRef>
          </c:val>
          <c:smooth val="0"/>
        </c:ser>
        <c:ser>
          <c:idx val="1"/>
          <c:order val="1"/>
          <c:tx>
            <c:strRef>
              <c:f>'NUEVO JUEVES'!$B$641:$D$641</c:f>
            </c:strRef>
          </c:tx>
          <c:spPr>
            <a:ln cmpd="sng"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marker>
          <c:cat>
            <c:strRef>
              <c:f>'NUEVO JUEVES'!$E$639:$J$639</c:f>
            </c:strRef>
          </c:cat>
          <c:val>
            <c:numRef>
              <c:f>'NUEVO JUEVES'!$E$641:$J$641</c:f>
              <c:numCache/>
            </c:numRef>
          </c:val>
          <c:smooth val="0"/>
        </c:ser>
        <c:ser>
          <c:idx val="2"/>
          <c:order val="2"/>
          <c:tx>
            <c:strRef>
              <c:f>'NUEVO JUEVES'!$B$642:$D$642</c:f>
            </c:strRef>
          </c:tx>
          <c:spPr>
            <a:ln cmpd="sng" w="38100">
              <a:solidFill>
                <a:srgbClr val="808080"/>
              </a:solidFill>
            </a:ln>
          </c:spPr>
          <c:marker>
            <c:symbol val="circle"/>
            <c:size val="7"/>
            <c:spPr>
              <a:solidFill>
                <a:srgbClr val="808080"/>
              </a:solidFill>
              <a:ln cmpd="sng">
                <a:solidFill>
                  <a:srgbClr val="808080"/>
                </a:solidFill>
              </a:ln>
            </c:spPr>
          </c:marker>
          <c:cat>
            <c:strRef>
              <c:f>'NUEVO JUEVES'!$E$639:$J$639</c:f>
            </c:strRef>
          </c:cat>
          <c:val>
            <c:numRef>
              <c:f>'NUEVO JUEVES'!$E$642:$J$642</c:f>
              <c:numCache/>
            </c:numRef>
          </c:val>
          <c:smooth val="0"/>
        </c:ser>
        <c:ser>
          <c:idx val="3"/>
          <c:order val="3"/>
          <c:tx>
            <c:strRef>
              <c:f>'NUEVO JUEVES'!$B$643:$D$643</c:f>
            </c:strRef>
          </c:tx>
          <c:spPr>
            <a:ln cmpd="sng" w="38100">
              <a:solidFill>
                <a:srgbClr val="F06753"/>
              </a:solidFill>
            </a:ln>
          </c:spPr>
          <c:marker>
            <c:symbol val="circle"/>
            <c:size val="7"/>
            <c:spPr>
              <a:solidFill>
                <a:srgbClr val="F06753"/>
              </a:solidFill>
              <a:ln cmpd="sng">
                <a:solidFill>
                  <a:srgbClr val="F06753"/>
                </a:solidFill>
              </a:ln>
            </c:spPr>
          </c:marker>
          <c:cat>
            <c:strRef>
              <c:f>'NUEVO JUEVES'!$E$639:$J$639</c:f>
            </c:strRef>
          </c:cat>
          <c:val>
            <c:numRef>
              <c:f>'NUEVO JUEVES'!$E$643:$J$643</c:f>
              <c:numCache/>
            </c:numRef>
          </c:val>
          <c:smooth val="0"/>
        </c:ser>
        <c:ser>
          <c:idx val="4"/>
          <c:order val="4"/>
          <c:tx>
            <c:strRef>
              <c:f>'NUEVO JUEVES'!$B$644:$D$644</c:f>
            </c:strRef>
          </c:tx>
          <c:spPr>
            <a:ln cmpd="sng" w="38100">
              <a:solidFill>
                <a:srgbClr val="8E7CC3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8E7CC3">
                  <a:alpha val="100000"/>
                </a:srgbClr>
              </a:solidFill>
              <a:ln cmpd="sng">
                <a:solidFill>
                  <a:srgbClr val="8E7CC3">
                    <a:alpha val="100000"/>
                  </a:srgbClr>
                </a:solidFill>
              </a:ln>
            </c:spPr>
          </c:marker>
          <c:cat>
            <c:strRef>
              <c:f>'NUEVO JUEVES'!$E$639:$J$639</c:f>
            </c:strRef>
          </c:cat>
          <c:val>
            <c:numRef>
              <c:f>'NUEVO JUEVES'!$E$644:$J$644</c:f>
              <c:numCache/>
            </c:numRef>
          </c:val>
          <c:smooth val="0"/>
        </c:ser>
        <c:axId val="1974496851"/>
        <c:axId val="974404577"/>
      </c:lineChart>
      <c:catAx>
        <c:axId val="19744968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  <a:r>
                  <a:rPr b="1">
                    <a:solidFill>
                      <a:srgbClr val="000000"/>
                    </a:solidFill>
                    <a:latin typeface="Arial"/>
                  </a:rPr>
                  <a:t>Producto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974404577"/>
      </c:catAx>
      <c:valAx>
        <c:axId val="974404577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</a:p>
        </c:txPr>
        <c:crossAx val="1974496851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000">
                <a:solidFill>
                  <a:srgbClr val="000000"/>
                </a:solidFill>
                <a:latin typeface="Arial"/>
              </a:defRPr>
            </a:pPr>
            <a:r>
              <a:rPr b="1" sz="1000">
                <a:solidFill>
                  <a:srgbClr val="000000"/>
                </a:solidFill>
                <a:latin typeface="Arial"/>
              </a:rPr>
              <a:t>ESTADISTICAS DEL MES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'NUEVO JUEVES'!$B$647:$D$647</c:f>
            </c:strRef>
          </c:tx>
          <c:spPr>
            <a:ln cmpd="sng" w="38100">
              <a:solidFill>
                <a:srgbClr val="9ED84A"/>
              </a:solidFill>
            </a:ln>
          </c:spPr>
          <c:marker>
            <c:symbol val="circle"/>
            <c:size val="7"/>
            <c:spPr>
              <a:solidFill>
                <a:srgbClr val="9ED84A"/>
              </a:solidFill>
              <a:ln cmpd="sng">
                <a:solidFill>
                  <a:srgbClr val="9ED84A"/>
                </a:solidFill>
              </a:ln>
            </c:spPr>
          </c:marker>
          <c:cat>
            <c:strRef>
              <c:f>'NUEVO JUEVES'!$E$646:$J$646</c:f>
            </c:strRef>
          </c:cat>
          <c:val>
            <c:numRef>
              <c:f>'NUEVO JUEVES'!$E$647:$J$647</c:f>
              <c:numCache/>
            </c:numRef>
          </c:val>
          <c:smooth val="0"/>
        </c:ser>
        <c:ser>
          <c:idx val="1"/>
          <c:order val="1"/>
          <c:tx>
            <c:strRef>
              <c:f>'NUEVO JUEVES'!$B$648:$D$648</c:f>
            </c:strRef>
          </c:tx>
          <c:spPr>
            <a:ln cmpd="sng"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marker>
          <c:cat>
            <c:strRef>
              <c:f>'NUEVO JUEVES'!$E$646:$J$646</c:f>
            </c:strRef>
          </c:cat>
          <c:val>
            <c:numRef>
              <c:f>'NUEVO JUEVES'!$E$648:$J$648</c:f>
              <c:numCache/>
            </c:numRef>
          </c:val>
          <c:smooth val="0"/>
        </c:ser>
        <c:ser>
          <c:idx val="2"/>
          <c:order val="2"/>
          <c:tx>
            <c:strRef>
              <c:f>'NUEVO JUEVES'!$B$649:$D$649</c:f>
            </c:strRef>
          </c:tx>
          <c:spPr>
            <a:ln cmpd="sng" w="38100">
              <a:solidFill>
                <a:srgbClr val="808080"/>
              </a:solidFill>
            </a:ln>
          </c:spPr>
          <c:marker>
            <c:symbol val="circle"/>
            <c:size val="7"/>
            <c:spPr>
              <a:solidFill>
                <a:srgbClr val="808080"/>
              </a:solidFill>
              <a:ln cmpd="sng">
                <a:solidFill>
                  <a:srgbClr val="808080"/>
                </a:solidFill>
              </a:ln>
            </c:spPr>
          </c:marker>
          <c:cat>
            <c:strRef>
              <c:f>'NUEVO JUEVES'!$E$646:$J$646</c:f>
            </c:strRef>
          </c:cat>
          <c:val>
            <c:numRef>
              <c:f>'NUEVO JUEVES'!$E$649:$J$649</c:f>
              <c:numCache/>
            </c:numRef>
          </c:val>
          <c:smooth val="0"/>
        </c:ser>
        <c:ser>
          <c:idx val="3"/>
          <c:order val="3"/>
          <c:tx>
            <c:strRef>
              <c:f>'NUEVO JUEVES'!$B$650:$D$650</c:f>
            </c:strRef>
          </c:tx>
          <c:spPr>
            <a:ln cmpd="sng" w="38100">
              <a:solidFill>
                <a:srgbClr val="F06753"/>
              </a:solidFill>
            </a:ln>
          </c:spPr>
          <c:marker>
            <c:symbol val="circle"/>
            <c:size val="7"/>
            <c:spPr>
              <a:solidFill>
                <a:srgbClr val="F06753"/>
              </a:solidFill>
              <a:ln cmpd="sng">
                <a:solidFill>
                  <a:srgbClr val="F06753"/>
                </a:solidFill>
              </a:ln>
            </c:spPr>
          </c:marker>
          <c:cat>
            <c:strRef>
              <c:f>'NUEVO JUEVES'!$E$646:$J$646</c:f>
            </c:strRef>
          </c:cat>
          <c:val>
            <c:numRef>
              <c:f>'NUEVO JUEVES'!$E$650:$J$650</c:f>
              <c:numCache/>
            </c:numRef>
          </c:val>
          <c:smooth val="0"/>
        </c:ser>
        <c:ser>
          <c:idx val="4"/>
          <c:order val="4"/>
          <c:tx>
            <c:strRef>
              <c:f>'NUEVO JUEVES'!$B$651:$D$651</c:f>
            </c:strRef>
          </c:tx>
          <c:spPr>
            <a:ln cmpd="sng" w="38100">
              <a:solidFill>
                <a:srgbClr val="8E7CC3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8E7CC3">
                  <a:alpha val="100000"/>
                </a:srgbClr>
              </a:solidFill>
              <a:ln cmpd="sng">
                <a:solidFill>
                  <a:srgbClr val="8E7CC3">
                    <a:alpha val="100000"/>
                  </a:srgbClr>
                </a:solidFill>
              </a:ln>
            </c:spPr>
          </c:marker>
          <c:cat>
            <c:strRef>
              <c:f>'NUEVO JUEVES'!$E$646:$J$646</c:f>
            </c:strRef>
          </c:cat>
          <c:val>
            <c:numRef>
              <c:f>'NUEVO JUEVES'!$E$651:$J$651</c:f>
              <c:numCache/>
            </c:numRef>
          </c:val>
          <c:smooth val="0"/>
        </c:ser>
        <c:axId val="572463426"/>
        <c:axId val="1058878822"/>
      </c:lineChart>
      <c:catAx>
        <c:axId val="5724634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058878822"/>
      </c:catAx>
      <c:valAx>
        <c:axId val="1058878822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</a:p>
        </c:txPr>
        <c:crossAx val="572463426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000">
                <a:solidFill>
                  <a:srgbClr val="000000"/>
                </a:solidFill>
                <a:latin typeface="Arial"/>
              </a:defRPr>
            </a:pPr>
            <a:r>
              <a:rPr b="1" sz="1000">
                <a:solidFill>
                  <a:srgbClr val="000000"/>
                </a:solidFill>
                <a:latin typeface="Arial"/>
              </a:rPr>
              <a:t>ESTADISTICAS SEMANA 1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'NUEVO VIERNES'!$B$622:$D$622</c:f>
            </c:strRef>
          </c:tx>
          <c:spPr>
            <a:ln cmpd="sng" w="38100">
              <a:solidFill>
                <a:srgbClr val="9ED84A"/>
              </a:solidFill>
            </a:ln>
          </c:spPr>
          <c:marker>
            <c:symbol val="circle"/>
            <c:size val="7"/>
            <c:spPr>
              <a:solidFill>
                <a:srgbClr val="9ED84A"/>
              </a:solidFill>
              <a:ln cmpd="sng">
                <a:solidFill>
                  <a:srgbClr val="9ED84A"/>
                </a:solidFill>
              </a:ln>
            </c:spPr>
          </c:marker>
          <c:cat>
            <c:strRef>
              <c:f>'NUEVO VIERNES'!$E$621:$J$621</c:f>
            </c:strRef>
          </c:cat>
          <c:val>
            <c:numRef>
              <c:f>'NUEVO VIERNES'!$E$622:$J$622</c:f>
              <c:numCache/>
            </c:numRef>
          </c:val>
          <c:smooth val="0"/>
        </c:ser>
        <c:ser>
          <c:idx val="1"/>
          <c:order val="1"/>
          <c:tx>
            <c:strRef>
              <c:f>'NUEVO VIERNES'!$B$623:$D$623</c:f>
            </c:strRef>
          </c:tx>
          <c:spPr>
            <a:ln cmpd="sng"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marker>
          <c:cat>
            <c:strRef>
              <c:f>'NUEVO VIERNES'!$E$621:$J$621</c:f>
            </c:strRef>
          </c:cat>
          <c:val>
            <c:numRef>
              <c:f>'NUEVO VIERNES'!$E$623:$J$623</c:f>
              <c:numCache/>
            </c:numRef>
          </c:val>
          <c:smooth val="0"/>
        </c:ser>
        <c:ser>
          <c:idx val="2"/>
          <c:order val="2"/>
          <c:tx>
            <c:strRef>
              <c:f>'NUEVO VIERNES'!$B$624:$D$624</c:f>
            </c:strRef>
          </c:tx>
          <c:spPr>
            <a:ln cmpd="sng" w="38100">
              <a:solidFill>
                <a:srgbClr val="808080"/>
              </a:solidFill>
            </a:ln>
          </c:spPr>
          <c:marker>
            <c:symbol val="circle"/>
            <c:size val="7"/>
            <c:spPr>
              <a:solidFill>
                <a:srgbClr val="808080"/>
              </a:solidFill>
              <a:ln cmpd="sng">
                <a:solidFill>
                  <a:srgbClr val="808080"/>
                </a:solidFill>
              </a:ln>
            </c:spPr>
          </c:marker>
          <c:cat>
            <c:strRef>
              <c:f>'NUEVO VIERNES'!$E$621:$J$621</c:f>
            </c:strRef>
          </c:cat>
          <c:val>
            <c:numRef>
              <c:f>'NUEVO VIERNES'!$E$624:$J$624</c:f>
              <c:numCache/>
            </c:numRef>
          </c:val>
          <c:smooth val="0"/>
        </c:ser>
        <c:ser>
          <c:idx val="3"/>
          <c:order val="3"/>
          <c:tx>
            <c:strRef>
              <c:f>'NUEVO VIERNES'!$B$625:$D$625</c:f>
            </c:strRef>
          </c:tx>
          <c:spPr>
            <a:ln cmpd="sng" w="38100">
              <a:solidFill>
                <a:srgbClr val="F06753"/>
              </a:solidFill>
            </a:ln>
          </c:spPr>
          <c:marker>
            <c:symbol val="circle"/>
            <c:size val="7"/>
            <c:spPr>
              <a:solidFill>
                <a:srgbClr val="F06753"/>
              </a:solidFill>
              <a:ln cmpd="sng">
                <a:solidFill>
                  <a:srgbClr val="F06753"/>
                </a:solidFill>
              </a:ln>
            </c:spPr>
          </c:marker>
          <c:cat>
            <c:strRef>
              <c:f>'NUEVO VIERNES'!$E$621:$J$621</c:f>
            </c:strRef>
          </c:cat>
          <c:val>
            <c:numRef>
              <c:f>'NUEVO VIERNES'!$E$625:$J$625</c:f>
              <c:numCache/>
            </c:numRef>
          </c:val>
          <c:smooth val="0"/>
        </c:ser>
        <c:ser>
          <c:idx val="4"/>
          <c:order val="4"/>
          <c:tx>
            <c:strRef>
              <c:f>'NUEVO VIERNES'!$B$626:$D$626</c:f>
            </c:strRef>
          </c:tx>
          <c:spPr>
            <a:ln cmpd="sng" w="38100">
              <a:solidFill>
                <a:srgbClr val="8E7CC3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8E7CC3">
                  <a:alpha val="100000"/>
                </a:srgbClr>
              </a:solidFill>
              <a:ln cmpd="sng">
                <a:solidFill>
                  <a:srgbClr val="8E7CC3">
                    <a:alpha val="100000"/>
                  </a:srgbClr>
                </a:solidFill>
              </a:ln>
            </c:spPr>
          </c:marker>
          <c:cat>
            <c:strRef>
              <c:f>'NUEVO VIERNES'!$E$621:$J$621</c:f>
            </c:strRef>
          </c:cat>
          <c:val>
            <c:numRef>
              <c:f>'NUEVO VIERNES'!$E$626:$J$626</c:f>
              <c:numCache/>
            </c:numRef>
          </c:val>
          <c:smooth val="0"/>
        </c:ser>
        <c:axId val="1771409657"/>
        <c:axId val="2143171594"/>
      </c:lineChart>
      <c:catAx>
        <c:axId val="17714096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  <a:r>
                  <a:rPr b="1">
                    <a:solidFill>
                      <a:srgbClr val="000000"/>
                    </a:solidFill>
                    <a:latin typeface="Arial"/>
                  </a:rPr>
                  <a:t>Producto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</a:p>
        </c:txPr>
        <c:crossAx val="2143171594"/>
      </c:catAx>
      <c:valAx>
        <c:axId val="2143171594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</a:p>
        </c:txPr>
        <c:crossAx val="1771409657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000">
                <a:solidFill>
                  <a:srgbClr val="000000"/>
                </a:solidFill>
                <a:latin typeface="Arial"/>
              </a:defRPr>
            </a:pPr>
            <a:r>
              <a:rPr b="1" sz="1000">
                <a:solidFill>
                  <a:srgbClr val="000000"/>
                </a:solidFill>
                <a:latin typeface="Arial"/>
              </a:rPr>
              <a:t>ESTADISTICAS SEMANA 2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'NUEVO VIERNES'!$B$628:$D$628</c:f>
            </c:strRef>
          </c:tx>
          <c:spPr>
            <a:ln cmpd="sng" w="38100">
              <a:solidFill>
                <a:srgbClr val="9ED84A"/>
              </a:solidFill>
            </a:ln>
          </c:spPr>
          <c:marker>
            <c:symbol val="circle"/>
            <c:size val="7"/>
            <c:spPr>
              <a:solidFill>
                <a:srgbClr val="9ED84A"/>
              </a:solidFill>
              <a:ln cmpd="sng">
                <a:solidFill>
                  <a:srgbClr val="9ED84A"/>
                </a:solidFill>
              </a:ln>
            </c:spPr>
          </c:marker>
          <c:cat>
            <c:strRef>
              <c:f>'NUEVO VIERNES'!$E$627:$J$627</c:f>
            </c:strRef>
          </c:cat>
          <c:val>
            <c:numRef>
              <c:f>'NUEVO VIERNES'!$E$628:$J$628</c:f>
              <c:numCache/>
            </c:numRef>
          </c:val>
          <c:smooth val="0"/>
        </c:ser>
        <c:ser>
          <c:idx val="1"/>
          <c:order val="1"/>
          <c:tx>
            <c:strRef>
              <c:f>'NUEVO VIERNES'!$B$629:$D$629</c:f>
            </c:strRef>
          </c:tx>
          <c:spPr>
            <a:ln cmpd="sng"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marker>
          <c:cat>
            <c:strRef>
              <c:f>'NUEVO VIERNES'!$E$627:$J$627</c:f>
            </c:strRef>
          </c:cat>
          <c:val>
            <c:numRef>
              <c:f>'NUEVO VIERNES'!$E$629:$J$629</c:f>
              <c:numCache/>
            </c:numRef>
          </c:val>
          <c:smooth val="0"/>
        </c:ser>
        <c:ser>
          <c:idx val="2"/>
          <c:order val="2"/>
          <c:tx>
            <c:strRef>
              <c:f>'NUEVO VIERNES'!$B$630:$D$630</c:f>
            </c:strRef>
          </c:tx>
          <c:spPr>
            <a:ln cmpd="sng" w="38100">
              <a:solidFill>
                <a:srgbClr val="808080"/>
              </a:solidFill>
            </a:ln>
          </c:spPr>
          <c:marker>
            <c:symbol val="circle"/>
            <c:size val="7"/>
            <c:spPr>
              <a:solidFill>
                <a:srgbClr val="808080"/>
              </a:solidFill>
              <a:ln cmpd="sng">
                <a:solidFill>
                  <a:srgbClr val="808080"/>
                </a:solidFill>
              </a:ln>
            </c:spPr>
          </c:marker>
          <c:cat>
            <c:strRef>
              <c:f>'NUEVO VIERNES'!$E$627:$J$627</c:f>
            </c:strRef>
          </c:cat>
          <c:val>
            <c:numRef>
              <c:f>'NUEVO VIERNES'!$E$630:$J$630</c:f>
              <c:numCache/>
            </c:numRef>
          </c:val>
          <c:smooth val="0"/>
        </c:ser>
        <c:ser>
          <c:idx val="3"/>
          <c:order val="3"/>
          <c:tx>
            <c:strRef>
              <c:f>'NUEVO VIERNES'!$B$631:$D$631</c:f>
            </c:strRef>
          </c:tx>
          <c:spPr>
            <a:ln cmpd="sng" w="38100">
              <a:solidFill>
                <a:srgbClr val="F06753"/>
              </a:solidFill>
            </a:ln>
          </c:spPr>
          <c:marker>
            <c:symbol val="circle"/>
            <c:size val="7"/>
            <c:spPr>
              <a:solidFill>
                <a:srgbClr val="F06753"/>
              </a:solidFill>
              <a:ln cmpd="sng">
                <a:solidFill>
                  <a:srgbClr val="F06753"/>
                </a:solidFill>
              </a:ln>
            </c:spPr>
          </c:marker>
          <c:cat>
            <c:strRef>
              <c:f>'NUEVO VIERNES'!$E$627:$J$627</c:f>
            </c:strRef>
          </c:cat>
          <c:val>
            <c:numRef>
              <c:f>'NUEVO VIERNES'!$E$631:$J$631</c:f>
              <c:numCache/>
            </c:numRef>
          </c:val>
          <c:smooth val="0"/>
        </c:ser>
        <c:ser>
          <c:idx val="4"/>
          <c:order val="4"/>
          <c:tx>
            <c:strRef>
              <c:f>'NUEVO VIERNES'!$B$632:$D$632</c:f>
            </c:strRef>
          </c:tx>
          <c:spPr>
            <a:ln cmpd="sng" w="38100">
              <a:solidFill>
                <a:srgbClr val="8E7CC3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8E7CC3">
                  <a:alpha val="100000"/>
                </a:srgbClr>
              </a:solidFill>
              <a:ln cmpd="sng">
                <a:solidFill>
                  <a:srgbClr val="8E7CC3">
                    <a:alpha val="100000"/>
                  </a:srgbClr>
                </a:solidFill>
              </a:ln>
            </c:spPr>
          </c:marker>
          <c:cat>
            <c:strRef>
              <c:f>'NUEVO VIERNES'!$E$627:$J$627</c:f>
            </c:strRef>
          </c:cat>
          <c:val>
            <c:numRef>
              <c:f>'NUEVO VIERNES'!$E$632:$J$632</c:f>
              <c:numCache/>
            </c:numRef>
          </c:val>
          <c:smooth val="0"/>
        </c:ser>
        <c:axId val="395967892"/>
        <c:axId val="1261008888"/>
      </c:lineChart>
      <c:catAx>
        <c:axId val="3959678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  <a:r>
                  <a:rPr b="1">
                    <a:solidFill>
                      <a:srgbClr val="000000"/>
                    </a:solidFill>
                    <a:latin typeface="Arial"/>
                  </a:rPr>
                  <a:t>Producto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</a:p>
        </c:txPr>
        <c:crossAx val="1261008888"/>
      </c:catAx>
      <c:valAx>
        <c:axId val="1261008888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</a:p>
        </c:txPr>
        <c:crossAx val="395967892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000">
                <a:solidFill>
                  <a:srgbClr val="000000"/>
                </a:solidFill>
                <a:latin typeface="Arial"/>
              </a:defRPr>
            </a:pPr>
            <a:r>
              <a:rPr b="1" sz="1000">
                <a:solidFill>
                  <a:srgbClr val="000000"/>
                </a:solidFill>
                <a:latin typeface="Arial"/>
              </a:rPr>
              <a:t>ESTADISTICAS SEMANA 3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'NUEVO VIERNES'!$B$634:$D$634</c:f>
            </c:strRef>
          </c:tx>
          <c:spPr>
            <a:ln cmpd="sng" w="38100">
              <a:solidFill>
                <a:srgbClr val="9ED84A"/>
              </a:solidFill>
            </a:ln>
          </c:spPr>
          <c:marker>
            <c:symbol val="circle"/>
            <c:size val="7"/>
            <c:spPr>
              <a:solidFill>
                <a:srgbClr val="9ED84A"/>
              </a:solidFill>
              <a:ln cmpd="sng">
                <a:solidFill>
                  <a:srgbClr val="9ED84A"/>
                </a:solidFill>
              </a:ln>
            </c:spPr>
          </c:marker>
          <c:cat>
            <c:strRef>
              <c:f>'NUEVO VIERNES'!$E$633:$J$633</c:f>
            </c:strRef>
          </c:cat>
          <c:val>
            <c:numRef>
              <c:f>'NUEVO VIERNES'!$E$634:$J$634</c:f>
              <c:numCache/>
            </c:numRef>
          </c:val>
          <c:smooth val="0"/>
        </c:ser>
        <c:ser>
          <c:idx val="1"/>
          <c:order val="1"/>
          <c:tx>
            <c:strRef>
              <c:f>'NUEVO VIERNES'!$B$635:$D$635</c:f>
            </c:strRef>
          </c:tx>
          <c:spPr>
            <a:ln cmpd="sng"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marker>
          <c:cat>
            <c:strRef>
              <c:f>'NUEVO VIERNES'!$E$633:$J$633</c:f>
            </c:strRef>
          </c:cat>
          <c:val>
            <c:numRef>
              <c:f>'NUEVO VIERNES'!$E$635:$J$635</c:f>
              <c:numCache/>
            </c:numRef>
          </c:val>
          <c:smooth val="0"/>
        </c:ser>
        <c:ser>
          <c:idx val="2"/>
          <c:order val="2"/>
          <c:tx>
            <c:strRef>
              <c:f>'NUEVO VIERNES'!$B$636:$D$636</c:f>
            </c:strRef>
          </c:tx>
          <c:spPr>
            <a:ln cmpd="sng" w="38100">
              <a:solidFill>
                <a:srgbClr val="808080"/>
              </a:solidFill>
            </a:ln>
          </c:spPr>
          <c:marker>
            <c:symbol val="circle"/>
            <c:size val="7"/>
            <c:spPr>
              <a:solidFill>
                <a:srgbClr val="808080"/>
              </a:solidFill>
              <a:ln cmpd="sng">
                <a:solidFill>
                  <a:srgbClr val="808080"/>
                </a:solidFill>
              </a:ln>
            </c:spPr>
          </c:marker>
          <c:cat>
            <c:strRef>
              <c:f>'NUEVO VIERNES'!$E$633:$J$633</c:f>
            </c:strRef>
          </c:cat>
          <c:val>
            <c:numRef>
              <c:f>'NUEVO VIERNES'!$E$636:$J$636</c:f>
              <c:numCache/>
            </c:numRef>
          </c:val>
          <c:smooth val="0"/>
        </c:ser>
        <c:ser>
          <c:idx val="3"/>
          <c:order val="3"/>
          <c:tx>
            <c:strRef>
              <c:f>'NUEVO VIERNES'!$B$637:$D$637</c:f>
            </c:strRef>
          </c:tx>
          <c:spPr>
            <a:ln cmpd="sng" w="38100">
              <a:solidFill>
                <a:srgbClr val="F06753"/>
              </a:solidFill>
            </a:ln>
          </c:spPr>
          <c:marker>
            <c:symbol val="circle"/>
            <c:size val="7"/>
            <c:spPr>
              <a:solidFill>
                <a:srgbClr val="F06753"/>
              </a:solidFill>
              <a:ln cmpd="sng">
                <a:solidFill>
                  <a:srgbClr val="F06753"/>
                </a:solidFill>
              </a:ln>
            </c:spPr>
          </c:marker>
          <c:cat>
            <c:strRef>
              <c:f>'NUEVO VIERNES'!$E$633:$J$633</c:f>
            </c:strRef>
          </c:cat>
          <c:val>
            <c:numRef>
              <c:f>'NUEVO VIERNES'!$E$637:$J$637</c:f>
              <c:numCache/>
            </c:numRef>
          </c:val>
          <c:smooth val="0"/>
        </c:ser>
        <c:ser>
          <c:idx val="4"/>
          <c:order val="4"/>
          <c:tx>
            <c:strRef>
              <c:f>'NUEVO VIERNES'!$B$638:$D$638</c:f>
            </c:strRef>
          </c:tx>
          <c:spPr>
            <a:ln cmpd="sng" w="38100">
              <a:solidFill>
                <a:srgbClr val="8E7CC3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8E7CC3">
                  <a:alpha val="100000"/>
                </a:srgbClr>
              </a:solidFill>
              <a:ln cmpd="sng">
                <a:solidFill>
                  <a:srgbClr val="8E7CC3">
                    <a:alpha val="100000"/>
                  </a:srgbClr>
                </a:solidFill>
              </a:ln>
            </c:spPr>
          </c:marker>
          <c:cat>
            <c:strRef>
              <c:f>'NUEVO VIERNES'!$E$633:$J$633</c:f>
            </c:strRef>
          </c:cat>
          <c:val>
            <c:numRef>
              <c:f>'NUEVO VIERNES'!$E$638:$J$638</c:f>
              <c:numCache/>
            </c:numRef>
          </c:val>
          <c:smooth val="0"/>
        </c:ser>
        <c:axId val="940451082"/>
        <c:axId val="1725816651"/>
      </c:lineChart>
      <c:catAx>
        <c:axId val="9404510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  <a:r>
                  <a:rPr b="1">
                    <a:solidFill>
                      <a:srgbClr val="000000"/>
                    </a:solidFill>
                    <a:latin typeface="Arial"/>
                  </a:rPr>
                  <a:t>Producto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725816651"/>
      </c:catAx>
      <c:valAx>
        <c:axId val="1725816651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</a:p>
        </c:txPr>
        <c:crossAx val="940451082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000">
                <a:solidFill>
                  <a:srgbClr val="000000"/>
                </a:solidFill>
                <a:latin typeface="Arial"/>
              </a:defRPr>
            </a:pPr>
            <a:r>
              <a:rPr b="1" sz="1000">
                <a:solidFill>
                  <a:srgbClr val="000000"/>
                </a:solidFill>
                <a:latin typeface="Arial"/>
              </a:rPr>
              <a:t>ESTADISTICAS SEMANA 4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'NUEVO VIERNES'!$B$640:$D$640</c:f>
            </c:strRef>
          </c:tx>
          <c:spPr>
            <a:ln cmpd="sng" w="38100">
              <a:solidFill>
                <a:srgbClr val="9ED84A"/>
              </a:solidFill>
            </a:ln>
          </c:spPr>
          <c:marker>
            <c:symbol val="circle"/>
            <c:size val="7"/>
            <c:spPr>
              <a:solidFill>
                <a:srgbClr val="9ED84A"/>
              </a:solidFill>
              <a:ln cmpd="sng">
                <a:solidFill>
                  <a:srgbClr val="9ED84A"/>
                </a:solidFill>
              </a:ln>
            </c:spPr>
          </c:marker>
          <c:cat>
            <c:strRef>
              <c:f>'NUEVO VIERNES'!$E$639:$J$639</c:f>
            </c:strRef>
          </c:cat>
          <c:val>
            <c:numRef>
              <c:f>'NUEVO VIERNES'!$E$640:$J$640</c:f>
              <c:numCache/>
            </c:numRef>
          </c:val>
          <c:smooth val="0"/>
        </c:ser>
        <c:ser>
          <c:idx val="1"/>
          <c:order val="1"/>
          <c:tx>
            <c:strRef>
              <c:f>'NUEVO VIERNES'!$B$641:$D$641</c:f>
            </c:strRef>
          </c:tx>
          <c:spPr>
            <a:ln cmpd="sng"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marker>
          <c:cat>
            <c:strRef>
              <c:f>'NUEVO VIERNES'!$E$639:$J$639</c:f>
            </c:strRef>
          </c:cat>
          <c:val>
            <c:numRef>
              <c:f>'NUEVO VIERNES'!$E$641:$J$641</c:f>
              <c:numCache/>
            </c:numRef>
          </c:val>
          <c:smooth val="0"/>
        </c:ser>
        <c:ser>
          <c:idx val="2"/>
          <c:order val="2"/>
          <c:tx>
            <c:strRef>
              <c:f>'NUEVO VIERNES'!$B$642:$D$642</c:f>
            </c:strRef>
          </c:tx>
          <c:spPr>
            <a:ln cmpd="sng" w="38100">
              <a:solidFill>
                <a:srgbClr val="808080"/>
              </a:solidFill>
            </a:ln>
          </c:spPr>
          <c:marker>
            <c:symbol val="circle"/>
            <c:size val="7"/>
            <c:spPr>
              <a:solidFill>
                <a:srgbClr val="808080"/>
              </a:solidFill>
              <a:ln cmpd="sng">
                <a:solidFill>
                  <a:srgbClr val="808080"/>
                </a:solidFill>
              </a:ln>
            </c:spPr>
          </c:marker>
          <c:cat>
            <c:strRef>
              <c:f>'NUEVO VIERNES'!$E$639:$J$639</c:f>
            </c:strRef>
          </c:cat>
          <c:val>
            <c:numRef>
              <c:f>'NUEVO VIERNES'!$E$642:$J$642</c:f>
              <c:numCache/>
            </c:numRef>
          </c:val>
          <c:smooth val="0"/>
        </c:ser>
        <c:ser>
          <c:idx val="3"/>
          <c:order val="3"/>
          <c:tx>
            <c:strRef>
              <c:f>'NUEVO VIERNES'!$B$643:$D$643</c:f>
            </c:strRef>
          </c:tx>
          <c:spPr>
            <a:ln cmpd="sng" w="38100">
              <a:solidFill>
                <a:srgbClr val="F06753"/>
              </a:solidFill>
            </a:ln>
          </c:spPr>
          <c:marker>
            <c:symbol val="circle"/>
            <c:size val="7"/>
            <c:spPr>
              <a:solidFill>
                <a:srgbClr val="F06753"/>
              </a:solidFill>
              <a:ln cmpd="sng">
                <a:solidFill>
                  <a:srgbClr val="F06753"/>
                </a:solidFill>
              </a:ln>
            </c:spPr>
          </c:marker>
          <c:cat>
            <c:strRef>
              <c:f>'NUEVO VIERNES'!$E$639:$J$639</c:f>
            </c:strRef>
          </c:cat>
          <c:val>
            <c:numRef>
              <c:f>'NUEVO VIERNES'!$E$643:$J$643</c:f>
              <c:numCache/>
            </c:numRef>
          </c:val>
          <c:smooth val="0"/>
        </c:ser>
        <c:ser>
          <c:idx val="4"/>
          <c:order val="4"/>
          <c:tx>
            <c:strRef>
              <c:f>'NUEVO VIERNES'!$B$644:$D$644</c:f>
            </c:strRef>
          </c:tx>
          <c:spPr>
            <a:ln cmpd="sng" w="38100">
              <a:solidFill>
                <a:srgbClr val="8E7CC3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8E7CC3">
                  <a:alpha val="100000"/>
                </a:srgbClr>
              </a:solidFill>
              <a:ln cmpd="sng">
                <a:solidFill>
                  <a:srgbClr val="8E7CC3">
                    <a:alpha val="100000"/>
                  </a:srgbClr>
                </a:solidFill>
              </a:ln>
            </c:spPr>
          </c:marker>
          <c:cat>
            <c:strRef>
              <c:f>'NUEVO VIERNES'!$E$639:$J$639</c:f>
            </c:strRef>
          </c:cat>
          <c:val>
            <c:numRef>
              <c:f>'NUEVO VIERNES'!$E$644:$J$644</c:f>
              <c:numCache/>
            </c:numRef>
          </c:val>
          <c:smooth val="0"/>
        </c:ser>
        <c:axId val="1386842600"/>
        <c:axId val="89019694"/>
      </c:lineChart>
      <c:catAx>
        <c:axId val="13868426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  <a:r>
                  <a:rPr b="1">
                    <a:solidFill>
                      <a:srgbClr val="000000"/>
                    </a:solidFill>
                    <a:latin typeface="Arial"/>
                  </a:rPr>
                  <a:t>Producto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89019694"/>
      </c:catAx>
      <c:valAx>
        <c:axId val="89019694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</a:p>
        </c:txPr>
        <c:crossAx val="1386842600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000">
                <a:solidFill>
                  <a:srgbClr val="000000"/>
                </a:solidFill>
                <a:latin typeface="Arial"/>
              </a:defRPr>
            </a:pPr>
            <a:r>
              <a:rPr b="1" sz="1000">
                <a:solidFill>
                  <a:srgbClr val="000000"/>
                </a:solidFill>
                <a:latin typeface="Arial"/>
              </a:rPr>
              <a:t>ESTADISTICAS DEL MES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'NUEVO VIERNES'!$B$647:$D$647</c:f>
            </c:strRef>
          </c:tx>
          <c:spPr>
            <a:ln cmpd="sng" w="38100">
              <a:solidFill>
                <a:srgbClr val="9ED84A"/>
              </a:solidFill>
            </a:ln>
          </c:spPr>
          <c:marker>
            <c:symbol val="circle"/>
            <c:size val="7"/>
            <c:spPr>
              <a:solidFill>
                <a:srgbClr val="9ED84A"/>
              </a:solidFill>
              <a:ln cmpd="sng">
                <a:solidFill>
                  <a:srgbClr val="9ED84A"/>
                </a:solidFill>
              </a:ln>
            </c:spPr>
          </c:marker>
          <c:cat>
            <c:strRef>
              <c:f>'NUEVO VIERNES'!$E$646:$J$646</c:f>
            </c:strRef>
          </c:cat>
          <c:val>
            <c:numRef>
              <c:f>'NUEVO VIERNES'!$E$647:$J$647</c:f>
              <c:numCache/>
            </c:numRef>
          </c:val>
          <c:smooth val="0"/>
        </c:ser>
        <c:ser>
          <c:idx val="1"/>
          <c:order val="1"/>
          <c:tx>
            <c:strRef>
              <c:f>'NUEVO VIERNES'!$B$648:$D$648</c:f>
            </c:strRef>
          </c:tx>
          <c:spPr>
            <a:ln cmpd="sng"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marker>
          <c:cat>
            <c:strRef>
              <c:f>'NUEVO VIERNES'!$E$646:$J$646</c:f>
            </c:strRef>
          </c:cat>
          <c:val>
            <c:numRef>
              <c:f>'NUEVO VIERNES'!$E$648:$J$648</c:f>
              <c:numCache/>
            </c:numRef>
          </c:val>
          <c:smooth val="0"/>
        </c:ser>
        <c:ser>
          <c:idx val="2"/>
          <c:order val="2"/>
          <c:tx>
            <c:strRef>
              <c:f>'NUEVO VIERNES'!$B$649:$D$649</c:f>
            </c:strRef>
          </c:tx>
          <c:spPr>
            <a:ln cmpd="sng" w="38100">
              <a:solidFill>
                <a:srgbClr val="808080"/>
              </a:solidFill>
            </a:ln>
          </c:spPr>
          <c:marker>
            <c:symbol val="circle"/>
            <c:size val="7"/>
            <c:spPr>
              <a:solidFill>
                <a:srgbClr val="808080"/>
              </a:solidFill>
              <a:ln cmpd="sng">
                <a:solidFill>
                  <a:srgbClr val="808080"/>
                </a:solidFill>
              </a:ln>
            </c:spPr>
          </c:marker>
          <c:cat>
            <c:strRef>
              <c:f>'NUEVO VIERNES'!$E$646:$J$646</c:f>
            </c:strRef>
          </c:cat>
          <c:val>
            <c:numRef>
              <c:f>'NUEVO VIERNES'!$E$649:$J$649</c:f>
              <c:numCache/>
            </c:numRef>
          </c:val>
          <c:smooth val="0"/>
        </c:ser>
        <c:ser>
          <c:idx val="3"/>
          <c:order val="3"/>
          <c:tx>
            <c:strRef>
              <c:f>'NUEVO VIERNES'!$B$650:$D$650</c:f>
            </c:strRef>
          </c:tx>
          <c:spPr>
            <a:ln cmpd="sng" w="38100">
              <a:solidFill>
                <a:srgbClr val="F06753"/>
              </a:solidFill>
            </a:ln>
          </c:spPr>
          <c:marker>
            <c:symbol val="circle"/>
            <c:size val="7"/>
            <c:spPr>
              <a:solidFill>
                <a:srgbClr val="F06753"/>
              </a:solidFill>
              <a:ln cmpd="sng">
                <a:solidFill>
                  <a:srgbClr val="F06753"/>
                </a:solidFill>
              </a:ln>
            </c:spPr>
          </c:marker>
          <c:cat>
            <c:strRef>
              <c:f>'NUEVO VIERNES'!$E$646:$J$646</c:f>
            </c:strRef>
          </c:cat>
          <c:val>
            <c:numRef>
              <c:f>'NUEVO VIERNES'!$E$650:$J$650</c:f>
              <c:numCache/>
            </c:numRef>
          </c:val>
          <c:smooth val="0"/>
        </c:ser>
        <c:ser>
          <c:idx val="4"/>
          <c:order val="4"/>
          <c:tx>
            <c:strRef>
              <c:f>'NUEVO VIERNES'!$B$651:$D$651</c:f>
            </c:strRef>
          </c:tx>
          <c:spPr>
            <a:ln cmpd="sng" w="38100">
              <a:solidFill>
                <a:srgbClr val="8E7CC3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8E7CC3">
                  <a:alpha val="100000"/>
                </a:srgbClr>
              </a:solidFill>
              <a:ln cmpd="sng">
                <a:solidFill>
                  <a:srgbClr val="8E7CC3">
                    <a:alpha val="100000"/>
                  </a:srgbClr>
                </a:solidFill>
              </a:ln>
            </c:spPr>
          </c:marker>
          <c:cat>
            <c:strRef>
              <c:f>'NUEVO VIERNES'!$E$646:$J$646</c:f>
            </c:strRef>
          </c:cat>
          <c:val>
            <c:numRef>
              <c:f>'NUEVO VIERNES'!$E$651:$J$651</c:f>
              <c:numCache/>
            </c:numRef>
          </c:val>
          <c:smooth val="0"/>
        </c:ser>
        <c:axId val="982472183"/>
        <c:axId val="1193610526"/>
      </c:lineChart>
      <c:catAx>
        <c:axId val="9824721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193610526"/>
      </c:catAx>
      <c:valAx>
        <c:axId val="1193610526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</a:p>
        </c:txPr>
        <c:crossAx val="982472183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000">
                <a:solidFill>
                  <a:srgbClr val="000000"/>
                </a:solidFill>
                <a:latin typeface="Arial"/>
              </a:defRPr>
            </a:pPr>
            <a:r>
              <a:rPr b="1" sz="1000">
                <a:solidFill>
                  <a:srgbClr val="000000"/>
                </a:solidFill>
                <a:latin typeface="Arial"/>
              </a:rPr>
              <a:t>ESTADISTICAS SEMANA 1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'NUEVO FORMATO'!$B$622:$D$622</c:f>
            </c:strRef>
          </c:tx>
          <c:spPr>
            <a:ln cmpd="sng" w="38100">
              <a:solidFill>
                <a:srgbClr val="9ED84A"/>
              </a:solidFill>
            </a:ln>
          </c:spPr>
          <c:marker>
            <c:symbol val="circle"/>
            <c:size val="7"/>
            <c:spPr>
              <a:solidFill>
                <a:srgbClr val="9ED84A"/>
              </a:solidFill>
              <a:ln cmpd="sng">
                <a:solidFill>
                  <a:srgbClr val="9ED84A"/>
                </a:solidFill>
              </a:ln>
            </c:spPr>
          </c:marker>
          <c:cat>
            <c:strRef>
              <c:f>'NUEVO FORMATO'!$E$621:$J$621</c:f>
            </c:strRef>
          </c:cat>
          <c:val>
            <c:numRef>
              <c:f>'NUEVO FORMATO'!$E$622:$J$622</c:f>
              <c:numCache/>
            </c:numRef>
          </c:val>
          <c:smooth val="0"/>
        </c:ser>
        <c:ser>
          <c:idx val="1"/>
          <c:order val="1"/>
          <c:tx>
            <c:strRef>
              <c:f>'NUEVO FORMATO'!$B$623:$D$623</c:f>
            </c:strRef>
          </c:tx>
          <c:spPr>
            <a:ln cmpd="sng"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marker>
          <c:cat>
            <c:strRef>
              <c:f>'NUEVO FORMATO'!$E$621:$J$621</c:f>
            </c:strRef>
          </c:cat>
          <c:val>
            <c:numRef>
              <c:f>'NUEVO FORMATO'!$E$623:$J$623</c:f>
              <c:numCache/>
            </c:numRef>
          </c:val>
          <c:smooth val="0"/>
        </c:ser>
        <c:ser>
          <c:idx val="2"/>
          <c:order val="2"/>
          <c:tx>
            <c:strRef>
              <c:f>'NUEVO FORMATO'!$B$624:$D$624</c:f>
            </c:strRef>
          </c:tx>
          <c:spPr>
            <a:ln cmpd="sng" w="38100">
              <a:solidFill>
                <a:srgbClr val="808080"/>
              </a:solidFill>
            </a:ln>
          </c:spPr>
          <c:marker>
            <c:symbol val="circle"/>
            <c:size val="7"/>
            <c:spPr>
              <a:solidFill>
                <a:srgbClr val="808080"/>
              </a:solidFill>
              <a:ln cmpd="sng">
                <a:solidFill>
                  <a:srgbClr val="808080"/>
                </a:solidFill>
              </a:ln>
            </c:spPr>
          </c:marker>
          <c:cat>
            <c:strRef>
              <c:f>'NUEVO FORMATO'!$E$621:$J$621</c:f>
            </c:strRef>
          </c:cat>
          <c:val>
            <c:numRef>
              <c:f>'NUEVO FORMATO'!$E$624:$J$624</c:f>
              <c:numCache/>
            </c:numRef>
          </c:val>
          <c:smooth val="0"/>
        </c:ser>
        <c:ser>
          <c:idx val="3"/>
          <c:order val="3"/>
          <c:tx>
            <c:strRef>
              <c:f>'NUEVO FORMATO'!$B$625:$D$625</c:f>
            </c:strRef>
          </c:tx>
          <c:spPr>
            <a:ln cmpd="sng" w="38100">
              <a:solidFill>
                <a:srgbClr val="F06753"/>
              </a:solidFill>
            </a:ln>
          </c:spPr>
          <c:marker>
            <c:symbol val="circle"/>
            <c:size val="7"/>
            <c:spPr>
              <a:solidFill>
                <a:srgbClr val="F06753"/>
              </a:solidFill>
              <a:ln cmpd="sng">
                <a:solidFill>
                  <a:srgbClr val="F06753"/>
                </a:solidFill>
              </a:ln>
            </c:spPr>
          </c:marker>
          <c:cat>
            <c:strRef>
              <c:f>'NUEVO FORMATO'!$E$621:$J$621</c:f>
            </c:strRef>
          </c:cat>
          <c:val>
            <c:numRef>
              <c:f>'NUEVO FORMATO'!$E$625:$J$625</c:f>
              <c:numCache/>
            </c:numRef>
          </c:val>
          <c:smooth val="0"/>
        </c:ser>
        <c:ser>
          <c:idx val="4"/>
          <c:order val="4"/>
          <c:tx>
            <c:strRef>
              <c:f>'NUEVO FORMATO'!$B$626:$D$626</c:f>
            </c:strRef>
          </c:tx>
          <c:spPr>
            <a:ln cmpd="sng" w="38100">
              <a:solidFill>
                <a:srgbClr val="8E7CC3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8E7CC3">
                  <a:alpha val="100000"/>
                </a:srgbClr>
              </a:solidFill>
              <a:ln cmpd="sng">
                <a:solidFill>
                  <a:srgbClr val="8E7CC3">
                    <a:alpha val="100000"/>
                  </a:srgbClr>
                </a:solidFill>
              </a:ln>
            </c:spPr>
          </c:marker>
          <c:cat>
            <c:strRef>
              <c:f>'NUEVO FORMATO'!$E$621:$J$621</c:f>
            </c:strRef>
          </c:cat>
          <c:val>
            <c:numRef>
              <c:f>'NUEVO FORMATO'!$E$626:$J$626</c:f>
              <c:numCache/>
            </c:numRef>
          </c:val>
          <c:smooth val="0"/>
        </c:ser>
        <c:axId val="1182407854"/>
        <c:axId val="1864139022"/>
      </c:lineChart>
      <c:catAx>
        <c:axId val="11824078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  <a:r>
                  <a:rPr b="1">
                    <a:solidFill>
                      <a:srgbClr val="000000"/>
                    </a:solidFill>
                    <a:latin typeface="Arial"/>
                  </a:rPr>
                  <a:t>Producto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</a:p>
        </c:txPr>
        <c:crossAx val="1864139022"/>
      </c:catAx>
      <c:valAx>
        <c:axId val="1864139022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</a:p>
        </c:txPr>
        <c:crossAx val="1182407854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000">
                <a:solidFill>
                  <a:srgbClr val="000000"/>
                </a:solidFill>
                <a:latin typeface="Arial"/>
              </a:defRPr>
            </a:pPr>
            <a:r>
              <a:rPr b="1" sz="1000">
                <a:solidFill>
                  <a:srgbClr val="000000"/>
                </a:solidFill>
                <a:latin typeface="Arial"/>
              </a:rPr>
              <a:t>ESTADISTICAS SEMANA 2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'NUEVO FORMATO'!$B$628:$D$628</c:f>
            </c:strRef>
          </c:tx>
          <c:spPr>
            <a:ln cmpd="sng" w="38100">
              <a:solidFill>
                <a:srgbClr val="9ED84A"/>
              </a:solidFill>
            </a:ln>
          </c:spPr>
          <c:marker>
            <c:symbol val="circle"/>
            <c:size val="7"/>
            <c:spPr>
              <a:solidFill>
                <a:srgbClr val="9ED84A"/>
              </a:solidFill>
              <a:ln cmpd="sng">
                <a:solidFill>
                  <a:srgbClr val="9ED84A"/>
                </a:solidFill>
              </a:ln>
            </c:spPr>
          </c:marker>
          <c:cat>
            <c:strRef>
              <c:f>'NUEVO FORMATO'!$E$627:$J$627</c:f>
            </c:strRef>
          </c:cat>
          <c:val>
            <c:numRef>
              <c:f>'NUEVO FORMATO'!$E$628:$J$628</c:f>
              <c:numCache/>
            </c:numRef>
          </c:val>
          <c:smooth val="0"/>
        </c:ser>
        <c:ser>
          <c:idx val="1"/>
          <c:order val="1"/>
          <c:tx>
            <c:strRef>
              <c:f>'NUEVO FORMATO'!$B$629:$D$629</c:f>
            </c:strRef>
          </c:tx>
          <c:spPr>
            <a:ln cmpd="sng"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marker>
          <c:cat>
            <c:strRef>
              <c:f>'NUEVO FORMATO'!$E$627:$J$627</c:f>
            </c:strRef>
          </c:cat>
          <c:val>
            <c:numRef>
              <c:f>'NUEVO FORMATO'!$E$629:$J$629</c:f>
              <c:numCache/>
            </c:numRef>
          </c:val>
          <c:smooth val="0"/>
        </c:ser>
        <c:ser>
          <c:idx val="2"/>
          <c:order val="2"/>
          <c:tx>
            <c:strRef>
              <c:f>'NUEVO FORMATO'!$B$630:$D$630</c:f>
            </c:strRef>
          </c:tx>
          <c:spPr>
            <a:ln cmpd="sng" w="38100">
              <a:solidFill>
                <a:srgbClr val="808080"/>
              </a:solidFill>
            </a:ln>
          </c:spPr>
          <c:marker>
            <c:symbol val="circle"/>
            <c:size val="7"/>
            <c:spPr>
              <a:solidFill>
                <a:srgbClr val="808080"/>
              </a:solidFill>
              <a:ln cmpd="sng">
                <a:solidFill>
                  <a:srgbClr val="808080"/>
                </a:solidFill>
              </a:ln>
            </c:spPr>
          </c:marker>
          <c:cat>
            <c:strRef>
              <c:f>'NUEVO FORMATO'!$E$627:$J$627</c:f>
            </c:strRef>
          </c:cat>
          <c:val>
            <c:numRef>
              <c:f>'NUEVO FORMATO'!$E$630:$J$630</c:f>
              <c:numCache/>
            </c:numRef>
          </c:val>
          <c:smooth val="0"/>
        </c:ser>
        <c:ser>
          <c:idx val="3"/>
          <c:order val="3"/>
          <c:tx>
            <c:strRef>
              <c:f>'NUEVO FORMATO'!$B$631:$D$631</c:f>
            </c:strRef>
          </c:tx>
          <c:spPr>
            <a:ln cmpd="sng" w="38100">
              <a:solidFill>
                <a:srgbClr val="F06753"/>
              </a:solidFill>
            </a:ln>
          </c:spPr>
          <c:marker>
            <c:symbol val="circle"/>
            <c:size val="7"/>
            <c:spPr>
              <a:solidFill>
                <a:srgbClr val="F06753"/>
              </a:solidFill>
              <a:ln cmpd="sng">
                <a:solidFill>
                  <a:srgbClr val="F06753"/>
                </a:solidFill>
              </a:ln>
            </c:spPr>
          </c:marker>
          <c:cat>
            <c:strRef>
              <c:f>'NUEVO FORMATO'!$E$627:$J$627</c:f>
            </c:strRef>
          </c:cat>
          <c:val>
            <c:numRef>
              <c:f>'NUEVO FORMATO'!$E$631:$J$631</c:f>
              <c:numCache/>
            </c:numRef>
          </c:val>
          <c:smooth val="0"/>
        </c:ser>
        <c:ser>
          <c:idx val="4"/>
          <c:order val="4"/>
          <c:tx>
            <c:strRef>
              <c:f>'NUEVO FORMATO'!$B$632:$D$632</c:f>
            </c:strRef>
          </c:tx>
          <c:spPr>
            <a:ln cmpd="sng" w="38100">
              <a:solidFill>
                <a:srgbClr val="8E7CC3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8E7CC3">
                  <a:alpha val="100000"/>
                </a:srgbClr>
              </a:solidFill>
              <a:ln cmpd="sng">
                <a:solidFill>
                  <a:srgbClr val="8E7CC3">
                    <a:alpha val="100000"/>
                  </a:srgbClr>
                </a:solidFill>
              </a:ln>
            </c:spPr>
          </c:marker>
          <c:cat>
            <c:strRef>
              <c:f>'NUEVO FORMATO'!$E$627:$J$627</c:f>
            </c:strRef>
          </c:cat>
          <c:val>
            <c:numRef>
              <c:f>'NUEVO FORMATO'!$E$632:$J$632</c:f>
              <c:numCache/>
            </c:numRef>
          </c:val>
          <c:smooth val="0"/>
        </c:ser>
        <c:axId val="713692075"/>
        <c:axId val="1336986761"/>
      </c:lineChart>
      <c:catAx>
        <c:axId val="7136920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  <a:r>
                  <a:rPr b="1">
                    <a:solidFill>
                      <a:srgbClr val="000000"/>
                    </a:solidFill>
                    <a:latin typeface="Arial"/>
                  </a:rPr>
                  <a:t>Producto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</a:p>
        </c:txPr>
        <c:crossAx val="1336986761"/>
      </c:catAx>
      <c:valAx>
        <c:axId val="1336986761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</a:p>
        </c:txPr>
        <c:crossAx val="713692075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000">
                <a:solidFill>
                  <a:srgbClr val="000000"/>
                </a:solidFill>
                <a:latin typeface="Arial"/>
              </a:defRPr>
            </a:pPr>
            <a:r>
              <a:rPr b="1" sz="1000">
                <a:solidFill>
                  <a:srgbClr val="000000"/>
                </a:solidFill>
                <a:latin typeface="Arial"/>
              </a:rPr>
              <a:t>ESTADISTICAS SEMANA 3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'NUEVO FORMATO'!$B$634:$D$634</c:f>
            </c:strRef>
          </c:tx>
          <c:spPr>
            <a:ln cmpd="sng" w="38100">
              <a:solidFill>
                <a:srgbClr val="9ED84A"/>
              </a:solidFill>
            </a:ln>
          </c:spPr>
          <c:marker>
            <c:symbol val="circle"/>
            <c:size val="7"/>
            <c:spPr>
              <a:solidFill>
                <a:srgbClr val="9ED84A"/>
              </a:solidFill>
              <a:ln cmpd="sng">
                <a:solidFill>
                  <a:srgbClr val="9ED84A"/>
                </a:solidFill>
              </a:ln>
            </c:spPr>
          </c:marker>
          <c:cat>
            <c:strRef>
              <c:f>'NUEVO FORMATO'!$E$633:$J$633</c:f>
            </c:strRef>
          </c:cat>
          <c:val>
            <c:numRef>
              <c:f>'NUEVO FORMATO'!$E$634:$J$634</c:f>
              <c:numCache/>
            </c:numRef>
          </c:val>
          <c:smooth val="0"/>
        </c:ser>
        <c:ser>
          <c:idx val="1"/>
          <c:order val="1"/>
          <c:tx>
            <c:strRef>
              <c:f>'NUEVO FORMATO'!$B$635:$D$635</c:f>
            </c:strRef>
          </c:tx>
          <c:spPr>
            <a:ln cmpd="sng"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marker>
          <c:cat>
            <c:strRef>
              <c:f>'NUEVO FORMATO'!$E$633:$J$633</c:f>
            </c:strRef>
          </c:cat>
          <c:val>
            <c:numRef>
              <c:f>'NUEVO FORMATO'!$E$635:$J$635</c:f>
              <c:numCache/>
            </c:numRef>
          </c:val>
          <c:smooth val="0"/>
        </c:ser>
        <c:ser>
          <c:idx val="2"/>
          <c:order val="2"/>
          <c:tx>
            <c:strRef>
              <c:f>'NUEVO FORMATO'!$B$636:$D$636</c:f>
            </c:strRef>
          </c:tx>
          <c:spPr>
            <a:ln cmpd="sng" w="38100">
              <a:solidFill>
                <a:srgbClr val="808080"/>
              </a:solidFill>
            </a:ln>
          </c:spPr>
          <c:marker>
            <c:symbol val="circle"/>
            <c:size val="7"/>
            <c:spPr>
              <a:solidFill>
                <a:srgbClr val="808080"/>
              </a:solidFill>
              <a:ln cmpd="sng">
                <a:solidFill>
                  <a:srgbClr val="808080"/>
                </a:solidFill>
              </a:ln>
            </c:spPr>
          </c:marker>
          <c:cat>
            <c:strRef>
              <c:f>'NUEVO FORMATO'!$E$633:$J$633</c:f>
            </c:strRef>
          </c:cat>
          <c:val>
            <c:numRef>
              <c:f>'NUEVO FORMATO'!$E$636:$J$636</c:f>
              <c:numCache/>
            </c:numRef>
          </c:val>
          <c:smooth val="0"/>
        </c:ser>
        <c:ser>
          <c:idx val="3"/>
          <c:order val="3"/>
          <c:tx>
            <c:strRef>
              <c:f>'NUEVO FORMATO'!$B$637:$D$637</c:f>
            </c:strRef>
          </c:tx>
          <c:spPr>
            <a:ln cmpd="sng" w="38100">
              <a:solidFill>
                <a:srgbClr val="F06753"/>
              </a:solidFill>
            </a:ln>
          </c:spPr>
          <c:marker>
            <c:symbol val="circle"/>
            <c:size val="7"/>
            <c:spPr>
              <a:solidFill>
                <a:srgbClr val="F06753"/>
              </a:solidFill>
              <a:ln cmpd="sng">
                <a:solidFill>
                  <a:srgbClr val="F06753"/>
                </a:solidFill>
              </a:ln>
            </c:spPr>
          </c:marker>
          <c:cat>
            <c:strRef>
              <c:f>'NUEVO FORMATO'!$E$633:$J$633</c:f>
            </c:strRef>
          </c:cat>
          <c:val>
            <c:numRef>
              <c:f>'NUEVO FORMATO'!$E$637:$J$637</c:f>
              <c:numCache/>
            </c:numRef>
          </c:val>
          <c:smooth val="0"/>
        </c:ser>
        <c:ser>
          <c:idx val="4"/>
          <c:order val="4"/>
          <c:tx>
            <c:strRef>
              <c:f>'NUEVO FORMATO'!$B$638:$D$638</c:f>
            </c:strRef>
          </c:tx>
          <c:spPr>
            <a:ln cmpd="sng" w="38100">
              <a:solidFill>
                <a:srgbClr val="8E7CC3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8E7CC3">
                  <a:alpha val="100000"/>
                </a:srgbClr>
              </a:solidFill>
              <a:ln cmpd="sng">
                <a:solidFill>
                  <a:srgbClr val="8E7CC3">
                    <a:alpha val="100000"/>
                  </a:srgbClr>
                </a:solidFill>
              </a:ln>
            </c:spPr>
          </c:marker>
          <c:cat>
            <c:strRef>
              <c:f>'NUEVO FORMATO'!$E$633:$J$633</c:f>
            </c:strRef>
          </c:cat>
          <c:val>
            <c:numRef>
              <c:f>'NUEVO FORMATO'!$E$638:$J$638</c:f>
              <c:numCache/>
            </c:numRef>
          </c:val>
          <c:smooth val="0"/>
        </c:ser>
        <c:axId val="1785679623"/>
        <c:axId val="661581442"/>
      </c:lineChart>
      <c:catAx>
        <c:axId val="17856796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  <a:r>
                  <a:rPr b="1">
                    <a:solidFill>
                      <a:srgbClr val="000000"/>
                    </a:solidFill>
                    <a:latin typeface="Arial"/>
                  </a:rPr>
                  <a:t>Producto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661581442"/>
      </c:catAx>
      <c:valAx>
        <c:axId val="661581442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</a:p>
        </c:txPr>
        <c:crossAx val="1785679623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000">
                <a:solidFill>
                  <a:srgbClr val="000000"/>
                </a:solidFill>
                <a:latin typeface="Arial"/>
              </a:defRPr>
            </a:pPr>
            <a:r>
              <a:rPr b="1" sz="1000">
                <a:solidFill>
                  <a:srgbClr val="000000"/>
                </a:solidFill>
                <a:latin typeface="Arial"/>
              </a:rPr>
              <a:t>ESTADISTICAS SEMANA 4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'NUEVO FORMATO'!$B$640:$D$640</c:f>
            </c:strRef>
          </c:tx>
          <c:spPr>
            <a:ln cmpd="sng" w="38100">
              <a:solidFill>
                <a:srgbClr val="9ED84A"/>
              </a:solidFill>
            </a:ln>
          </c:spPr>
          <c:marker>
            <c:symbol val="circle"/>
            <c:size val="7"/>
            <c:spPr>
              <a:solidFill>
                <a:srgbClr val="9ED84A"/>
              </a:solidFill>
              <a:ln cmpd="sng">
                <a:solidFill>
                  <a:srgbClr val="9ED84A"/>
                </a:solidFill>
              </a:ln>
            </c:spPr>
          </c:marker>
          <c:cat>
            <c:strRef>
              <c:f>'NUEVO FORMATO'!$E$639:$J$639</c:f>
            </c:strRef>
          </c:cat>
          <c:val>
            <c:numRef>
              <c:f>'NUEVO FORMATO'!$E$640:$J$640</c:f>
              <c:numCache/>
            </c:numRef>
          </c:val>
          <c:smooth val="0"/>
        </c:ser>
        <c:ser>
          <c:idx val="1"/>
          <c:order val="1"/>
          <c:tx>
            <c:strRef>
              <c:f>'NUEVO FORMATO'!$B$641:$D$641</c:f>
            </c:strRef>
          </c:tx>
          <c:spPr>
            <a:ln cmpd="sng"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marker>
          <c:cat>
            <c:strRef>
              <c:f>'NUEVO FORMATO'!$E$639:$J$639</c:f>
            </c:strRef>
          </c:cat>
          <c:val>
            <c:numRef>
              <c:f>'NUEVO FORMATO'!$E$641:$J$641</c:f>
              <c:numCache/>
            </c:numRef>
          </c:val>
          <c:smooth val="0"/>
        </c:ser>
        <c:ser>
          <c:idx val="2"/>
          <c:order val="2"/>
          <c:tx>
            <c:strRef>
              <c:f>'NUEVO FORMATO'!$B$642:$D$642</c:f>
            </c:strRef>
          </c:tx>
          <c:spPr>
            <a:ln cmpd="sng" w="38100">
              <a:solidFill>
                <a:srgbClr val="808080"/>
              </a:solidFill>
            </a:ln>
          </c:spPr>
          <c:marker>
            <c:symbol val="circle"/>
            <c:size val="7"/>
            <c:spPr>
              <a:solidFill>
                <a:srgbClr val="808080"/>
              </a:solidFill>
              <a:ln cmpd="sng">
                <a:solidFill>
                  <a:srgbClr val="808080"/>
                </a:solidFill>
              </a:ln>
            </c:spPr>
          </c:marker>
          <c:cat>
            <c:strRef>
              <c:f>'NUEVO FORMATO'!$E$639:$J$639</c:f>
            </c:strRef>
          </c:cat>
          <c:val>
            <c:numRef>
              <c:f>'NUEVO FORMATO'!$E$642:$J$642</c:f>
              <c:numCache/>
            </c:numRef>
          </c:val>
          <c:smooth val="0"/>
        </c:ser>
        <c:ser>
          <c:idx val="3"/>
          <c:order val="3"/>
          <c:tx>
            <c:strRef>
              <c:f>'NUEVO FORMATO'!$B$643:$D$643</c:f>
            </c:strRef>
          </c:tx>
          <c:spPr>
            <a:ln cmpd="sng" w="38100">
              <a:solidFill>
                <a:srgbClr val="F06753"/>
              </a:solidFill>
            </a:ln>
          </c:spPr>
          <c:marker>
            <c:symbol val="circle"/>
            <c:size val="7"/>
            <c:spPr>
              <a:solidFill>
                <a:srgbClr val="F06753"/>
              </a:solidFill>
              <a:ln cmpd="sng">
                <a:solidFill>
                  <a:srgbClr val="F06753"/>
                </a:solidFill>
              </a:ln>
            </c:spPr>
          </c:marker>
          <c:cat>
            <c:strRef>
              <c:f>'NUEVO FORMATO'!$E$639:$J$639</c:f>
            </c:strRef>
          </c:cat>
          <c:val>
            <c:numRef>
              <c:f>'NUEVO FORMATO'!$E$643:$J$643</c:f>
              <c:numCache/>
            </c:numRef>
          </c:val>
          <c:smooth val="0"/>
        </c:ser>
        <c:ser>
          <c:idx val="4"/>
          <c:order val="4"/>
          <c:tx>
            <c:strRef>
              <c:f>'NUEVO FORMATO'!$B$644:$D$644</c:f>
            </c:strRef>
          </c:tx>
          <c:spPr>
            <a:ln cmpd="sng" w="38100">
              <a:solidFill>
                <a:srgbClr val="8E7CC3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8E7CC3">
                  <a:alpha val="100000"/>
                </a:srgbClr>
              </a:solidFill>
              <a:ln cmpd="sng">
                <a:solidFill>
                  <a:srgbClr val="8E7CC3">
                    <a:alpha val="100000"/>
                  </a:srgbClr>
                </a:solidFill>
              </a:ln>
            </c:spPr>
          </c:marker>
          <c:cat>
            <c:strRef>
              <c:f>'NUEVO FORMATO'!$E$639:$J$639</c:f>
            </c:strRef>
          </c:cat>
          <c:val>
            <c:numRef>
              <c:f>'NUEVO FORMATO'!$E$644:$J$644</c:f>
              <c:numCache/>
            </c:numRef>
          </c:val>
          <c:smooth val="0"/>
        </c:ser>
        <c:axId val="1158396051"/>
        <c:axId val="1339665773"/>
      </c:lineChart>
      <c:catAx>
        <c:axId val="11583960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  <a:r>
                  <a:rPr b="1">
                    <a:solidFill>
                      <a:srgbClr val="000000"/>
                    </a:solidFill>
                    <a:latin typeface="Arial"/>
                  </a:rPr>
                  <a:t>Producto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339665773"/>
      </c:catAx>
      <c:valAx>
        <c:axId val="1339665773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</a:p>
        </c:txPr>
        <c:crossAx val="1158396051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000">
                <a:solidFill>
                  <a:srgbClr val="000000"/>
                </a:solidFill>
                <a:latin typeface="Arial"/>
              </a:defRPr>
            </a:pPr>
            <a:r>
              <a:rPr b="1" sz="1000">
                <a:solidFill>
                  <a:srgbClr val="000000"/>
                </a:solidFill>
                <a:latin typeface="Arial"/>
              </a:rPr>
              <a:t>ESTADISTICAS DEL MES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'NUEVO FORMATO'!$B$647:$D$647</c:f>
            </c:strRef>
          </c:tx>
          <c:spPr>
            <a:ln cmpd="sng" w="38100">
              <a:solidFill>
                <a:srgbClr val="9ED84A"/>
              </a:solidFill>
            </a:ln>
          </c:spPr>
          <c:marker>
            <c:symbol val="circle"/>
            <c:size val="7"/>
            <c:spPr>
              <a:solidFill>
                <a:srgbClr val="9ED84A"/>
              </a:solidFill>
              <a:ln cmpd="sng">
                <a:solidFill>
                  <a:srgbClr val="9ED84A"/>
                </a:solidFill>
              </a:ln>
            </c:spPr>
          </c:marker>
          <c:cat>
            <c:strRef>
              <c:f>'NUEVO FORMATO'!$E$646:$J$646</c:f>
            </c:strRef>
          </c:cat>
          <c:val>
            <c:numRef>
              <c:f>'NUEVO FORMATO'!$E$647:$J$647</c:f>
              <c:numCache/>
            </c:numRef>
          </c:val>
          <c:smooth val="0"/>
        </c:ser>
        <c:ser>
          <c:idx val="1"/>
          <c:order val="1"/>
          <c:tx>
            <c:strRef>
              <c:f>'NUEVO FORMATO'!$B$648:$D$648</c:f>
            </c:strRef>
          </c:tx>
          <c:spPr>
            <a:ln cmpd="sng"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marker>
          <c:cat>
            <c:strRef>
              <c:f>'NUEVO FORMATO'!$E$646:$J$646</c:f>
            </c:strRef>
          </c:cat>
          <c:val>
            <c:numRef>
              <c:f>'NUEVO FORMATO'!$E$648:$J$648</c:f>
              <c:numCache/>
            </c:numRef>
          </c:val>
          <c:smooth val="0"/>
        </c:ser>
        <c:ser>
          <c:idx val="2"/>
          <c:order val="2"/>
          <c:tx>
            <c:strRef>
              <c:f>'NUEVO FORMATO'!$B$649:$D$649</c:f>
            </c:strRef>
          </c:tx>
          <c:spPr>
            <a:ln cmpd="sng" w="38100">
              <a:solidFill>
                <a:srgbClr val="808080"/>
              </a:solidFill>
            </a:ln>
          </c:spPr>
          <c:marker>
            <c:symbol val="circle"/>
            <c:size val="7"/>
            <c:spPr>
              <a:solidFill>
                <a:srgbClr val="808080"/>
              </a:solidFill>
              <a:ln cmpd="sng">
                <a:solidFill>
                  <a:srgbClr val="808080"/>
                </a:solidFill>
              </a:ln>
            </c:spPr>
          </c:marker>
          <c:cat>
            <c:strRef>
              <c:f>'NUEVO FORMATO'!$E$646:$J$646</c:f>
            </c:strRef>
          </c:cat>
          <c:val>
            <c:numRef>
              <c:f>'NUEVO FORMATO'!$E$649:$J$649</c:f>
              <c:numCache/>
            </c:numRef>
          </c:val>
          <c:smooth val="0"/>
        </c:ser>
        <c:ser>
          <c:idx val="3"/>
          <c:order val="3"/>
          <c:tx>
            <c:strRef>
              <c:f>'NUEVO FORMATO'!$B$650:$D$650</c:f>
            </c:strRef>
          </c:tx>
          <c:spPr>
            <a:ln cmpd="sng" w="38100">
              <a:solidFill>
                <a:srgbClr val="F06753"/>
              </a:solidFill>
            </a:ln>
          </c:spPr>
          <c:marker>
            <c:symbol val="circle"/>
            <c:size val="7"/>
            <c:spPr>
              <a:solidFill>
                <a:srgbClr val="F06753"/>
              </a:solidFill>
              <a:ln cmpd="sng">
                <a:solidFill>
                  <a:srgbClr val="F06753"/>
                </a:solidFill>
              </a:ln>
            </c:spPr>
          </c:marker>
          <c:cat>
            <c:strRef>
              <c:f>'NUEVO FORMATO'!$E$646:$J$646</c:f>
            </c:strRef>
          </c:cat>
          <c:val>
            <c:numRef>
              <c:f>'NUEVO FORMATO'!$E$650:$J$650</c:f>
              <c:numCache/>
            </c:numRef>
          </c:val>
          <c:smooth val="0"/>
        </c:ser>
        <c:ser>
          <c:idx val="4"/>
          <c:order val="4"/>
          <c:tx>
            <c:strRef>
              <c:f>'NUEVO FORMATO'!$B$651:$D$651</c:f>
            </c:strRef>
          </c:tx>
          <c:spPr>
            <a:ln cmpd="sng" w="38100">
              <a:solidFill>
                <a:srgbClr val="8E7CC3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8E7CC3">
                  <a:alpha val="100000"/>
                </a:srgbClr>
              </a:solidFill>
              <a:ln cmpd="sng">
                <a:solidFill>
                  <a:srgbClr val="8E7CC3">
                    <a:alpha val="100000"/>
                  </a:srgbClr>
                </a:solidFill>
              </a:ln>
            </c:spPr>
          </c:marker>
          <c:cat>
            <c:strRef>
              <c:f>'NUEVO FORMATO'!$E$646:$J$646</c:f>
            </c:strRef>
          </c:cat>
          <c:val>
            <c:numRef>
              <c:f>'NUEVO FORMATO'!$E$651:$J$651</c:f>
              <c:numCache/>
            </c:numRef>
          </c:val>
          <c:smooth val="0"/>
        </c:ser>
        <c:axId val="397852592"/>
        <c:axId val="662093402"/>
      </c:lineChart>
      <c:catAx>
        <c:axId val="397852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662093402"/>
      </c:catAx>
      <c:valAx>
        <c:axId val="662093402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</a:p>
        </c:txPr>
        <c:crossAx val="397852592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000">
                <a:solidFill>
                  <a:srgbClr val="000000"/>
                </a:solidFill>
                <a:latin typeface="Arial"/>
              </a:defRPr>
            </a:pPr>
            <a:r>
              <a:rPr b="1" sz="1000">
                <a:solidFill>
                  <a:srgbClr val="000000"/>
                </a:solidFill>
                <a:latin typeface="Arial"/>
              </a:rPr>
              <a:t>ESTADISTICAS SEMANA 1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'FORMATO CORTO'!$B$602:$D$602</c:f>
            </c:strRef>
          </c:tx>
          <c:spPr>
            <a:ln cmpd="sng" w="38100">
              <a:solidFill>
                <a:srgbClr val="9ED84A"/>
              </a:solidFill>
            </a:ln>
          </c:spPr>
          <c:marker>
            <c:symbol val="circle"/>
            <c:size val="7"/>
            <c:spPr>
              <a:solidFill>
                <a:srgbClr val="9ED84A"/>
              </a:solidFill>
              <a:ln cmpd="sng">
                <a:solidFill>
                  <a:srgbClr val="9ED84A"/>
                </a:solidFill>
              </a:ln>
            </c:spPr>
          </c:marker>
          <c:cat>
            <c:strRef>
              <c:f>'FORMATO CORTO'!$E$601:$J$601</c:f>
            </c:strRef>
          </c:cat>
          <c:val>
            <c:numRef>
              <c:f>'FORMATO CORTO'!$E$602:$J$602</c:f>
              <c:numCache/>
            </c:numRef>
          </c:val>
          <c:smooth val="0"/>
        </c:ser>
        <c:ser>
          <c:idx val="1"/>
          <c:order val="1"/>
          <c:tx>
            <c:strRef>
              <c:f>'FORMATO CORTO'!$B$603:$D$603</c:f>
            </c:strRef>
          </c:tx>
          <c:spPr>
            <a:ln cmpd="sng"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marker>
          <c:cat>
            <c:strRef>
              <c:f>'FORMATO CORTO'!$E$601:$J$601</c:f>
            </c:strRef>
          </c:cat>
          <c:val>
            <c:numRef>
              <c:f>'FORMATO CORTO'!$E$603:$J$603</c:f>
              <c:numCache/>
            </c:numRef>
          </c:val>
          <c:smooth val="0"/>
        </c:ser>
        <c:ser>
          <c:idx val="2"/>
          <c:order val="2"/>
          <c:tx>
            <c:strRef>
              <c:f>'FORMATO CORTO'!$B$604:$D$604</c:f>
            </c:strRef>
          </c:tx>
          <c:spPr>
            <a:ln cmpd="sng" w="38100">
              <a:solidFill>
                <a:srgbClr val="808080"/>
              </a:solidFill>
            </a:ln>
          </c:spPr>
          <c:marker>
            <c:symbol val="circle"/>
            <c:size val="7"/>
            <c:spPr>
              <a:solidFill>
                <a:srgbClr val="808080"/>
              </a:solidFill>
              <a:ln cmpd="sng">
                <a:solidFill>
                  <a:srgbClr val="808080"/>
                </a:solidFill>
              </a:ln>
            </c:spPr>
          </c:marker>
          <c:cat>
            <c:strRef>
              <c:f>'FORMATO CORTO'!$E$601:$J$601</c:f>
            </c:strRef>
          </c:cat>
          <c:val>
            <c:numRef>
              <c:f>'FORMATO CORTO'!$E$604:$J$604</c:f>
              <c:numCache/>
            </c:numRef>
          </c:val>
          <c:smooth val="0"/>
        </c:ser>
        <c:ser>
          <c:idx val="3"/>
          <c:order val="3"/>
          <c:tx>
            <c:strRef>
              <c:f>'FORMATO CORTO'!$B$605:$D$605</c:f>
            </c:strRef>
          </c:tx>
          <c:spPr>
            <a:ln cmpd="sng" w="38100">
              <a:solidFill>
                <a:srgbClr val="F06753"/>
              </a:solidFill>
            </a:ln>
          </c:spPr>
          <c:marker>
            <c:symbol val="circle"/>
            <c:size val="7"/>
            <c:spPr>
              <a:solidFill>
                <a:srgbClr val="F06753"/>
              </a:solidFill>
              <a:ln cmpd="sng">
                <a:solidFill>
                  <a:srgbClr val="F06753"/>
                </a:solidFill>
              </a:ln>
            </c:spPr>
          </c:marker>
          <c:cat>
            <c:strRef>
              <c:f>'FORMATO CORTO'!$E$601:$J$601</c:f>
            </c:strRef>
          </c:cat>
          <c:val>
            <c:numRef>
              <c:f>'FORMATO CORTO'!$E$605:$J$605</c:f>
              <c:numCache/>
            </c:numRef>
          </c:val>
          <c:smooth val="0"/>
        </c:ser>
        <c:ser>
          <c:idx val="4"/>
          <c:order val="4"/>
          <c:tx>
            <c:strRef>
              <c:f>'FORMATO CORTO'!$B$606:$D$606</c:f>
            </c:strRef>
          </c:tx>
          <c:spPr>
            <a:ln cmpd="sng" w="38100">
              <a:solidFill>
                <a:srgbClr val="8E7CC3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8E7CC3">
                  <a:alpha val="100000"/>
                </a:srgbClr>
              </a:solidFill>
              <a:ln cmpd="sng">
                <a:solidFill>
                  <a:srgbClr val="8E7CC3">
                    <a:alpha val="100000"/>
                  </a:srgbClr>
                </a:solidFill>
              </a:ln>
            </c:spPr>
          </c:marker>
          <c:cat>
            <c:strRef>
              <c:f>'FORMATO CORTO'!$E$601:$J$601</c:f>
            </c:strRef>
          </c:cat>
          <c:val>
            <c:numRef>
              <c:f>'FORMATO CORTO'!$E$606:$J$606</c:f>
              <c:numCache/>
            </c:numRef>
          </c:val>
          <c:smooth val="0"/>
        </c:ser>
        <c:axId val="382335318"/>
        <c:axId val="2006109365"/>
      </c:lineChart>
      <c:catAx>
        <c:axId val="3823353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  <a:r>
                  <a:rPr b="1">
                    <a:solidFill>
                      <a:srgbClr val="000000"/>
                    </a:solidFill>
                    <a:latin typeface="Arial"/>
                  </a:rPr>
                  <a:t>Producto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</a:p>
        </c:txPr>
        <c:crossAx val="2006109365"/>
      </c:catAx>
      <c:valAx>
        <c:axId val="2006109365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</a:p>
        </c:txPr>
        <c:crossAx val="382335318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000">
                <a:solidFill>
                  <a:srgbClr val="000000"/>
                </a:solidFill>
                <a:latin typeface="Arial"/>
              </a:defRPr>
            </a:pPr>
            <a:r>
              <a:rPr b="1" sz="1000">
                <a:solidFill>
                  <a:srgbClr val="000000"/>
                </a:solidFill>
                <a:latin typeface="Arial"/>
              </a:rPr>
              <a:t>ESTADISTICAS SEMANA 2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'FORMATO CORTO'!$B$608:$D$608</c:f>
            </c:strRef>
          </c:tx>
          <c:spPr>
            <a:ln cmpd="sng" w="38100">
              <a:solidFill>
                <a:srgbClr val="9ED84A"/>
              </a:solidFill>
            </a:ln>
          </c:spPr>
          <c:marker>
            <c:symbol val="circle"/>
            <c:size val="7"/>
            <c:spPr>
              <a:solidFill>
                <a:srgbClr val="9ED84A"/>
              </a:solidFill>
              <a:ln cmpd="sng">
                <a:solidFill>
                  <a:srgbClr val="9ED84A"/>
                </a:solidFill>
              </a:ln>
            </c:spPr>
          </c:marker>
          <c:cat>
            <c:strRef>
              <c:f>'FORMATO CORTO'!$E$607:$J$607</c:f>
            </c:strRef>
          </c:cat>
          <c:val>
            <c:numRef>
              <c:f>'FORMATO CORTO'!$E$608:$J$608</c:f>
              <c:numCache/>
            </c:numRef>
          </c:val>
          <c:smooth val="0"/>
        </c:ser>
        <c:ser>
          <c:idx val="1"/>
          <c:order val="1"/>
          <c:tx>
            <c:strRef>
              <c:f>'FORMATO CORTO'!$B$609:$D$609</c:f>
            </c:strRef>
          </c:tx>
          <c:spPr>
            <a:ln cmpd="sng"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marker>
          <c:cat>
            <c:strRef>
              <c:f>'FORMATO CORTO'!$E$607:$J$607</c:f>
            </c:strRef>
          </c:cat>
          <c:val>
            <c:numRef>
              <c:f>'FORMATO CORTO'!$E$609:$J$609</c:f>
              <c:numCache/>
            </c:numRef>
          </c:val>
          <c:smooth val="0"/>
        </c:ser>
        <c:ser>
          <c:idx val="2"/>
          <c:order val="2"/>
          <c:tx>
            <c:strRef>
              <c:f>'FORMATO CORTO'!$B$610:$D$610</c:f>
            </c:strRef>
          </c:tx>
          <c:spPr>
            <a:ln cmpd="sng" w="38100">
              <a:solidFill>
                <a:srgbClr val="808080"/>
              </a:solidFill>
            </a:ln>
          </c:spPr>
          <c:marker>
            <c:symbol val="circle"/>
            <c:size val="7"/>
            <c:spPr>
              <a:solidFill>
                <a:srgbClr val="808080"/>
              </a:solidFill>
              <a:ln cmpd="sng">
                <a:solidFill>
                  <a:srgbClr val="808080"/>
                </a:solidFill>
              </a:ln>
            </c:spPr>
          </c:marker>
          <c:cat>
            <c:strRef>
              <c:f>'FORMATO CORTO'!$E$607:$J$607</c:f>
            </c:strRef>
          </c:cat>
          <c:val>
            <c:numRef>
              <c:f>'FORMATO CORTO'!$E$610:$J$610</c:f>
              <c:numCache/>
            </c:numRef>
          </c:val>
          <c:smooth val="0"/>
        </c:ser>
        <c:ser>
          <c:idx val="3"/>
          <c:order val="3"/>
          <c:tx>
            <c:strRef>
              <c:f>'FORMATO CORTO'!$B$611:$D$611</c:f>
            </c:strRef>
          </c:tx>
          <c:spPr>
            <a:ln cmpd="sng" w="38100">
              <a:solidFill>
                <a:srgbClr val="F06753"/>
              </a:solidFill>
            </a:ln>
          </c:spPr>
          <c:marker>
            <c:symbol val="circle"/>
            <c:size val="7"/>
            <c:spPr>
              <a:solidFill>
                <a:srgbClr val="F06753"/>
              </a:solidFill>
              <a:ln cmpd="sng">
                <a:solidFill>
                  <a:srgbClr val="F06753"/>
                </a:solidFill>
              </a:ln>
            </c:spPr>
          </c:marker>
          <c:cat>
            <c:strRef>
              <c:f>'FORMATO CORTO'!$E$607:$J$607</c:f>
            </c:strRef>
          </c:cat>
          <c:val>
            <c:numRef>
              <c:f>'FORMATO CORTO'!$E$611:$J$611</c:f>
              <c:numCache/>
            </c:numRef>
          </c:val>
          <c:smooth val="0"/>
        </c:ser>
        <c:ser>
          <c:idx val="4"/>
          <c:order val="4"/>
          <c:tx>
            <c:strRef>
              <c:f>'FORMATO CORTO'!$B$612:$D$612</c:f>
            </c:strRef>
          </c:tx>
          <c:spPr>
            <a:ln cmpd="sng" w="38100">
              <a:solidFill>
                <a:srgbClr val="8E7CC3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8E7CC3">
                  <a:alpha val="100000"/>
                </a:srgbClr>
              </a:solidFill>
              <a:ln cmpd="sng">
                <a:solidFill>
                  <a:srgbClr val="8E7CC3">
                    <a:alpha val="100000"/>
                  </a:srgbClr>
                </a:solidFill>
              </a:ln>
            </c:spPr>
          </c:marker>
          <c:cat>
            <c:strRef>
              <c:f>'FORMATO CORTO'!$E$607:$J$607</c:f>
            </c:strRef>
          </c:cat>
          <c:val>
            <c:numRef>
              <c:f>'FORMATO CORTO'!$E$612:$J$612</c:f>
              <c:numCache/>
            </c:numRef>
          </c:val>
          <c:smooth val="0"/>
        </c:ser>
        <c:axId val="352893606"/>
        <c:axId val="1804025204"/>
      </c:lineChart>
      <c:catAx>
        <c:axId val="3528936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  <a:r>
                  <a:rPr b="1">
                    <a:solidFill>
                      <a:srgbClr val="000000"/>
                    </a:solidFill>
                    <a:latin typeface="Arial"/>
                  </a:rPr>
                  <a:t>Producto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</a:p>
        </c:txPr>
        <c:crossAx val="1804025204"/>
      </c:catAx>
      <c:valAx>
        <c:axId val="1804025204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</a:p>
        </c:txPr>
        <c:crossAx val="352893606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000">
                <a:solidFill>
                  <a:srgbClr val="000000"/>
                </a:solidFill>
                <a:latin typeface="Arial"/>
              </a:defRPr>
            </a:pPr>
            <a:r>
              <a:rPr b="1" sz="1000">
                <a:solidFill>
                  <a:srgbClr val="000000"/>
                </a:solidFill>
                <a:latin typeface="Arial"/>
              </a:rPr>
              <a:t>ESTADISTICAS SEMANA 3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'FORMATO CORTO'!$B$614:$D$614</c:f>
            </c:strRef>
          </c:tx>
          <c:spPr>
            <a:ln cmpd="sng" w="38100">
              <a:solidFill>
                <a:srgbClr val="9ED84A"/>
              </a:solidFill>
            </a:ln>
          </c:spPr>
          <c:marker>
            <c:symbol val="circle"/>
            <c:size val="7"/>
            <c:spPr>
              <a:solidFill>
                <a:srgbClr val="9ED84A"/>
              </a:solidFill>
              <a:ln cmpd="sng">
                <a:solidFill>
                  <a:srgbClr val="9ED84A"/>
                </a:solidFill>
              </a:ln>
            </c:spPr>
          </c:marker>
          <c:cat>
            <c:strRef>
              <c:f>'FORMATO CORTO'!$E$613:$J$613</c:f>
            </c:strRef>
          </c:cat>
          <c:val>
            <c:numRef>
              <c:f>'FORMATO CORTO'!$E$614:$J$614</c:f>
              <c:numCache/>
            </c:numRef>
          </c:val>
          <c:smooth val="0"/>
        </c:ser>
        <c:ser>
          <c:idx val="1"/>
          <c:order val="1"/>
          <c:tx>
            <c:strRef>
              <c:f>'FORMATO CORTO'!$B$615:$D$615</c:f>
            </c:strRef>
          </c:tx>
          <c:spPr>
            <a:ln cmpd="sng"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marker>
          <c:cat>
            <c:strRef>
              <c:f>'FORMATO CORTO'!$E$613:$J$613</c:f>
            </c:strRef>
          </c:cat>
          <c:val>
            <c:numRef>
              <c:f>'FORMATO CORTO'!$E$615:$J$615</c:f>
              <c:numCache/>
            </c:numRef>
          </c:val>
          <c:smooth val="0"/>
        </c:ser>
        <c:ser>
          <c:idx val="2"/>
          <c:order val="2"/>
          <c:tx>
            <c:strRef>
              <c:f>'FORMATO CORTO'!$B$616:$D$616</c:f>
            </c:strRef>
          </c:tx>
          <c:spPr>
            <a:ln cmpd="sng" w="38100">
              <a:solidFill>
                <a:srgbClr val="808080"/>
              </a:solidFill>
            </a:ln>
          </c:spPr>
          <c:marker>
            <c:symbol val="circle"/>
            <c:size val="7"/>
            <c:spPr>
              <a:solidFill>
                <a:srgbClr val="808080"/>
              </a:solidFill>
              <a:ln cmpd="sng">
                <a:solidFill>
                  <a:srgbClr val="808080"/>
                </a:solidFill>
              </a:ln>
            </c:spPr>
          </c:marker>
          <c:cat>
            <c:strRef>
              <c:f>'FORMATO CORTO'!$E$613:$J$613</c:f>
            </c:strRef>
          </c:cat>
          <c:val>
            <c:numRef>
              <c:f>'FORMATO CORTO'!$E$616:$J$616</c:f>
              <c:numCache/>
            </c:numRef>
          </c:val>
          <c:smooth val="0"/>
        </c:ser>
        <c:ser>
          <c:idx val="3"/>
          <c:order val="3"/>
          <c:tx>
            <c:strRef>
              <c:f>'FORMATO CORTO'!$B$617:$D$617</c:f>
            </c:strRef>
          </c:tx>
          <c:spPr>
            <a:ln cmpd="sng" w="38100">
              <a:solidFill>
                <a:srgbClr val="F06753"/>
              </a:solidFill>
            </a:ln>
          </c:spPr>
          <c:marker>
            <c:symbol val="circle"/>
            <c:size val="7"/>
            <c:spPr>
              <a:solidFill>
                <a:srgbClr val="F06753"/>
              </a:solidFill>
              <a:ln cmpd="sng">
                <a:solidFill>
                  <a:srgbClr val="F06753"/>
                </a:solidFill>
              </a:ln>
            </c:spPr>
          </c:marker>
          <c:cat>
            <c:strRef>
              <c:f>'FORMATO CORTO'!$E$613:$J$613</c:f>
            </c:strRef>
          </c:cat>
          <c:val>
            <c:numRef>
              <c:f>'FORMATO CORTO'!$E$617:$J$617</c:f>
              <c:numCache/>
            </c:numRef>
          </c:val>
          <c:smooth val="0"/>
        </c:ser>
        <c:ser>
          <c:idx val="4"/>
          <c:order val="4"/>
          <c:tx>
            <c:strRef>
              <c:f>'FORMATO CORTO'!$B$618:$D$618</c:f>
            </c:strRef>
          </c:tx>
          <c:spPr>
            <a:ln cmpd="sng" w="38100">
              <a:solidFill>
                <a:srgbClr val="8E7CC3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8E7CC3">
                  <a:alpha val="100000"/>
                </a:srgbClr>
              </a:solidFill>
              <a:ln cmpd="sng">
                <a:solidFill>
                  <a:srgbClr val="8E7CC3">
                    <a:alpha val="100000"/>
                  </a:srgbClr>
                </a:solidFill>
              </a:ln>
            </c:spPr>
          </c:marker>
          <c:cat>
            <c:strRef>
              <c:f>'FORMATO CORTO'!$E$613:$J$613</c:f>
            </c:strRef>
          </c:cat>
          <c:val>
            <c:numRef>
              <c:f>'FORMATO CORTO'!$E$618:$J$618</c:f>
              <c:numCache/>
            </c:numRef>
          </c:val>
          <c:smooth val="0"/>
        </c:ser>
        <c:axId val="1832950991"/>
        <c:axId val="104964610"/>
      </c:lineChart>
      <c:catAx>
        <c:axId val="18329509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  <a:r>
                  <a:rPr b="1">
                    <a:solidFill>
                      <a:srgbClr val="000000"/>
                    </a:solidFill>
                    <a:latin typeface="Arial"/>
                  </a:rPr>
                  <a:t>Producto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04964610"/>
      </c:catAx>
      <c:valAx>
        <c:axId val="104964610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</a:p>
        </c:txPr>
        <c:crossAx val="1832950991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000">
                <a:solidFill>
                  <a:srgbClr val="000000"/>
                </a:solidFill>
                <a:latin typeface="Arial"/>
              </a:defRPr>
            </a:pPr>
            <a:r>
              <a:rPr b="1" sz="1000">
                <a:solidFill>
                  <a:srgbClr val="000000"/>
                </a:solidFill>
                <a:latin typeface="Arial"/>
              </a:rPr>
              <a:t>ESTADISTICAS SEMANA 4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'FORMATO CORTO'!$B$620:$D$620</c:f>
            </c:strRef>
          </c:tx>
          <c:spPr>
            <a:ln cmpd="sng" w="38100">
              <a:solidFill>
                <a:srgbClr val="9ED84A"/>
              </a:solidFill>
            </a:ln>
          </c:spPr>
          <c:marker>
            <c:symbol val="circle"/>
            <c:size val="7"/>
            <c:spPr>
              <a:solidFill>
                <a:srgbClr val="9ED84A"/>
              </a:solidFill>
              <a:ln cmpd="sng">
                <a:solidFill>
                  <a:srgbClr val="9ED84A"/>
                </a:solidFill>
              </a:ln>
            </c:spPr>
          </c:marker>
          <c:cat>
            <c:strRef>
              <c:f>'FORMATO CORTO'!$E$619:$J$619</c:f>
            </c:strRef>
          </c:cat>
          <c:val>
            <c:numRef>
              <c:f>'FORMATO CORTO'!$E$620:$J$620</c:f>
              <c:numCache/>
            </c:numRef>
          </c:val>
          <c:smooth val="0"/>
        </c:ser>
        <c:ser>
          <c:idx val="1"/>
          <c:order val="1"/>
          <c:tx>
            <c:strRef>
              <c:f>'FORMATO CORTO'!$B$621:$D$621</c:f>
            </c:strRef>
          </c:tx>
          <c:spPr>
            <a:ln cmpd="sng"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marker>
          <c:cat>
            <c:strRef>
              <c:f>'FORMATO CORTO'!$E$619:$J$619</c:f>
            </c:strRef>
          </c:cat>
          <c:val>
            <c:numRef>
              <c:f>'FORMATO CORTO'!$E$621:$J$621</c:f>
              <c:numCache/>
            </c:numRef>
          </c:val>
          <c:smooth val="0"/>
        </c:ser>
        <c:ser>
          <c:idx val="2"/>
          <c:order val="2"/>
          <c:tx>
            <c:strRef>
              <c:f>'FORMATO CORTO'!$B$622:$D$622</c:f>
            </c:strRef>
          </c:tx>
          <c:spPr>
            <a:ln cmpd="sng" w="38100">
              <a:solidFill>
                <a:srgbClr val="808080"/>
              </a:solidFill>
            </a:ln>
          </c:spPr>
          <c:marker>
            <c:symbol val="circle"/>
            <c:size val="7"/>
            <c:spPr>
              <a:solidFill>
                <a:srgbClr val="808080"/>
              </a:solidFill>
              <a:ln cmpd="sng">
                <a:solidFill>
                  <a:srgbClr val="808080"/>
                </a:solidFill>
              </a:ln>
            </c:spPr>
          </c:marker>
          <c:cat>
            <c:strRef>
              <c:f>'FORMATO CORTO'!$E$619:$J$619</c:f>
            </c:strRef>
          </c:cat>
          <c:val>
            <c:numRef>
              <c:f>'FORMATO CORTO'!$E$622:$J$622</c:f>
              <c:numCache/>
            </c:numRef>
          </c:val>
          <c:smooth val="0"/>
        </c:ser>
        <c:ser>
          <c:idx val="3"/>
          <c:order val="3"/>
          <c:tx>
            <c:strRef>
              <c:f>'FORMATO CORTO'!$B$623:$D$623</c:f>
            </c:strRef>
          </c:tx>
          <c:spPr>
            <a:ln cmpd="sng" w="38100">
              <a:solidFill>
                <a:srgbClr val="F06753"/>
              </a:solidFill>
            </a:ln>
          </c:spPr>
          <c:marker>
            <c:symbol val="circle"/>
            <c:size val="7"/>
            <c:spPr>
              <a:solidFill>
                <a:srgbClr val="F06753"/>
              </a:solidFill>
              <a:ln cmpd="sng">
                <a:solidFill>
                  <a:srgbClr val="F06753"/>
                </a:solidFill>
              </a:ln>
            </c:spPr>
          </c:marker>
          <c:cat>
            <c:strRef>
              <c:f>'FORMATO CORTO'!$E$619:$J$619</c:f>
            </c:strRef>
          </c:cat>
          <c:val>
            <c:numRef>
              <c:f>'FORMATO CORTO'!$E$623:$J$623</c:f>
              <c:numCache/>
            </c:numRef>
          </c:val>
          <c:smooth val="0"/>
        </c:ser>
        <c:ser>
          <c:idx val="4"/>
          <c:order val="4"/>
          <c:tx>
            <c:strRef>
              <c:f>'FORMATO CORTO'!$B$624:$D$624</c:f>
            </c:strRef>
          </c:tx>
          <c:spPr>
            <a:ln cmpd="sng" w="38100">
              <a:solidFill>
                <a:srgbClr val="8E7CC3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8E7CC3">
                  <a:alpha val="100000"/>
                </a:srgbClr>
              </a:solidFill>
              <a:ln cmpd="sng">
                <a:solidFill>
                  <a:srgbClr val="8E7CC3">
                    <a:alpha val="100000"/>
                  </a:srgbClr>
                </a:solidFill>
              </a:ln>
            </c:spPr>
          </c:marker>
          <c:cat>
            <c:strRef>
              <c:f>'FORMATO CORTO'!$E$619:$J$619</c:f>
            </c:strRef>
          </c:cat>
          <c:val>
            <c:numRef>
              <c:f>'FORMATO CORTO'!$E$624:$J$624</c:f>
              <c:numCache/>
            </c:numRef>
          </c:val>
          <c:smooth val="0"/>
        </c:ser>
        <c:axId val="30961534"/>
        <c:axId val="973254376"/>
      </c:lineChart>
      <c:catAx>
        <c:axId val="309615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  <a:r>
                  <a:rPr b="1">
                    <a:solidFill>
                      <a:srgbClr val="000000"/>
                    </a:solidFill>
                    <a:latin typeface="Arial"/>
                  </a:rPr>
                  <a:t>Producto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973254376"/>
      </c:catAx>
      <c:valAx>
        <c:axId val="973254376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</a:p>
        </c:txPr>
        <c:crossAx val="30961534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000">
                <a:solidFill>
                  <a:srgbClr val="000000"/>
                </a:solidFill>
                <a:latin typeface="Arial"/>
              </a:defRPr>
            </a:pPr>
            <a:r>
              <a:rPr b="1" sz="1000">
                <a:solidFill>
                  <a:srgbClr val="000000"/>
                </a:solidFill>
                <a:latin typeface="Arial"/>
              </a:rPr>
              <a:t>ESTADISTICAS DEL MES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'FORMATO CORTO'!$B$627:$D$627</c:f>
            </c:strRef>
          </c:tx>
          <c:spPr>
            <a:ln cmpd="sng" w="38100">
              <a:solidFill>
                <a:srgbClr val="9ED84A"/>
              </a:solidFill>
            </a:ln>
          </c:spPr>
          <c:marker>
            <c:symbol val="circle"/>
            <c:size val="7"/>
            <c:spPr>
              <a:solidFill>
                <a:srgbClr val="9ED84A"/>
              </a:solidFill>
              <a:ln cmpd="sng">
                <a:solidFill>
                  <a:srgbClr val="9ED84A"/>
                </a:solidFill>
              </a:ln>
            </c:spPr>
          </c:marker>
          <c:cat>
            <c:strRef>
              <c:f>'FORMATO CORTO'!$E$626:$J$626</c:f>
            </c:strRef>
          </c:cat>
          <c:val>
            <c:numRef>
              <c:f>'FORMATO CORTO'!$E$627:$J$627</c:f>
              <c:numCache/>
            </c:numRef>
          </c:val>
          <c:smooth val="0"/>
        </c:ser>
        <c:ser>
          <c:idx val="1"/>
          <c:order val="1"/>
          <c:tx>
            <c:strRef>
              <c:f>'FORMATO CORTO'!$B$628:$D$628</c:f>
            </c:strRef>
          </c:tx>
          <c:spPr>
            <a:ln cmpd="sng"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marker>
          <c:cat>
            <c:strRef>
              <c:f>'FORMATO CORTO'!$E$626:$J$626</c:f>
            </c:strRef>
          </c:cat>
          <c:val>
            <c:numRef>
              <c:f>'FORMATO CORTO'!$E$628:$J$628</c:f>
              <c:numCache/>
            </c:numRef>
          </c:val>
          <c:smooth val="0"/>
        </c:ser>
        <c:ser>
          <c:idx val="2"/>
          <c:order val="2"/>
          <c:tx>
            <c:strRef>
              <c:f>'FORMATO CORTO'!$B$629:$D$629</c:f>
            </c:strRef>
          </c:tx>
          <c:spPr>
            <a:ln cmpd="sng" w="38100">
              <a:solidFill>
                <a:srgbClr val="808080"/>
              </a:solidFill>
            </a:ln>
          </c:spPr>
          <c:marker>
            <c:symbol val="circle"/>
            <c:size val="7"/>
            <c:spPr>
              <a:solidFill>
                <a:srgbClr val="808080"/>
              </a:solidFill>
              <a:ln cmpd="sng">
                <a:solidFill>
                  <a:srgbClr val="808080"/>
                </a:solidFill>
              </a:ln>
            </c:spPr>
          </c:marker>
          <c:cat>
            <c:strRef>
              <c:f>'FORMATO CORTO'!$E$626:$J$626</c:f>
            </c:strRef>
          </c:cat>
          <c:val>
            <c:numRef>
              <c:f>'FORMATO CORTO'!$E$629:$J$629</c:f>
              <c:numCache/>
            </c:numRef>
          </c:val>
          <c:smooth val="0"/>
        </c:ser>
        <c:ser>
          <c:idx val="3"/>
          <c:order val="3"/>
          <c:tx>
            <c:strRef>
              <c:f>'FORMATO CORTO'!$B$630:$D$630</c:f>
            </c:strRef>
          </c:tx>
          <c:spPr>
            <a:ln cmpd="sng" w="38100">
              <a:solidFill>
                <a:srgbClr val="F06753"/>
              </a:solidFill>
            </a:ln>
          </c:spPr>
          <c:marker>
            <c:symbol val="circle"/>
            <c:size val="7"/>
            <c:spPr>
              <a:solidFill>
                <a:srgbClr val="F06753"/>
              </a:solidFill>
              <a:ln cmpd="sng">
                <a:solidFill>
                  <a:srgbClr val="F06753"/>
                </a:solidFill>
              </a:ln>
            </c:spPr>
          </c:marker>
          <c:cat>
            <c:strRef>
              <c:f>'FORMATO CORTO'!$E$626:$J$626</c:f>
            </c:strRef>
          </c:cat>
          <c:val>
            <c:numRef>
              <c:f>'FORMATO CORTO'!$E$630:$J$630</c:f>
              <c:numCache/>
            </c:numRef>
          </c:val>
          <c:smooth val="0"/>
        </c:ser>
        <c:ser>
          <c:idx val="4"/>
          <c:order val="4"/>
          <c:tx>
            <c:strRef>
              <c:f>'FORMATO CORTO'!$B$631:$D$631</c:f>
            </c:strRef>
          </c:tx>
          <c:spPr>
            <a:ln cmpd="sng" w="38100">
              <a:solidFill>
                <a:srgbClr val="8E7CC3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8E7CC3">
                  <a:alpha val="100000"/>
                </a:srgbClr>
              </a:solidFill>
              <a:ln cmpd="sng">
                <a:solidFill>
                  <a:srgbClr val="8E7CC3">
                    <a:alpha val="100000"/>
                  </a:srgbClr>
                </a:solidFill>
              </a:ln>
            </c:spPr>
          </c:marker>
          <c:cat>
            <c:strRef>
              <c:f>'FORMATO CORTO'!$E$626:$J$626</c:f>
            </c:strRef>
          </c:cat>
          <c:val>
            <c:numRef>
              <c:f>'FORMATO CORTO'!$E$631:$J$631</c:f>
              <c:numCache/>
            </c:numRef>
          </c:val>
          <c:smooth val="0"/>
        </c:ser>
        <c:axId val="986593601"/>
        <c:axId val="1102577701"/>
      </c:lineChart>
      <c:catAx>
        <c:axId val="9865936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102577701"/>
      </c:catAx>
      <c:valAx>
        <c:axId val="1102577701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</a:p>
        </c:txPr>
        <c:crossAx val="986593601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000">
                <a:solidFill>
                  <a:srgbClr val="000000"/>
                </a:solidFill>
                <a:latin typeface="Arial"/>
              </a:defRPr>
            </a:pPr>
            <a:r>
              <a:rPr b="1" sz="1000">
                <a:solidFill>
                  <a:srgbClr val="000000"/>
                </a:solidFill>
                <a:latin typeface="Arial"/>
              </a:rPr>
              <a:t>ESTADISTICAS SEMANA 1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'FORMATO ALARGADO'!$B$602:$D$602</c:f>
            </c:strRef>
          </c:tx>
          <c:spPr>
            <a:ln cmpd="sng" w="38100">
              <a:solidFill>
                <a:srgbClr val="9ED84A"/>
              </a:solidFill>
            </a:ln>
          </c:spPr>
          <c:marker>
            <c:symbol val="circle"/>
            <c:size val="7"/>
            <c:spPr>
              <a:solidFill>
                <a:srgbClr val="9ED84A"/>
              </a:solidFill>
              <a:ln cmpd="sng">
                <a:solidFill>
                  <a:srgbClr val="9ED84A"/>
                </a:solidFill>
              </a:ln>
            </c:spPr>
          </c:marker>
          <c:cat>
            <c:strRef>
              <c:f>'FORMATO ALARGADO'!$E$601:$N$601</c:f>
            </c:strRef>
          </c:cat>
          <c:val>
            <c:numRef>
              <c:f>'FORMATO ALARGADO'!$E$602:$N$602</c:f>
              <c:numCache/>
            </c:numRef>
          </c:val>
          <c:smooth val="0"/>
        </c:ser>
        <c:ser>
          <c:idx val="1"/>
          <c:order val="1"/>
          <c:tx>
            <c:strRef>
              <c:f>'FORMATO ALARGADO'!$B$603:$D$603</c:f>
            </c:strRef>
          </c:tx>
          <c:spPr>
            <a:ln cmpd="sng"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marker>
          <c:cat>
            <c:strRef>
              <c:f>'FORMATO ALARGADO'!$E$601:$N$601</c:f>
            </c:strRef>
          </c:cat>
          <c:val>
            <c:numRef>
              <c:f>'FORMATO ALARGADO'!$E$603:$N$603</c:f>
              <c:numCache/>
            </c:numRef>
          </c:val>
          <c:smooth val="0"/>
        </c:ser>
        <c:ser>
          <c:idx val="2"/>
          <c:order val="2"/>
          <c:tx>
            <c:strRef>
              <c:f>'FORMATO ALARGADO'!$B$604:$D$604</c:f>
            </c:strRef>
          </c:tx>
          <c:spPr>
            <a:ln cmpd="sng" w="38100">
              <a:solidFill>
                <a:srgbClr val="808080"/>
              </a:solidFill>
            </a:ln>
          </c:spPr>
          <c:marker>
            <c:symbol val="circle"/>
            <c:size val="7"/>
            <c:spPr>
              <a:solidFill>
                <a:srgbClr val="808080"/>
              </a:solidFill>
              <a:ln cmpd="sng">
                <a:solidFill>
                  <a:srgbClr val="808080"/>
                </a:solidFill>
              </a:ln>
            </c:spPr>
          </c:marker>
          <c:cat>
            <c:strRef>
              <c:f>'FORMATO ALARGADO'!$E$601:$N$601</c:f>
            </c:strRef>
          </c:cat>
          <c:val>
            <c:numRef>
              <c:f>'FORMATO ALARGADO'!$E$604:$N$604</c:f>
              <c:numCache/>
            </c:numRef>
          </c:val>
          <c:smooth val="0"/>
        </c:ser>
        <c:ser>
          <c:idx val="3"/>
          <c:order val="3"/>
          <c:tx>
            <c:strRef>
              <c:f>'FORMATO ALARGADO'!$B$605:$D$605</c:f>
            </c:strRef>
          </c:tx>
          <c:spPr>
            <a:ln cmpd="sng" w="38100">
              <a:solidFill>
                <a:srgbClr val="F06753"/>
              </a:solidFill>
            </a:ln>
          </c:spPr>
          <c:marker>
            <c:symbol val="circle"/>
            <c:size val="7"/>
            <c:spPr>
              <a:solidFill>
                <a:srgbClr val="F06753"/>
              </a:solidFill>
              <a:ln cmpd="sng">
                <a:solidFill>
                  <a:srgbClr val="F06753"/>
                </a:solidFill>
              </a:ln>
            </c:spPr>
          </c:marker>
          <c:cat>
            <c:strRef>
              <c:f>'FORMATO ALARGADO'!$E$601:$N$601</c:f>
            </c:strRef>
          </c:cat>
          <c:val>
            <c:numRef>
              <c:f>'FORMATO ALARGADO'!$E$605:$N$605</c:f>
              <c:numCache/>
            </c:numRef>
          </c:val>
          <c:smooth val="0"/>
        </c:ser>
        <c:ser>
          <c:idx val="4"/>
          <c:order val="4"/>
          <c:tx>
            <c:strRef>
              <c:f>'FORMATO ALARGADO'!$B$606:$D$606</c:f>
            </c:strRef>
          </c:tx>
          <c:spPr>
            <a:ln cmpd="sng" w="38100">
              <a:solidFill>
                <a:srgbClr val="8E7CC3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8E7CC3">
                  <a:alpha val="100000"/>
                </a:srgbClr>
              </a:solidFill>
              <a:ln cmpd="sng">
                <a:solidFill>
                  <a:srgbClr val="8E7CC3">
                    <a:alpha val="100000"/>
                  </a:srgbClr>
                </a:solidFill>
              </a:ln>
            </c:spPr>
          </c:marker>
          <c:cat>
            <c:strRef>
              <c:f>'FORMATO ALARGADO'!$E$601:$N$601</c:f>
            </c:strRef>
          </c:cat>
          <c:val>
            <c:numRef>
              <c:f>'FORMATO ALARGADO'!$E$606:$N$606</c:f>
              <c:numCache/>
            </c:numRef>
          </c:val>
          <c:smooth val="0"/>
        </c:ser>
        <c:axId val="258949543"/>
        <c:axId val="1728927136"/>
      </c:lineChart>
      <c:catAx>
        <c:axId val="2589495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  <a:r>
                  <a:rPr b="1">
                    <a:solidFill>
                      <a:srgbClr val="000000"/>
                    </a:solidFill>
                    <a:latin typeface="Arial"/>
                  </a:rPr>
                  <a:t>Producto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</a:p>
        </c:txPr>
        <c:crossAx val="1728927136"/>
      </c:catAx>
      <c:valAx>
        <c:axId val="1728927136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</a:p>
        </c:txPr>
        <c:crossAx val="258949543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000">
                <a:solidFill>
                  <a:srgbClr val="000000"/>
                </a:solidFill>
                <a:latin typeface="Arial"/>
              </a:defRPr>
            </a:pPr>
            <a:r>
              <a:rPr b="1" sz="1000">
                <a:solidFill>
                  <a:srgbClr val="000000"/>
                </a:solidFill>
                <a:latin typeface="Arial"/>
              </a:rPr>
              <a:t>ESTADISTICAS SEMANA 2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'FORMATO ALARGADO'!$B$608:$D$608</c:f>
            </c:strRef>
          </c:tx>
          <c:spPr>
            <a:ln cmpd="sng" w="38100">
              <a:solidFill>
                <a:srgbClr val="9ED84A"/>
              </a:solidFill>
            </a:ln>
          </c:spPr>
          <c:marker>
            <c:symbol val="circle"/>
            <c:size val="7"/>
            <c:spPr>
              <a:solidFill>
                <a:srgbClr val="9ED84A"/>
              </a:solidFill>
              <a:ln cmpd="sng">
                <a:solidFill>
                  <a:srgbClr val="9ED84A"/>
                </a:solidFill>
              </a:ln>
            </c:spPr>
          </c:marker>
          <c:cat>
            <c:strRef>
              <c:f>'FORMATO ALARGADO'!$E$607:$N$607</c:f>
            </c:strRef>
          </c:cat>
          <c:val>
            <c:numRef>
              <c:f>'FORMATO ALARGADO'!$E$608:$N$608</c:f>
              <c:numCache/>
            </c:numRef>
          </c:val>
          <c:smooth val="0"/>
        </c:ser>
        <c:ser>
          <c:idx val="1"/>
          <c:order val="1"/>
          <c:tx>
            <c:strRef>
              <c:f>'FORMATO ALARGADO'!$B$609:$D$609</c:f>
            </c:strRef>
          </c:tx>
          <c:spPr>
            <a:ln cmpd="sng"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marker>
          <c:cat>
            <c:strRef>
              <c:f>'FORMATO ALARGADO'!$E$607:$N$607</c:f>
            </c:strRef>
          </c:cat>
          <c:val>
            <c:numRef>
              <c:f>'FORMATO ALARGADO'!$E$609:$N$609</c:f>
              <c:numCache/>
            </c:numRef>
          </c:val>
          <c:smooth val="0"/>
        </c:ser>
        <c:ser>
          <c:idx val="2"/>
          <c:order val="2"/>
          <c:tx>
            <c:strRef>
              <c:f>'FORMATO ALARGADO'!$B$610:$D$610</c:f>
            </c:strRef>
          </c:tx>
          <c:spPr>
            <a:ln cmpd="sng" w="38100">
              <a:solidFill>
                <a:srgbClr val="808080"/>
              </a:solidFill>
            </a:ln>
          </c:spPr>
          <c:marker>
            <c:symbol val="circle"/>
            <c:size val="7"/>
            <c:spPr>
              <a:solidFill>
                <a:srgbClr val="808080"/>
              </a:solidFill>
              <a:ln cmpd="sng">
                <a:solidFill>
                  <a:srgbClr val="808080"/>
                </a:solidFill>
              </a:ln>
            </c:spPr>
          </c:marker>
          <c:cat>
            <c:strRef>
              <c:f>'FORMATO ALARGADO'!$E$607:$N$607</c:f>
            </c:strRef>
          </c:cat>
          <c:val>
            <c:numRef>
              <c:f>'FORMATO ALARGADO'!$E$610:$N$610</c:f>
              <c:numCache/>
            </c:numRef>
          </c:val>
          <c:smooth val="0"/>
        </c:ser>
        <c:ser>
          <c:idx val="3"/>
          <c:order val="3"/>
          <c:tx>
            <c:strRef>
              <c:f>'FORMATO ALARGADO'!$B$611:$D$611</c:f>
            </c:strRef>
          </c:tx>
          <c:spPr>
            <a:ln cmpd="sng" w="38100">
              <a:solidFill>
                <a:srgbClr val="F06753"/>
              </a:solidFill>
            </a:ln>
          </c:spPr>
          <c:marker>
            <c:symbol val="circle"/>
            <c:size val="7"/>
            <c:spPr>
              <a:solidFill>
                <a:srgbClr val="F06753"/>
              </a:solidFill>
              <a:ln cmpd="sng">
                <a:solidFill>
                  <a:srgbClr val="F06753"/>
                </a:solidFill>
              </a:ln>
            </c:spPr>
          </c:marker>
          <c:cat>
            <c:strRef>
              <c:f>'FORMATO ALARGADO'!$E$607:$N$607</c:f>
            </c:strRef>
          </c:cat>
          <c:val>
            <c:numRef>
              <c:f>'FORMATO ALARGADO'!$E$611:$N$611</c:f>
              <c:numCache/>
            </c:numRef>
          </c:val>
          <c:smooth val="0"/>
        </c:ser>
        <c:ser>
          <c:idx val="4"/>
          <c:order val="4"/>
          <c:tx>
            <c:strRef>
              <c:f>'FORMATO ALARGADO'!$B$612:$D$612</c:f>
            </c:strRef>
          </c:tx>
          <c:spPr>
            <a:ln cmpd="sng" w="38100">
              <a:solidFill>
                <a:srgbClr val="8E7CC3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8E7CC3">
                  <a:alpha val="100000"/>
                </a:srgbClr>
              </a:solidFill>
              <a:ln cmpd="sng">
                <a:solidFill>
                  <a:srgbClr val="8E7CC3">
                    <a:alpha val="100000"/>
                  </a:srgbClr>
                </a:solidFill>
              </a:ln>
            </c:spPr>
          </c:marker>
          <c:cat>
            <c:strRef>
              <c:f>'FORMATO ALARGADO'!$E$607:$N$607</c:f>
            </c:strRef>
          </c:cat>
          <c:val>
            <c:numRef>
              <c:f>'FORMATO ALARGADO'!$E$612:$N$612</c:f>
              <c:numCache/>
            </c:numRef>
          </c:val>
          <c:smooth val="0"/>
        </c:ser>
        <c:axId val="37929425"/>
        <c:axId val="844168792"/>
      </c:lineChart>
      <c:catAx>
        <c:axId val="379294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  <a:r>
                  <a:rPr b="1">
                    <a:solidFill>
                      <a:srgbClr val="000000"/>
                    </a:solidFill>
                    <a:latin typeface="Arial"/>
                  </a:rPr>
                  <a:t>Producto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</a:p>
        </c:txPr>
        <c:crossAx val="844168792"/>
      </c:catAx>
      <c:valAx>
        <c:axId val="844168792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</a:p>
        </c:txPr>
        <c:crossAx val="37929425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3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000">
                <a:solidFill>
                  <a:srgbClr val="000000"/>
                </a:solidFill>
                <a:latin typeface="Arial"/>
              </a:defRPr>
            </a:pPr>
            <a:r>
              <a:rPr b="1" sz="1000">
                <a:solidFill>
                  <a:srgbClr val="000000"/>
                </a:solidFill>
                <a:latin typeface="Arial"/>
              </a:rPr>
              <a:t>ESTADISTICAS SEMANA 3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'FORMATO ALARGADO'!$B$614:$D$614</c:f>
            </c:strRef>
          </c:tx>
          <c:spPr>
            <a:ln cmpd="sng" w="38100">
              <a:solidFill>
                <a:srgbClr val="9ED84A"/>
              </a:solidFill>
            </a:ln>
          </c:spPr>
          <c:marker>
            <c:symbol val="circle"/>
            <c:size val="7"/>
            <c:spPr>
              <a:solidFill>
                <a:srgbClr val="9ED84A"/>
              </a:solidFill>
              <a:ln cmpd="sng">
                <a:solidFill>
                  <a:srgbClr val="9ED84A"/>
                </a:solidFill>
              </a:ln>
            </c:spPr>
          </c:marker>
          <c:cat>
            <c:strRef>
              <c:f>'FORMATO ALARGADO'!$E$613:$N$613</c:f>
            </c:strRef>
          </c:cat>
          <c:val>
            <c:numRef>
              <c:f>'FORMATO ALARGADO'!$E$614:$N$614</c:f>
              <c:numCache/>
            </c:numRef>
          </c:val>
          <c:smooth val="0"/>
        </c:ser>
        <c:ser>
          <c:idx val="1"/>
          <c:order val="1"/>
          <c:tx>
            <c:strRef>
              <c:f>'FORMATO ALARGADO'!$B$615:$D$615</c:f>
            </c:strRef>
          </c:tx>
          <c:spPr>
            <a:ln cmpd="sng"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marker>
          <c:cat>
            <c:strRef>
              <c:f>'FORMATO ALARGADO'!$E$613:$N$613</c:f>
            </c:strRef>
          </c:cat>
          <c:val>
            <c:numRef>
              <c:f>'FORMATO ALARGADO'!$E$615:$N$615</c:f>
              <c:numCache/>
            </c:numRef>
          </c:val>
          <c:smooth val="0"/>
        </c:ser>
        <c:ser>
          <c:idx val="2"/>
          <c:order val="2"/>
          <c:tx>
            <c:strRef>
              <c:f>'FORMATO ALARGADO'!$B$616:$D$616</c:f>
            </c:strRef>
          </c:tx>
          <c:spPr>
            <a:ln cmpd="sng" w="38100">
              <a:solidFill>
                <a:srgbClr val="808080"/>
              </a:solidFill>
            </a:ln>
          </c:spPr>
          <c:marker>
            <c:symbol val="circle"/>
            <c:size val="7"/>
            <c:spPr>
              <a:solidFill>
                <a:srgbClr val="808080"/>
              </a:solidFill>
              <a:ln cmpd="sng">
                <a:solidFill>
                  <a:srgbClr val="808080"/>
                </a:solidFill>
              </a:ln>
            </c:spPr>
          </c:marker>
          <c:cat>
            <c:strRef>
              <c:f>'FORMATO ALARGADO'!$E$613:$N$613</c:f>
            </c:strRef>
          </c:cat>
          <c:val>
            <c:numRef>
              <c:f>'FORMATO ALARGADO'!$E$616:$N$616</c:f>
              <c:numCache/>
            </c:numRef>
          </c:val>
          <c:smooth val="0"/>
        </c:ser>
        <c:ser>
          <c:idx val="3"/>
          <c:order val="3"/>
          <c:tx>
            <c:strRef>
              <c:f>'FORMATO ALARGADO'!$B$617:$D$617</c:f>
            </c:strRef>
          </c:tx>
          <c:spPr>
            <a:ln cmpd="sng" w="38100">
              <a:solidFill>
                <a:srgbClr val="F06753"/>
              </a:solidFill>
            </a:ln>
          </c:spPr>
          <c:marker>
            <c:symbol val="circle"/>
            <c:size val="7"/>
            <c:spPr>
              <a:solidFill>
                <a:srgbClr val="F06753"/>
              </a:solidFill>
              <a:ln cmpd="sng">
                <a:solidFill>
                  <a:srgbClr val="F06753"/>
                </a:solidFill>
              </a:ln>
            </c:spPr>
          </c:marker>
          <c:cat>
            <c:strRef>
              <c:f>'FORMATO ALARGADO'!$E$613:$N$613</c:f>
            </c:strRef>
          </c:cat>
          <c:val>
            <c:numRef>
              <c:f>'FORMATO ALARGADO'!$E$617:$N$617</c:f>
              <c:numCache/>
            </c:numRef>
          </c:val>
          <c:smooth val="0"/>
        </c:ser>
        <c:ser>
          <c:idx val="4"/>
          <c:order val="4"/>
          <c:tx>
            <c:strRef>
              <c:f>'FORMATO ALARGADO'!$B$618:$D$618</c:f>
            </c:strRef>
          </c:tx>
          <c:spPr>
            <a:ln cmpd="sng" w="38100">
              <a:solidFill>
                <a:srgbClr val="8E7CC3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8E7CC3">
                  <a:alpha val="100000"/>
                </a:srgbClr>
              </a:solidFill>
              <a:ln cmpd="sng">
                <a:solidFill>
                  <a:srgbClr val="8E7CC3">
                    <a:alpha val="100000"/>
                  </a:srgbClr>
                </a:solidFill>
              </a:ln>
            </c:spPr>
          </c:marker>
          <c:cat>
            <c:strRef>
              <c:f>'FORMATO ALARGADO'!$E$613:$N$613</c:f>
            </c:strRef>
          </c:cat>
          <c:val>
            <c:numRef>
              <c:f>'FORMATO ALARGADO'!$E$618:$N$618</c:f>
              <c:numCache/>
            </c:numRef>
          </c:val>
          <c:smooth val="0"/>
        </c:ser>
        <c:axId val="1391148041"/>
        <c:axId val="330990764"/>
      </c:lineChart>
      <c:catAx>
        <c:axId val="13911480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  <a:r>
                  <a:rPr b="1">
                    <a:solidFill>
                      <a:srgbClr val="000000"/>
                    </a:solidFill>
                    <a:latin typeface="Arial"/>
                  </a:rPr>
                  <a:t>Producto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330990764"/>
      </c:catAx>
      <c:valAx>
        <c:axId val="330990764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</a:p>
        </c:txPr>
        <c:crossAx val="1391148041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3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000">
                <a:solidFill>
                  <a:srgbClr val="000000"/>
                </a:solidFill>
                <a:latin typeface="Arial"/>
              </a:defRPr>
            </a:pPr>
            <a:r>
              <a:rPr b="1" sz="1000">
                <a:solidFill>
                  <a:srgbClr val="000000"/>
                </a:solidFill>
                <a:latin typeface="Arial"/>
              </a:rPr>
              <a:t>ESTADISTICAS SEMANA 4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'FORMATO ALARGADO'!$B$620:$D$620</c:f>
            </c:strRef>
          </c:tx>
          <c:spPr>
            <a:ln cmpd="sng" w="38100">
              <a:solidFill>
                <a:srgbClr val="9ED84A"/>
              </a:solidFill>
            </a:ln>
          </c:spPr>
          <c:marker>
            <c:symbol val="circle"/>
            <c:size val="7"/>
            <c:spPr>
              <a:solidFill>
                <a:srgbClr val="9ED84A"/>
              </a:solidFill>
              <a:ln cmpd="sng">
                <a:solidFill>
                  <a:srgbClr val="9ED84A"/>
                </a:solidFill>
              </a:ln>
            </c:spPr>
          </c:marker>
          <c:cat>
            <c:strRef>
              <c:f>'FORMATO ALARGADO'!$E$619:$N$619</c:f>
            </c:strRef>
          </c:cat>
          <c:val>
            <c:numRef>
              <c:f>'FORMATO ALARGADO'!$E$620:$N$620</c:f>
              <c:numCache/>
            </c:numRef>
          </c:val>
          <c:smooth val="0"/>
        </c:ser>
        <c:ser>
          <c:idx val="1"/>
          <c:order val="1"/>
          <c:tx>
            <c:strRef>
              <c:f>'FORMATO ALARGADO'!$B$621:$D$621</c:f>
            </c:strRef>
          </c:tx>
          <c:spPr>
            <a:ln cmpd="sng"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marker>
          <c:cat>
            <c:strRef>
              <c:f>'FORMATO ALARGADO'!$E$619:$N$619</c:f>
            </c:strRef>
          </c:cat>
          <c:val>
            <c:numRef>
              <c:f>'FORMATO ALARGADO'!$E$621:$N$621</c:f>
              <c:numCache/>
            </c:numRef>
          </c:val>
          <c:smooth val="0"/>
        </c:ser>
        <c:ser>
          <c:idx val="2"/>
          <c:order val="2"/>
          <c:tx>
            <c:strRef>
              <c:f>'FORMATO ALARGADO'!$B$622:$D$622</c:f>
            </c:strRef>
          </c:tx>
          <c:spPr>
            <a:ln cmpd="sng" w="38100">
              <a:solidFill>
                <a:srgbClr val="808080"/>
              </a:solidFill>
            </a:ln>
          </c:spPr>
          <c:marker>
            <c:symbol val="circle"/>
            <c:size val="7"/>
            <c:spPr>
              <a:solidFill>
                <a:srgbClr val="808080"/>
              </a:solidFill>
              <a:ln cmpd="sng">
                <a:solidFill>
                  <a:srgbClr val="808080"/>
                </a:solidFill>
              </a:ln>
            </c:spPr>
          </c:marker>
          <c:cat>
            <c:strRef>
              <c:f>'FORMATO ALARGADO'!$E$619:$N$619</c:f>
            </c:strRef>
          </c:cat>
          <c:val>
            <c:numRef>
              <c:f>'FORMATO ALARGADO'!$E$622:$N$622</c:f>
              <c:numCache/>
            </c:numRef>
          </c:val>
          <c:smooth val="0"/>
        </c:ser>
        <c:ser>
          <c:idx val="3"/>
          <c:order val="3"/>
          <c:tx>
            <c:strRef>
              <c:f>'FORMATO ALARGADO'!$B$623:$D$623</c:f>
            </c:strRef>
          </c:tx>
          <c:spPr>
            <a:ln cmpd="sng" w="38100">
              <a:solidFill>
                <a:srgbClr val="F06753"/>
              </a:solidFill>
            </a:ln>
          </c:spPr>
          <c:marker>
            <c:symbol val="circle"/>
            <c:size val="7"/>
            <c:spPr>
              <a:solidFill>
                <a:srgbClr val="F06753"/>
              </a:solidFill>
              <a:ln cmpd="sng">
                <a:solidFill>
                  <a:srgbClr val="F06753"/>
                </a:solidFill>
              </a:ln>
            </c:spPr>
          </c:marker>
          <c:cat>
            <c:strRef>
              <c:f>'FORMATO ALARGADO'!$E$619:$N$619</c:f>
            </c:strRef>
          </c:cat>
          <c:val>
            <c:numRef>
              <c:f>'FORMATO ALARGADO'!$E$623:$N$623</c:f>
              <c:numCache/>
            </c:numRef>
          </c:val>
          <c:smooth val="0"/>
        </c:ser>
        <c:ser>
          <c:idx val="4"/>
          <c:order val="4"/>
          <c:tx>
            <c:strRef>
              <c:f>'FORMATO ALARGADO'!$B$624:$D$624</c:f>
            </c:strRef>
          </c:tx>
          <c:spPr>
            <a:ln cmpd="sng" w="38100">
              <a:solidFill>
                <a:srgbClr val="8E7CC3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8E7CC3">
                  <a:alpha val="100000"/>
                </a:srgbClr>
              </a:solidFill>
              <a:ln cmpd="sng">
                <a:solidFill>
                  <a:srgbClr val="8E7CC3">
                    <a:alpha val="100000"/>
                  </a:srgbClr>
                </a:solidFill>
              </a:ln>
            </c:spPr>
          </c:marker>
          <c:cat>
            <c:strRef>
              <c:f>'FORMATO ALARGADO'!$E$619:$N$619</c:f>
            </c:strRef>
          </c:cat>
          <c:val>
            <c:numRef>
              <c:f>'FORMATO ALARGADO'!$E$624:$N$624</c:f>
              <c:numCache/>
            </c:numRef>
          </c:val>
          <c:smooth val="0"/>
        </c:ser>
        <c:axId val="1817574403"/>
        <c:axId val="429869733"/>
      </c:lineChart>
      <c:catAx>
        <c:axId val="18175744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  <a:r>
                  <a:rPr b="1">
                    <a:solidFill>
                      <a:srgbClr val="000000"/>
                    </a:solidFill>
                    <a:latin typeface="Arial"/>
                  </a:rPr>
                  <a:t>Producto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429869733"/>
      </c:catAx>
      <c:valAx>
        <c:axId val="429869733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</a:p>
        </c:txPr>
        <c:crossAx val="1817574403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000">
                <a:solidFill>
                  <a:srgbClr val="000000"/>
                </a:solidFill>
                <a:latin typeface="Arial"/>
              </a:defRPr>
            </a:pPr>
            <a:r>
              <a:rPr b="1" sz="1000">
                <a:solidFill>
                  <a:srgbClr val="000000"/>
                </a:solidFill>
                <a:latin typeface="Arial"/>
              </a:rPr>
              <a:t>ESTADISTICAS DEL MES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'FORMATO ALARGADO'!$B$627:$D$627</c:f>
            </c:strRef>
          </c:tx>
          <c:spPr>
            <a:ln cmpd="sng" w="38100">
              <a:solidFill>
                <a:srgbClr val="9ED84A"/>
              </a:solidFill>
            </a:ln>
          </c:spPr>
          <c:marker>
            <c:symbol val="circle"/>
            <c:size val="7"/>
            <c:spPr>
              <a:solidFill>
                <a:srgbClr val="9ED84A"/>
              </a:solidFill>
              <a:ln cmpd="sng">
                <a:solidFill>
                  <a:srgbClr val="9ED84A"/>
                </a:solidFill>
              </a:ln>
            </c:spPr>
          </c:marker>
          <c:cat>
            <c:strRef>
              <c:f>'FORMATO ALARGADO'!$E$626:$N$626</c:f>
            </c:strRef>
          </c:cat>
          <c:val>
            <c:numRef>
              <c:f>'FORMATO ALARGADO'!$E$627:$N$627</c:f>
              <c:numCache/>
            </c:numRef>
          </c:val>
          <c:smooth val="0"/>
        </c:ser>
        <c:ser>
          <c:idx val="1"/>
          <c:order val="1"/>
          <c:tx>
            <c:strRef>
              <c:f>'FORMATO ALARGADO'!$B$628:$D$628</c:f>
            </c:strRef>
          </c:tx>
          <c:spPr>
            <a:ln cmpd="sng"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marker>
          <c:cat>
            <c:strRef>
              <c:f>'FORMATO ALARGADO'!$E$626:$N$626</c:f>
            </c:strRef>
          </c:cat>
          <c:val>
            <c:numRef>
              <c:f>'FORMATO ALARGADO'!$E$628:$N$628</c:f>
              <c:numCache/>
            </c:numRef>
          </c:val>
          <c:smooth val="0"/>
        </c:ser>
        <c:ser>
          <c:idx val="2"/>
          <c:order val="2"/>
          <c:tx>
            <c:strRef>
              <c:f>'FORMATO ALARGADO'!$B$629:$D$629</c:f>
            </c:strRef>
          </c:tx>
          <c:spPr>
            <a:ln cmpd="sng" w="38100">
              <a:solidFill>
                <a:srgbClr val="808080"/>
              </a:solidFill>
            </a:ln>
          </c:spPr>
          <c:marker>
            <c:symbol val="circle"/>
            <c:size val="7"/>
            <c:spPr>
              <a:solidFill>
                <a:srgbClr val="808080"/>
              </a:solidFill>
              <a:ln cmpd="sng">
                <a:solidFill>
                  <a:srgbClr val="808080"/>
                </a:solidFill>
              </a:ln>
            </c:spPr>
          </c:marker>
          <c:cat>
            <c:strRef>
              <c:f>'FORMATO ALARGADO'!$E$626:$N$626</c:f>
            </c:strRef>
          </c:cat>
          <c:val>
            <c:numRef>
              <c:f>'FORMATO ALARGADO'!$E$629:$N$629</c:f>
              <c:numCache/>
            </c:numRef>
          </c:val>
          <c:smooth val="0"/>
        </c:ser>
        <c:ser>
          <c:idx val="3"/>
          <c:order val="3"/>
          <c:tx>
            <c:strRef>
              <c:f>'FORMATO ALARGADO'!$B$630:$D$630</c:f>
            </c:strRef>
          </c:tx>
          <c:spPr>
            <a:ln cmpd="sng" w="38100">
              <a:solidFill>
                <a:srgbClr val="F06753"/>
              </a:solidFill>
            </a:ln>
          </c:spPr>
          <c:marker>
            <c:symbol val="circle"/>
            <c:size val="7"/>
            <c:spPr>
              <a:solidFill>
                <a:srgbClr val="F06753"/>
              </a:solidFill>
              <a:ln cmpd="sng">
                <a:solidFill>
                  <a:srgbClr val="F06753"/>
                </a:solidFill>
              </a:ln>
            </c:spPr>
          </c:marker>
          <c:cat>
            <c:strRef>
              <c:f>'FORMATO ALARGADO'!$E$626:$N$626</c:f>
            </c:strRef>
          </c:cat>
          <c:val>
            <c:numRef>
              <c:f>'FORMATO ALARGADO'!$E$630:$N$630</c:f>
              <c:numCache/>
            </c:numRef>
          </c:val>
          <c:smooth val="0"/>
        </c:ser>
        <c:ser>
          <c:idx val="4"/>
          <c:order val="4"/>
          <c:tx>
            <c:strRef>
              <c:f>'FORMATO ALARGADO'!$B$631:$D$631</c:f>
            </c:strRef>
          </c:tx>
          <c:spPr>
            <a:ln cmpd="sng" w="38100">
              <a:solidFill>
                <a:srgbClr val="8E7CC3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8E7CC3">
                  <a:alpha val="100000"/>
                </a:srgbClr>
              </a:solidFill>
              <a:ln cmpd="sng">
                <a:solidFill>
                  <a:srgbClr val="8E7CC3">
                    <a:alpha val="100000"/>
                  </a:srgbClr>
                </a:solidFill>
              </a:ln>
            </c:spPr>
          </c:marker>
          <c:cat>
            <c:strRef>
              <c:f>'FORMATO ALARGADO'!$E$626:$N$626</c:f>
            </c:strRef>
          </c:cat>
          <c:val>
            <c:numRef>
              <c:f>'FORMATO ALARGADO'!$E$631:$N$631</c:f>
              <c:numCache/>
            </c:numRef>
          </c:val>
          <c:smooth val="0"/>
        </c:ser>
        <c:axId val="148733516"/>
        <c:axId val="2069849952"/>
      </c:lineChart>
      <c:catAx>
        <c:axId val="1487335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2069849952"/>
      </c:catAx>
      <c:valAx>
        <c:axId val="2069849952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</a:p>
        </c:txPr>
        <c:crossAx val="148733516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<Relationship Id="rId5" Type="http://schemas.openxmlformats.org/officeDocument/2006/relationships/chart" Target="../charts/chart10.xml"/><Relationship Id="rId6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Relationship Id="rId3" Type="http://schemas.openxmlformats.org/officeDocument/2006/relationships/chart" Target="../charts/chart13.xml"/><Relationship Id="rId4" Type="http://schemas.openxmlformats.org/officeDocument/2006/relationships/chart" Target="../charts/chart14.xml"/><Relationship Id="rId5" Type="http://schemas.openxmlformats.org/officeDocument/2006/relationships/chart" Target="../charts/chart15.xml"/><Relationship Id="rId6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<Relationship Id="rId3" Type="http://schemas.openxmlformats.org/officeDocument/2006/relationships/chart" Target="../charts/chart18.xml"/><Relationship Id="rId4" Type="http://schemas.openxmlformats.org/officeDocument/2006/relationships/chart" Target="../charts/chart19.xml"/><Relationship Id="rId5" Type="http://schemas.openxmlformats.org/officeDocument/2006/relationships/chart" Target="../charts/chart20.xml"/><Relationship Id="rId6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1.xml"/><Relationship Id="rId2" Type="http://schemas.openxmlformats.org/officeDocument/2006/relationships/chart" Target="../charts/chart22.xml"/><Relationship Id="rId3" Type="http://schemas.openxmlformats.org/officeDocument/2006/relationships/chart" Target="../charts/chart23.xml"/><Relationship Id="rId4" Type="http://schemas.openxmlformats.org/officeDocument/2006/relationships/chart" Target="../charts/chart24.xml"/><Relationship Id="rId5" Type="http://schemas.openxmlformats.org/officeDocument/2006/relationships/chart" Target="../charts/chart25.xml"/><Relationship Id="rId6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6.xml"/><Relationship Id="rId2" Type="http://schemas.openxmlformats.org/officeDocument/2006/relationships/chart" Target="../charts/chart27.xml"/><Relationship Id="rId3" Type="http://schemas.openxmlformats.org/officeDocument/2006/relationships/chart" Target="../charts/chart28.xml"/><Relationship Id="rId4" Type="http://schemas.openxmlformats.org/officeDocument/2006/relationships/chart" Target="../charts/chart29.xml"/><Relationship Id="rId5" Type="http://schemas.openxmlformats.org/officeDocument/2006/relationships/chart" Target="../charts/chart30.xml"/><Relationship Id="rId6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1.xml"/><Relationship Id="rId2" Type="http://schemas.openxmlformats.org/officeDocument/2006/relationships/chart" Target="../charts/chart32.xml"/><Relationship Id="rId3" Type="http://schemas.openxmlformats.org/officeDocument/2006/relationships/chart" Target="../charts/chart33.xml"/><Relationship Id="rId4" Type="http://schemas.openxmlformats.org/officeDocument/2006/relationships/chart" Target="../charts/chart34.xml"/><Relationship Id="rId5" Type="http://schemas.openxmlformats.org/officeDocument/2006/relationships/chart" Target="../charts/chart35.xml"/><Relationship Id="rId6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36.xml"/><Relationship Id="rId2" Type="http://schemas.openxmlformats.org/officeDocument/2006/relationships/chart" Target="../charts/chart37.xml"/><Relationship Id="rId3" Type="http://schemas.openxmlformats.org/officeDocument/2006/relationships/chart" Target="../charts/chart38.xml"/><Relationship Id="rId4" Type="http://schemas.openxmlformats.org/officeDocument/2006/relationships/chart" Target="../charts/chart39.xml"/><Relationship Id="rId5" Type="http://schemas.openxmlformats.org/officeDocument/2006/relationships/chart" Target="../charts/chart40.xml"/><Relationship Id="rId6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438150</xdr:colOff>
      <xdr:row>620</xdr:row>
      <xdr:rowOff>19050</xdr:rowOff>
    </xdr:from>
    <xdr:ext cx="4095750" cy="13906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625</xdr:row>
      <xdr:rowOff>228600</xdr:rowOff>
    </xdr:from>
    <xdr:ext cx="4095750" cy="144780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438150</xdr:colOff>
      <xdr:row>631</xdr:row>
      <xdr:rowOff>247650</xdr:rowOff>
    </xdr:from>
    <xdr:ext cx="4095750" cy="144780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10</xdr:col>
      <xdr:colOff>0</xdr:colOff>
      <xdr:row>638</xdr:row>
      <xdr:rowOff>9525</xdr:rowOff>
    </xdr:from>
    <xdr:ext cx="4095750" cy="1447800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10</xdr:col>
      <xdr:colOff>0</xdr:colOff>
      <xdr:row>644</xdr:row>
      <xdr:rowOff>9525</xdr:rowOff>
    </xdr:from>
    <xdr:ext cx="4095750" cy="16668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0</xdr:colOff>
      <xdr:row>97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115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133</xdr:row>
      <xdr:rowOff>0</xdr:rowOff>
    </xdr:from>
    <xdr:ext cx="276225" cy="238125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151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169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187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205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223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241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259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277</xdr:row>
      <xdr:rowOff>0</xdr:rowOff>
    </xdr:from>
    <xdr:ext cx="219075" cy="19050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295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313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331</xdr:row>
      <xdr:rowOff>0</xdr:rowOff>
    </xdr:from>
    <xdr:ext cx="219075" cy="19050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349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367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385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403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421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439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457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438150</xdr:colOff>
      <xdr:row>620</xdr:row>
      <xdr:rowOff>19050</xdr:rowOff>
    </xdr:from>
    <xdr:ext cx="4095750" cy="1390650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625</xdr:row>
      <xdr:rowOff>228600</xdr:rowOff>
    </xdr:from>
    <xdr:ext cx="4095750" cy="1447800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438150</xdr:colOff>
      <xdr:row>631</xdr:row>
      <xdr:rowOff>247650</xdr:rowOff>
    </xdr:from>
    <xdr:ext cx="4095750" cy="1447800"/>
    <xdr:graphicFrame>
      <xdr:nvGraphicFramePr>
        <xdr:cNvPr id="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10</xdr:col>
      <xdr:colOff>0</xdr:colOff>
      <xdr:row>638</xdr:row>
      <xdr:rowOff>9525</xdr:rowOff>
    </xdr:from>
    <xdr:ext cx="4095750" cy="1447800"/>
    <xdr:graphicFrame>
      <xdr:nvGraphicFramePr>
        <xdr:cNvPr id="9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10</xdr:col>
      <xdr:colOff>0</xdr:colOff>
      <xdr:row>644</xdr:row>
      <xdr:rowOff>9525</xdr:rowOff>
    </xdr:from>
    <xdr:ext cx="4095750" cy="1666875"/>
    <xdr:graphicFrame>
      <xdr:nvGraphicFramePr>
        <xdr:cNvPr id="10" name="Chart 1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0</xdr:colOff>
      <xdr:row>25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79</xdr:row>
      <xdr:rowOff>0</xdr:rowOff>
    </xdr:from>
    <xdr:ext cx="219075" cy="19050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97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115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133</xdr:row>
      <xdr:rowOff>0</xdr:rowOff>
    </xdr:from>
    <xdr:ext cx="276225" cy="238125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151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169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187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205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223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241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259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277</xdr:row>
      <xdr:rowOff>0</xdr:rowOff>
    </xdr:from>
    <xdr:ext cx="219075" cy="19050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295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313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331</xdr:row>
      <xdr:rowOff>0</xdr:rowOff>
    </xdr:from>
    <xdr:ext cx="219075" cy="19050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349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367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385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403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421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439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457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438150</xdr:colOff>
      <xdr:row>620</xdr:row>
      <xdr:rowOff>19050</xdr:rowOff>
    </xdr:from>
    <xdr:ext cx="4095750" cy="1390650"/>
    <xdr:graphicFrame>
      <xdr:nvGraphicFramePr>
        <xdr:cNvPr id="11" name="Chart 1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625</xdr:row>
      <xdr:rowOff>228600</xdr:rowOff>
    </xdr:from>
    <xdr:ext cx="4095750" cy="1447800"/>
    <xdr:graphicFrame>
      <xdr:nvGraphicFramePr>
        <xdr:cNvPr id="12" name="Chart 1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438150</xdr:colOff>
      <xdr:row>631</xdr:row>
      <xdr:rowOff>247650</xdr:rowOff>
    </xdr:from>
    <xdr:ext cx="4095750" cy="1447800"/>
    <xdr:graphicFrame>
      <xdr:nvGraphicFramePr>
        <xdr:cNvPr id="13" name="Chart 1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10</xdr:col>
      <xdr:colOff>0</xdr:colOff>
      <xdr:row>638</xdr:row>
      <xdr:rowOff>9525</xdr:rowOff>
    </xdr:from>
    <xdr:ext cx="4095750" cy="1447800"/>
    <xdr:graphicFrame>
      <xdr:nvGraphicFramePr>
        <xdr:cNvPr id="14" name="Chart 1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10</xdr:col>
      <xdr:colOff>0</xdr:colOff>
      <xdr:row>644</xdr:row>
      <xdr:rowOff>9525</xdr:rowOff>
    </xdr:from>
    <xdr:ext cx="4095750" cy="1666875"/>
    <xdr:graphicFrame>
      <xdr:nvGraphicFramePr>
        <xdr:cNvPr id="15" name="Chart 1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0</xdr:colOff>
      <xdr:row>25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79</xdr:row>
      <xdr:rowOff>0</xdr:rowOff>
    </xdr:from>
    <xdr:ext cx="219075" cy="19050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97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115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133</xdr:row>
      <xdr:rowOff>0</xdr:rowOff>
    </xdr:from>
    <xdr:ext cx="276225" cy="238125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151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169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187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205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223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241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259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277</xdr:row>
      <xdr:rowOff>0</xdr:rowOff>
    </xdr:from>
    <xdr:ext cx="219075" cy="19050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295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313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331</xdr:row>
      <xdr:rowOff>0</xdr:rowOff>
    </xdr:from>
    <xdr:ext cx="219075" cy="19050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349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367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385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403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421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439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457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438150</xdr:colOff>
      <xdr:row>620</xdr:row>
      <xdr:rowOff>19050</xdr:rowOff>
    </xdr:from>
    <xdr:ext cx="4095750" cy="1390650"/>
    <xdr:graphicFrame>
      <xdr:nvGraphicFramePr>
        <xdr:cNvPr id="16" name="Chart 1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625</xdr:row>
      <xdr:rowOff>228600</xdr:rowOff>
    </xdr:from>
    <xdr:ext cx="4095750" cy="1447800"/>
    <xdr:graphicFrame>
      <xdr:nvGraphicFramePr>
        <xdr:cNvPr id="17" name="Chart 1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438150</xdr:colOff>
      <xdr:row>631</xdr:row>
      <xdr:rowOff>247650</xdr:rowOff>
    </xdr:from>
    <xdr:ext cx="4095750" cy="1447800"/>
    <xdr:graphicFrame>
      <xdr:nvGraphicFramePr>
        <xdr:cNvPr id="18" name="Chart 1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10</xdr:col>
      <xdr:colOff>0</xdr:colOff>
      <xdr:row>638</xdr:row>
      <xdr:rowOff>9525</xdr:rowOff>
    </xdr:from>
    <xdr:ext cx="4095750" cy="1447800"/>
    <xdr:graphicFrame>
      <xdr:nvGraphicFramePr>
        <xdr:cNvPr id="19" name="Chart 1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10</xdr:col>
      <xdr:colOff>0</xdr:colOff>
      <xdr:row>644</xdr:row>
      <xdr:rowOff>9525</xdr:rowOff>
    </xdr:from>
    <xdr:ext cx="4095750" cy="1666875"/>
    <xdr:graphicFrame>
      <xdr:nvGraphicFramePr>
        <xdr:cNvPr id="20" name="Chart 2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0</xdr:colOff>
      <xdr:row>43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79</xdr:row>
      <xdr:rowOff>0</xdr:rowOff>
    </xdr:from>
    <xdr:ext cx="219075" cy="19050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97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115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133</xdr:row>
      <xdr:rowOff>0</xdr:rowOff>
    </xdr:from>
    <xdr:ext cx="276225" cy="238125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151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169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187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205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223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241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259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277</xdr:row>
      <xdr:rowOff>0</xdr:rowOff>
    </xdr:from>
    <xdr:ext cx="219075" cy="19050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295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313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331</xdr:row>
      <xdr:rowOff>0</xdr:rowOff>
    </xdr:from>
    <xdr:ext cx="219075" cy="19050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349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367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385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403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421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439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457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438150</xdr:colOff>
      <xdr:row>620</xdr:row>
      <xdr:rowOff>19050</xdr:rowOff>
    </xdr:from>
    <xdr:ext cx="4095750" cy="1390650"/>
    <xdr:graphicFrame>
      <xdr:nvGraphicFramePr>
        <xdr:cNvPr id="21" name="Chart 2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625</xdr:row>
      <xdr:rowOff>228600</xdr:rowOff>
    </xdr:from>
    <xdr:ext cx="4095750" cy="1447800"/>
    <xdr:graphicFrame>
      <xdr:nvGraphicFramePr>
        <xdr:cNvPr id="22" name="Chart 2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438150</xdr:colOff>
      <xdr:row>631</xdr:row>
      <xdr:rowOff>247650</xdr:rowOff>
    </xdr:from>
    <xdr:ext cx="4095750" cy="1447800"/>
    <xdr:graphicFrame>
      <xdr:nvGraphicFramePr>
        <xdr:cNvPr id="23" name="Chart 2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10</xdr:col>
      <xdr:colOff>0</xdr:colOff>
      <xdr:row>638</xdr:row>
      <xdr:rowOff>9525</xdr:rowOff>
    </xdr:from>
    <xdr:ext cx="4095750" cy="1447800"/>
    <xdr:graphicFrame>
      <xdr:nvGraphicFramePr>
        <xdr:cNvPr id="24" name="Chart 2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10</xdr:col>
      <xdr:colOff>0</xdr:colOff>
      <xdr:row>644</xdr:row>
      <xdr:rowOff>9525</xdr:rowOff>
    </xdr:from>
    <xdr:ext cx="4095750" cy="1666875"/>
    <xdr:graphicFrame>
      <xdr:nvGraphicFramePr>
        <xdr:cNvPr id="25" name="Chart 2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0</xdr:colOff>
      <xdr:row>43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79</xdr:row>
      <xdr:rowOff>0</xdr:rowOff>
    </xdr:from>
    <xdr:ext cx="219075" cy="19050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97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115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133</xdr:row>
      <xdr:rowOff>0</xdr:rowOff>
    </xdr:from>
    <xdr:ext cx="276225" cy="238125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151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169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187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205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223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241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259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277</xdr:row>
      <xdr:rowOff>0</xdr:rowOff>
    </xdr:from>
    <xdr:ext cx="219075" cy="19050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295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313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331</xdr:row>
      <xdr:rowOff>0</xdr:rowOff>
    </xdr:from>
    <xdr:ext cx="219075" cy="19050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349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367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385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403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421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439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457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438150</xdr:colOff>
      <xdr:row>620</xdr:row>
      <xdr:rowOff>19050</xdr:rowOff>
    </xdr:from>
    <xdr:ext cx="4095750" cy="1390650"/>
    <xdr:graphicFrame>
      <xdr:nvGraphicFramePr>
        <xdr:cNvPr id="26" name="Chart 2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625</xdr:row>
      <xdr:rowOff>228600</xdr:rowOff>
    </xdr:from>
    <xdr:ext cx="4095750" cy="1447800"/>
    <xdr:graphicFrame>
      <xdr:nvGraphicFramePr>
        <xdr:cNvPr id="27" name="Chart 2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438150</xdr:colOff>
      <xdr:row>631</xdr:row>
      <xdr:rowOff>247650</xdr:rowOff>
    </xdr:from>
    <xdr:ext cx="4095750" cy="1447800"/>
    <xdr:graphicFrame>
      <xdr:nvGraphicFramePr>
        <xdr:cNvPr id="28" name="Chart 2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10</xdr:col>
      <xdr:colOff>0</xdr:colOff>
      <xdr:row>638</xdr:row>
      <xdr:rowOff>9525</xdr:rowOff>
    </xdr:from>
    <xdr:ext cx="4095750" cy="1447800"/>
    <xdr:graphicFrame>
      <xdr:nvGraphicFramePr>
        <xdr:cNvPr id="29" name="Chart 2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10</xdr:col>
      <xdr:colOff>0</xdr:colOff>
      <xdr:row>644</xdr:row>
      <xdr:rowOff>9525</xdr:rowOff>
    </xdr:from>
    <xdr:ext cx="4095750" cy="1666875"/>
    <xdr:graphicFrame>
      <xdr:nvGraphicFramePr>
        <xdr:cNvPr id="30" name="Chart 3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0</xdr:colOff>
      <xdr:row>25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79</xdr:row>
      <xdr:rowOff>0</xdr:rowOff>
    </xdr:from>
    <xdr:ext cx="219075" cy="19050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97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115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133</xdr:row>
      <xdr:rowOff>0</xdr:rowOff>
    </xdr:from>
    <xdr:ext cx="276225" cy="238125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151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169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187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205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223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241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259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277</xdr:row>
      <xdr:rowOff>0</xdr:rowOff>
    </xdr:from>
    <xdr:ext cx="219075" cy="19050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295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313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331</xdr:row>
      <xdr:rowOff>0</xdr:rowOff>
    </xdr:from>
    <xdr:ext cx="219075" cy="19050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349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367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385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403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421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439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457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438150</xdr:colOff>
      <xdr:row>600</xdr:row>
      <xdr:rowOff>19050</xdr:rowOff>
    </xdr:from>
    <xdr:ext cx="4095750" cy="1390650"/>
    <xdr:graphicFrame>
      <xdr:nvGraphicFramePr>
        <xdr:cNvPr id="31" name="Chart 3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605</xdr:row>
      <xdr:rowOff>228600</xdr:rowOff>
    </xdr:from>
    <xdr:ext cx="4095750" cy="1447800"/>
    <xdr:graphicFrame>
      <xdr:nvGraphicFramePr>
        <xdr:cNvPr id="32" name="Chart 3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438150</xdr:colOff>
      <xdr:row>611</xdr:row>
      <xdr:rowOff>247650</xdr:rowOff>
    </xdr:from>
    <xdr:ext cx="4095750" cy="1447800"/>
    <xdr:graphicFrame>
      <xdr:nvGraphicFramePr>
        <xdr:cNvPr id="33" name="Chart 3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10</xdr:col>
      <xdr:colOff>0</xdr:colOff>
      <xdr:row>618</xdr:row>
      <xdr:rowOff>9525</xdr:rowOff>
    </xdr:from>
    <xdr:ext cx="4095750" cy="1447800"/>
    <xdr:graphicFrame>
      <xdr:nvGraphicFramePr>
        <xdr:cNvPr id="34" name="Chart 3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10</xdr:col>
      <xdr:colOff>0</xdr:colOff>
      <xdr:row>624</xdr:row>
      <xdr:rowOff>9525</xdr:rowOff>
    </xdr:from>
    <xdr:ext cx="4095750" cy="1666875"/>
    <xdr:graphicFrame>
      <xdr:nvGraphicFramePr>
        <xdr:cNvPr id="35" name="Chart 3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0</xdr:colOff>
      <xdr:row>25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79</xdr:row>
      <xdr:rowOff>0</xdr:rowOff>
    </xdr:from>
    <xdr:ext cx="219075" cy="19050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97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115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133</xdr:row>
      <xdr:rowOff>0</xdr:rowOff>
    </xdr:from>
    <xdr:ext cx="276225" cy="238125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151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169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187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205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223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241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259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277</xdr:row>
      <xdr:rowOff>0</xdr:rowOff>
    </xdr:from>
    <xdr:ext cx="219075" cy="19050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295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313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331</xdr:row>
      <xdr:rowOff>0</xdr:rowOff>
    </xdr:from>
    <xdr:ext cx="219075" cy="19050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349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367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385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403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421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439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457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438150</xdr:colOff>
      <xdr:row>600</xdr:row>
      <xdr:rowOff>19050</xdr:rowOff>
    </xdr:from>
    <xdr:ext cx="4095750" cy="1390650"/>
    <xdr:graphicFrame>
      <xdr:nvGraphicFramePr>
        <xdr:cNvPr id="36" name="Chart 3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0</xdr:colOff>
      <xdr:row>605</xdr:row>
      <xdr:rowOff>228600</xdr:rowOff>
    </xdr:from>
    <xdr:ext cx="4095750" cy="1447800"/>
    <xdr:graphicFrame>
      <xdr:nvGraphicFramePr>
        <xdr:cNvPr id="37" name="Chart 3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13</xdr:col>
      <xdr:colOff>438150</xdr:colOff>
      <xdr:row>611</xdr:row>
      <xdr:rowOff>247650</xdr:rowOff>
    </xdr:from>
    <xdr:ext cx="4095750" cy="1447800"/>
    <xdr:graphicFrame>
      <xdr:nvGraphicFramePr>
        <xdr:cNvPr id="38" name="Chart 3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14</xdr:col>
      <xdr:colOff>0</xdr:colOff>
      <xdr:row>618</xdr:row>
      <xdr:rowOff>9525</xdr:rowOff>
    </xdr:from>
    <xdr:ext cx="4095750" cy="1447800"/>
    <xdr:graphicFrame>
      <xdr:nvGraphicFramePr>
        <xdr:cNvPr id="39" name="Chart 3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14</xdr:col>
      <xdr:colOff>0</xdr:colOff>
      <xdr:row>624</xdr:row>
      <xdr:rowOff>9525</xdr:rowOff>
    </xdr:from>
    <xdr:ext cx="4095750" cy="1666875"/>
    <xdr:graphicFrame>
      <xdr:nvGraphicFramePr>
        <xdr:cNvPr id="40" name="Chart 4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0</xdr:colOff>
      <xdr:row>25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79</xdr:row>
      <xdr:rowOff>0</xdr:rowOff>
    </xdr:from>
    <xdr:ext cx="219075" cy="19050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97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115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133</xdr:row>
      <xdr:rowOff>0</xdr:rowOff>
    </xdr:from>
    <xdr:ext cx="276225" cy="238125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151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169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187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205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223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241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259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277</xdr:row>
      <xdr:rowOff>0</xdr:rowOff>
    </xdr:from>
    <xdr:ext cx="219075" cy="19050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295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313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331</xdr:row>
      <xdr:rowOff>0</xdr:rowOff>
    </xdr:from>
    <xdr:ext cx="219075" cy="19050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349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367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385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403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421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439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457</xdr:row>
      <xdr:rowOff>0</xdr:rowOff>
    </xdr:from>
    <xdr:ext cx="200025" cy="1714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XHMrZQhusyYcFufVA" TargetMode="External"/><Relationship Id="rId2" Type="http://schemas.openxmlformats.org/officeDocument/2006/relationships/hyperlink" Target="https://maps.app.goo.gl/T1oarWQmkzYLU8At7" TargetMode="External"/><Relationship Id="rId3" Type="http://schemas.openxmlformats.org/officeDocument/2006/relationships/hyperlink" Target="https://maps.app.goo.gl/8cXQtZwJxsSfaHzN8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wm8kQqnW93jgiyKF9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wm8kQqnW93jgiyKF9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3.63"/>
    <col customWidth="1" min="2" max="2" width="21.0"/>
    <col customWidth="1" min="3" max="3" width="12.13"/>
    <col customWidth="1" min="4" max="4" width="2.88"/>
    <col customWidth="1" min="5" max="9" width="5.63"/>
    <col customWidth="1" min="10" max="10" width="5.75"/>
    <col customWidth="1" min="11" max="11" width="15.5"/>
    <col customWidth="1" min="12" max="12" width="11.38"/>
    <col customWidth="1" min="13" max="13" width="19.5"/>
    <col customWidth="1" min="14" max="14" width="7.63"/>
  </cols>
  <sheetData>
    <row r="1" ht="35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13.5" customHeight="1">
      <c r="A2" s="4" t="s">
        <v>1</v>
      </c>
      <c r="N2" s="5"/>
    </row>
    <row r="3" ht="13.5" customHeight="1">
      <c r="A3" s="6" t="s">
        <v>2</v>
      </c>
      <c r="B3" s="7" t="s">
        <v>3</v>
      </c>
      <c r="C3" s="8" t="s">
        <v>4</v>
      </c>
      <c r="D3" s="9">
        <v>2026.0</v>
      </c>
      <c r="E3" s="10"/>
      <c r="F3" s="11" t="s">
        <v>5</v>
      </c>
      <c r="K3" s="12">
        <f>COUNTA(A13,A31,A49,A67,A85,A103,A121,A139,A157,A175,A193,A211,A229,A247,A265,A283,A301,A319,A337,A355,A373,A391,A409,A427,A445)</f>
        <v>13</v>
      </c>
      <c r="L3" s="13"/>
    </row>
    <row r="4" ht="13.5" customHeight="1">
      <c r="A4" s="14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6"/>
    </row>
    <row r="5" ht="13.5" customHeight="1">
      <c r="A5" s="17" t="s">
        <v>6</v>
      </c>
      <c r="D5" s="5"/>
      <c r="E5" s="18" t="s">
        <v>7</v>
      </c>
      <c r="F5" s="19" t="s">
        <v>8</v>
      </c>
      <c r="G5" s="18" t="s">
        <v>9</v>
      </c>
      <c r="H5" s="18" t="s">
        <v>10</v>
      </c>
      <c r="I5" s="18" t="s">
        <v>11</v>
      </c>
      <c r="J5" s="19" t="s">
        <v>12</v>
      </c>
      <c r="K5" s="20"/>
      <c r="L5" s="21"/>
      <c r="M5" s="21"/>
      <c r="N5" s="22"/>
    </row>
    <row r="6" ht="13.5" customHeight="1">
      <c r="A6" s="23" t="s">
        <v>13</v>
      </c>
      <c r="B6" s="24"/>
      <c r="C6" s="24"/>
      <c r="D6" s="25"/>
      <c r="E6" s="26">
        <v>17.0</v>
      </c>
      <c r="F6" s="27">
        <v>27.0</v>
      </c>
      <c r="G6" s="27">
        <v>27.0</v>
      </c>
      <c r="H6" s="27">
        <v>27.0</v>
      </c>
      <c r="I6" s="27">
        <v>32.0</v>
      </c>
      <c r="J6" s="28">
        <v>37.0</v>
      </c>
      <c r="K6" s="29"/>
      <c r="L6" s="29"/>
      <c r="M6" s="29"/>
      <c r="N6" s="30"/>
    </row>
    <row r="7" ht="13.5" customHeight="1">
      <c r="A7" s="31" t="s">
        <v>14</v>
      </c>
      <c r="B7" s="25"/>
      <c r="C7" s="32" t="s">
        <v>15</v>
      </c>
      <c r="D7" s="33"/>
      <c r="E7" s="34"/>
      <c r="F7" s="35"/>
      <c r="G7" s="35"/>
      <c r="H7" s="35"/>
      <c r="I7" s="35"/>
      <c r="J7" s="36"/>
      <c r="K7" s="37"/>
      <c r="N7" s="5"/>
    </row>
    <row r="8" ht="13.5" customHeight="1">
      <c r="A8" s="31" t="s">
        <v>16</v>
      </c>
      <c r="B8" s="25"/>
      <c r="C8" s="32" t="s">
        <v>15</v>
      </c>
      <c r="D8" s="33"/>
      <c r="E8" s="34"/>
      <c r="F8" s="35"/>
      <c r="G8" s="35"/>
      <c r="H8" s="35"/>
      <c r="I8" s="35"/>
      <c r="J8" s="36"/>
      <c r="K8" s="38"/>
      <c r="N8" s="5"/>
    </row>
    <row r="9" ht="13.5" customHeight="1">
      <c r="A9" s="31" t="s">
        <v>17</v>
      </c>
      <c r="B9" s="25"/>
      <c r="C9" s="32" t="s">
        <v>15</v>
      </c>
      <c r="D9" s="33"/>
      <c r="E9" s="39"/>
      <c r="F9" s="35">
        <v>39.0</v>
      </c>
      <c r="G9" s="35">
        <v>38.0</v>
      </c>
      <c r="H9" s="35">
        <v>24.0</v>
      </c>
      <c r="I9" s="35">
        <v>19.0</v>
      </c>
      <c r="J9" s="36">
        <v>35.0</v>
      </c>
      <c r="K9" s="38"/>
      <c r="N9" s="5"/>
    </row>
    <row r="10" ht="13.5" customHeight="1">
      <c r="A10" s="31" t="s">
        <v>18</v>
      </c>
      <c r="B10" s="25"/>
      <c r="C10" s="32" t="s">
        <v>15</v>
      </c>
      <c r="D10" s="33"/>
      <c r="E10" s="34"/>
      <c r="F10" s="34"/>
      <c r="G10" s="34"/>
      <c r="H10" s="34"/>
      <c r="I10" s="34"/>
      <c r="J10" s="40"/>
      <c r="K10" s="38"/>
      <c r="N10" s="5"/>
    </row>
    <row r="11" ht="13.5" customHeight="1">
      <c r="A11" s="41" t="s">
        <v>19</v>
      </c>
      <c r="B11" s="42" t="s">
        <v>20</v>
      </c>
      <c r="C11" s="24"/>
      <c r="D11" s="33"/>
      <c r="E11" s="43">
        <f t="shared" ref="E11:J11" si="1">E6</f>
        <v>17</v>
      </c>
      <c r="F11" s="43">
        <f t="shared" si="1"/>
        <v>27</v>
      </c>
      <c r="G11" s="43">
        <f t="shared" si="1"/>
        <v>27</v>
      </c>
      <c r="H11" s="43">
        <f t="shared" si="1"/>
        <v>27</v>
      </c>
      <c r="I11" s="43">
        <f t="shared" si="1"/>
        <v>32</v>
      </c>
      <c r="J11" s="44">
        <f t="shared" si="1"/>
        <v>37</v>
      </c>
      <c r="K11" s="42" t="s">
        <v>21</v>
      </c>
      <c r="L11" s="25"/>
      <c r="M11" s="45" t="s">
        <v>22</v>
      </c>
      <c r="N11" s="25"/>
    </row>
    <row r="12" ht="13.5" customHeight="1">
      <c r="A12" s="46" t="s">
        <v>23</v>
      </c>
      <c r="B12" s="47" t="s">
        <v>24</v>
      </c>
      <c r="C12" s="32" t="s">
        <v>25</v>
      </c>
      <c r="D12" s="33"/>
      <c r="E12" s="48"/>
      <c r="F12" s="48"/>
      <c r="G12" s="48"/>
      <c r="H12" s="48"/>
      <c r="I12" s="48"/>
      <c r="J12" s="48"/>
      <c r="K12" s="49"/>
      <c r="L12" s="25"/>
      <c r="M12" s="50"/>
      <c r="N12" s="10"/>
    </row>
    <row r="13" ht="15.0" customHeight="1">
      <c r="A13" s="51">
        <v>1.0</v>
      </c>
      <c r="B13" s="52" t="s">
        <v>26</v>
      </c>
      <c r="C13" s="53" t="s">
        <v>27</v>
      </c>
      <c r="D13" s="54"/>
      <c r="E13" s="55">
        <f t="shared" ref="E13:J13" si="2">E12-E14</f>
        <v>0</v>
      </c>
      <c r="F13" s="55">
        <f t="shared" si="2"/>
        <v>0</v>
      </c>
      <c r="G13" s="55">
        <f t="shared" si="2"/>
        <v>0</v>
      </c>
      <c r="H13" s="55">
        <f t="shared" si="2"/>
        <v>0</v>
      </c>
      <c r="I13" s="55">
        <f t="shared" si="2"/>
        <v>0</v>
      </c>
      <c r="J13" s="55">
        <f t="shared" si="2"/>
        <v>0</v>
      </c>
      <c r="K13" s="56"/>
      <c r="L13" s="30"/>
      <c r="M13" s="57" t="s">
        <v>28</v>
      </c>
      <c r="N13" s="58" t="b">
        <v>0</v>
      </c>
    </row>
    <row r="14" ht="13.5" customHeight="1">
      <c r="A14" s="46" t="s">
        <v>29</v>
      </c>
      <c r="B14" s="59"/>
      <c r="C14" s="53" t="s">
        <v>30</v>
      </c>
      <c r="D14" s="54"/>
      <c r="E14" s="60"/>
      <c r="F14" s="60"/>
      <c r="G14" s="60"/>
      <c r="H14" s="60"/>
      <c r="I14" s="60"/>
      <c r="J14" s="60"/>
      <c r="K14" s="61" t="s">
        <v>30</v>
      </c>
      <c r="L14" s="62">
        <f>(E14*E11)+(F14*F11)+(G14*G11)+(H14*H11)+(I14*I11)+(J14*J11)</f>
        <v>0</v>
      </c>
      <c r="M14" s="57" t="s">
        <v>31</v>
      </c>
      <c r="N14" s="63" t="b">
        <v>0</v>
      </c>
    </row>
    <row r="15" ht="13.5" customHeight="1">
      <c r="A15" s="64" t="s">
        <v>32</v>
      </c>
      <c r="B15" s="65" t="s">
        <v>33</v>
      </c>
      <c r="C15" s="53" t="s">
        <v>34</v>
      </c>
      <c r="D15" s="54"/>
      <c r="E15" s="66"/>
      <c r="F15" s="66"/>
      <c r="G15" s="66"/>
      <c r="H15" s="66"/>
      <c r="I15" s="66"/>
      <c r="J15" s="66"/>
      <c r="K15" s="67" t="s">
        <v>35</v>
      </c>
      <c r="L15" s="62">
        <f>(E15*E11)+(F15*F11)+(G15*G11)+(H15*H11)+(I15*I11)+(J15*J11)</f>
        <v>0</v>
      </c>
      <c r="M15" s="57" t="s">
        <v>36</v>
      </c>
      <c r="N15" s="63" t="b">
        <v>0</v>
      </c>
    </row>
    <row r="16" ht="13.5" customHeight="1">
      <c r="A16" s="68"/>
      <c r="B16" s="69" t="str">
        <f>IFS(L16=0,"",B16&lt;&gt;"",B16,TRUE,NOW())</f>
        <v/>
      </c>
      <c r="C16" s="70" t="s">
        <v>37</v>
      </c>
      <c r="D16" s="33"/>
      <c r="E16" s="71"/>
      <c r="F16" s="71"/>
      <c r="G16" s="71"/>
      <c r="H16" s="71"/>
      <c r="I16" s="71"/>
      <c r="J16" s="71"/>
      <c r="K16" s="72" t="s">
        <v>38</v>
      </c>
      <c r="L16" s="73">
        <f>L15-L14</f>
        <v>0</v>
      </c>
      <c r="M16" s="74" t="s">
        <v>39</v>
      </c>
      <c r="N16" s="75" t="b">
        <v>0</v>
      </c>
    </row>
    <row r="17" ht="15.0" customHeight="1">
      <c r="A17" s="46" t="s">
        <v>40</v>
      </c>
      <c r="B17" s="52" t="s">
        <v>26</v>
      </c>
      <c r="C17" s="53" t="s">
        <v>27</v>
      </c>
      <c r="D17" s="54"/>
      <c r="E17" s="55">
        <f t="shared" ref="E17:J17" si="3">E15-E18</f>
        <v>0</v>
      </c>
      <c r="F17" s="55">
        <f t="shared" si="3"/>
        <v>0</v>
      </c>
      <c r="G17" s="55">
        <f t="shared" si="3"/>
        <v>0</v>
      </c>
      <c r="H17" s="55">
        <f t="shared" si="3"/>
        <v>0</v>
      </c>
      <c r="I17" s="55">
        <f t="shared" si="3"/>
        <v>0</v>
      </c>
      <c r="J17" s="55">
        <f t="shared" si="3"/>
        <v>0</v>
      </c>
      <c r="K17" s="56"/>
      <c r="L17" s="30"/>
      <c r="M17" s="57" t="s">
        <v>28</v>
      </c>
      <c r="N17" s="58" t="b">
        <v>0</v>
      </c>
    </row>
    <row r="18" ht="13.5" customHeight="1">
      <c r="A18" s="64" t="s">
        <v>41</v>
      </c>
      <c r="B18" s="59"/>
      <c r="C18" s="53" t="s">
        <v>30</v>
      </c>
      <c r="D18" s="54"/>
      <c r="E18" s="60"/>
      <c r="F18" s="60"/>
      <c r="G18" s="60"/>
      <c r="H18" s="60"/>
      <c r="I18" s="60"/>
      <c r="J18" s="60"/>
      <c r="K18" s="61" t="s">
        <v>30</v>
      </c>
      <c r="L18" s="62">
        <f>(E18*E11)+(F18*F11)+(G18*G11)+(H18*H11)+(I18*I11)+(J18*J11)</f>
        <v>0</v>
      </c>
      <c r="M18" s="57" t="s">
        <v>31</v>
      </c>
      <c r="N18" s="63" t="b">
        <v>0</v>
      </c>
    </row>
    <row r="19" ht="13.5" customHeight="1">
      <c r="A19" s="68"/>
      <c r="B19" s="65" t="s">
        <v>42</v>
      </c>
      <c r="C19" s="53" t="s">
        <v>34</v>
      </c>
      <c r="D19" s="54"/>
      <c r="E19" s="66"/>
      <c r="F19" s="76"/>
      <c r="G19" s="76"/>
      <c r="H19" s="76"/>
      <c r="I19" s="76"/>
      <c r="J19" s="76"/>
      <c r="K19" s="67" t="s">
        <v>35</v>
      </c>
      <c r="L19" s="62">
        <f>(E19*E11)+(F19*F11)+(G19*G11)+(H19*H11)+(I19*I11)+(J19*J11)</f>
        <v>0</v>
      </c>
      <c r="M19" s="57" t="s">
        <v>36</v>
      </c>
      <c r="N19" s="63" t="b">
        <v>0</v>
      </c>
    </row>
    <row r="20" ht="13.5" customHeight="1">
      <c r="A20" s="46" t="s">
        <v>43</v>
      </c>
      <c r="B20" s="69" t="str">
        <f>IFS(L20=0,"",B20&lt;&gt;"",B20,TRUE,NOW())</f>
        <v/>
      </c>
      <c r="C20" s="70" t="s">
        <v>37</v>
      </c>
      <c r="D20" s="33"/>
      <c r="E20" s="71"/>
      <c r="F20" s="71"/>
      <c r="G20" s="71"/>
      <c r="H20" s="71"/>
      <c r="I20" s="71"/>
      <c r="J20" s="71"/>
      <c r="K20" s="72" t="s">
        <v>38</v>
      </c>
      <c r="L20" s="73">
        <f>L19-L18</f>
        <v>0</v>
      </c>
      <c r="M20" s="74" t="s">
        <v>39</v>
      </c>
      <c r="N20" s="75" t="b">
        <v>0</v>
      </c>
    </row>
    <row r="21" ht="13.5" customHeight="1">
      <c r="A21" s="64" t="s">
        <v>44</v>
      </c>
      <c r="B21" s="52" t="s">
        <v>26</v>
      </c>
      <c r="C21" s="53" t="s">
        <v>27</v>
      </c>
      <c r="D21" s="54"/>
      <c r="E21" s="55">
        <f t="shared" ref="E21:J21" si="4">E19-E22</f>
        <v>0</v>
      </c>
      <c r="F21" s="55">
        <f t="shared" si="4"/>
        <v>0</v>
      </c>
      <c r="G21" s="55">
        <f t="shared" si="4"/>
        <v>0</v>
      </c>
      <c r="H21" s="55">
        <f t="shared" si="4"/>
        <v>0</v>
      </c>
      <c r="I21" s="55">
        <f t="shared" si="4"/>
        <v>0</v>
      </c>
      <c r="J21" s="55">
        <f t="shared" si="4"/>
        <v>0</v>
      </c>
      <c r="K21" s="56"/>
      <c r="L21" s="30"/>
      <c r="M21" s="57" t="s">
        <v>28</v>
      </c>
      <c r="N21" s="58" t="b">
        <v>0</v>
      </c>
    </row>
    <row r="22" ht="13.5" customHeight="1">
      <c r="A22" s="46" t="s">
        <v>45</v>
      </c>
      <c r="B22" s="59"/>
      <c r="C22" s="53" t="s">
        <v>30</v>
      </c>
      <c r="D22" s="54"/>
      <c r="E22" s="60"/>
      <c r="F22" s="60"/>
      <c r="G22" s="60"/>
      <c r="H22" s="60"/>
      <c r="I22" s="60"/>
      <c r="J22" s="60"/>
      <c r="K22" s="61" t="s">
        <v>30</v>
      </c>
      <c r="L22" s="62">
        <f>(E22*E11)+(F22*F11)+(G22*G11)+(H22*H11)+(I22*I11)+(J22*J11)</f>
        <v>0</v>
      </c>
      <c r="M22" s="57" t="s">
        <v>31</v>
      </c>
      <c r="N22" s="63" t="b">
        <v>0</v>
      </c>
    </row>
    <row r="23" ht="13.5" customHeight="1">
      <c r="A23" s="77" t="s">
        <v>46</v>
      </c>
      <c r="B23" s="65" t="s">
        <v>47</v>
      </c>
      <c r="C23" s="53" t="s">
        <v>34</v>
      </c>
      <c r="D23" s="54"/>
      <c r="E23" s="66"/>
      <c r="F23" s="76">
        <v>3.0</v>
      </c>
      <c r="G23" s="66"/>
      <c r="H23" s="76">
        <v>2.0</v>
      </c>
      <c r="I23" s="66"/>
      <c r="J23" s="76">
        <v>3.0</v>
      </c>
      <c r="K23" s="67" t="s">
        <v>35</v>
      </c>
      <c r="L23" s="62">
        <f>(E23*E11)+(F23*F11)+(G23*G11)+(H23*H11)+(I23*I11)+(J23*J11)</f>
        <v>246</v>
      </c>
      <c r="M23" s="57" t="s">
        <v>36</v>
      </c>
      <c r="N23" s="63" t="b">
        <v>0</v>
      </c>
    </row>
    <row r="24" ht="15.0" customHeight="1">
      <c r="A24" s="68"/>
      <c r="B24" s="69">
        <f>IFS(L24=0,"",B24&lt;&gt;"",B24,TRUE,NOW())</f>
        <v>46153.44025</v>
      </c>
      <c r="C24" s="70" t="s">
        <v>37</v>
      </c>
      <c r="D24" s="33"/>
      <c r="E24" s="71"/>
      <c r="F24" s="71"/>
      <c r="G24" s="71"/>
      <c r="H24" s="71"/>
      <c r="I24" s="71"/>
      <c r="J24" s="71"/>
      <c r="K24" s="72" t="s">
        <v>38</v>
      </c>
      <c r="L24" s="73">
        <f>L23-L22</f>
        <v>246</v>
      </c>
      <c r="M24" s="74" t="s">
        <v>39</v>
      </c>
      <c r="N24" s="75" t="b">
        <v>0</v>
      </c>
    </row>
    <row r="25" ht="13.5" customHeight="1">
      <c r="A25" s="78" t="s">
        <v>48</v>
      </c>
      <c r="B25" s="52" t="s">
        <v>26</v>
      </c>
      <c r="C25" s="53" t="s">
        <v>27</v>
      </c>
      <c r="D25" s="54"/>
      <c r="E25" s="55">
        <f t="shared" ref="E25:J25" si="5">E23-E26</f>
        <v>0</v>
      </c>
      <c r="F25" s="55">
        <f t="shared" si="5"/>
        <v>3</v>
      </c>
      <c r="G25" s="55">
        <f t="shared" si="5"/>
        <v>0</v>
      </c>
      <c r="H25" s="55">
        <f t="shared" si="5"/>
        <v>2</v>
      </c>
      <c r="I25" s="55">
        <f t="shared" si="5"/>
        <v>0</v>
      </c>
      <c r="J25" s="55">
        <f t="shared" si="5"/>
        <v>3</v>
      </c>
      <c r="K25" s="56"/>
      <c r="L25" s="30"/>
      <c r="M25" s="57" t="s">
        <v>28</v>
      </c>
      <c r="N25" s="58" t="b">
        <v>0</v>
      </c>
    </row>
    <row r="26" ht="13.5" customHeight="1">
      <c r="A26" s="79" t="s">
        <v>32</v>
      </c>
      <c r="B26" s="59"/>
      <c r="C26" s="53" t="s">
        <v>30</v>
      </c>
      <c r="D26" s="54"/>
      <c r="E26" s="60"/>
      <c r="F26" s="60"/>
      <c r="G26" s="60"/>
      <c r="H26" s="60"/>
      <c r="I26" s="60"/>
      <c r="J26" s="60"/>
      <c r="K26" s="61" t="s">
        <v>30</v>
      </c>
      <c r="L26" s="62">
        <f>(E26*E11)+(F26*F11)+(G26*G11)+(H26*H11)+(I26*I11)+(J26*J11)</f>
        <v>0</v>
      </c>
      <c r="M26" s="57" t="s">
        <v>31</v>
      </c>
      <c r="N26" s="63" t="b">
        <v>0</v>
      </c>
    </row>
    <row r="27" ht="13.5" customHeight="1">
      <c r="A27" s="68"/>
      <c r="B27" s="65" t="s">
        <v>49</v>
      </c>
      <c r="C27" s="53" t="s">
        <v>34</v>
      </c>
      <c r="D27" s="54"/>
      <c r="E27" s="66"/>
      <c r="F27" s="66"/>
      <c r="G27" s="66"/>
      <c r="H27" s="66"/>
      <c r="I27" s="66"/>
      <c r="J27" s="66"/>
      <c r="K27" s="67" t="s">
        <v>35</v>
      </c>
      <c r="L27" s="62">
        <f>(E27*E11)+(F27*F11)+(G27*G11)+(H27*H11)+(I27*I11)+(J27*J11)</f>
        <v>0</v>
      </c>
      <c r="M27" s="57" t="s">
        <v>36</v>
      </c>
      <c r="N27" s="63" t="b">
        <v>0</v>
      </c>
    </row>
    <row r="28" ht="13.5" customHeight="1">
      <c r="A28" s="80"/>
      <c r="B28" s="69" t="str">
        <f>IFS(L28=0,"",B28&lt;&gt;"",B28,TRUE,NOW())</f>
        <v/>
      </c>
      <c r="C28" s="53" t="s">
        <v>37</v>
      </c>
      <c r="D28" s="54"/>
      <c r="E28" s="81"/>
      <c r="F28" s="81"/>
      <c r="G28" s="81"/>
      <c r="H28" s="82"/>
      <c r="I28" s="81"/>
      <c r="J28" s="81"/>
      <c r="K28" s="72" t="s">
        <v>38</v>
      </c>
      <c r="L28" s="73">
        <f>L27-L26</f>
        <v>0</v>
      </c>
      <c r="M28" s="74" t="s">
        <v>39</v>
      </c>
      <c r="N28" s="75" t="b">
        <v>0</v>
      </c>
    </row>
    <row r="29" ht="13.5" customHeight="1">
      <c r="A29" s="83" t="s">
        <v>50</v>
      </c>
      <c r="B29" s="42" t="s">
        <v>20</v>
      </c>
      <c r="C29" s="24"/>
      <c r="D29" s="33"/>
      <c r="E29" s="43">
        <f t="shared" ref="E29:J29" si="6">E6</f>
        <v>17</v>
      </c>
      <c r="F29" s="43">
        <f t="shared" si="6"/>
        <v>27</v>
      </c>
      <c r="G29" s="43">
        <f t="shared" si="6"/>
        <v>27</v>
      </c>
      <c r="H29" s="43">
        <f t="shared" si="6"/>
        <v>27</v>
      </c>
      <c r="I29" s="43">
        <f t="shared" si="6"/>
        <v>32</v>
      </c>
      <c r="J29" s="44">
        <f t="shared" si="6"/>
        <v>37</v>
      </c>
      <c r="K29" s="42" t="s">
        <v>21</v>
      </c>
      <c r="L29" s="25"/>
      <c r="M29" s="45" t="s">
        <v>22</v>
      </c>
      <c r="N29" s="25"/>
    </row>
    <row r="30" ht="13.5" customHeight="1">
      <c r="A30" s="46" t="s">
        <v>23</v>
      </c>
      <c r="B30" s="47" t="s">
        <v>24</v>
      </c>
      <c r="C30" s="32" t="s">
        <v>25</v>
      </c>
      <c r="D30" s="33"/>
      <c r="E30" s="48"/>
      <c r="F30" s="48"/>
      <c r="G30" s="48"/>
      <c r="H30" s="48"/>
      <c r="I30" s="48"/>
      <c r="J30" s="48"/>
      <c r="K30" s="49"/>
      <c r="L30" s="25"/>
      <c r="M30" s="50"/>
      <c r="N30" s="10"/>
    </row>
    <row r="31" ht="15.0" customHeight="1">
      <c r="A31" s="51">
        <v>2.0</v>
      </c>
      <c r="B31" s="52" t="s">
        <v>51</v>
      </c>
      <c r="C31" s="53" t="s">
        <v>27</v>
      </c>
      <c r="D31" s="54"/>
      <c r="E31" s="55">
        <f t="shared" ref="E31:J31" si="7">E30-E32</f>
        <v>0</v>
      </c>
      <c r="F31" s="55">
        <f t="shared" si="7"/>
        <v>0</v>
      </c>
      <c r="G31" s="55">
        <f t="shared" si="7"/>
        <v>0</v>
      </c>
      <c r="H31" s="55">
        <f t="shared" si="7"/>
        <v>0</v>
      </c>
      <c r="I31" s="55">
        <f t="shared" si="7"/>
        <v>0</v>
      </c>
      <c r="J31" s="55">
        <f t="shared" si="7"/>
        <v>0</v>
      </c>
      <c r="K31" s="56"/>
      <c r="L31" s="30"/>
      <c r="M31" s="57" t="s">
        <v>28</v>
      </c>
      <c r="N31" s="58" t="b">
        <v>0</v>
      </c>
    </row>
    <row r="32" ht="13.5" customHeight="1">
      <c r="A32" s="46" t="s">
        <v>29</v>
      </c>
      <c r="B32" s="59"/>
      <c r="C32" s="53" t="s">
        <v>30</v>
      </c>
      <c r="D32" s="54"/>
      <c r="E32" s="60"/>
      <c r="F32" s="60"/>
      <c r="G32" s="60"/>
      <c r="H32" s="60"/>
      <c r="I32" s="60"/>
      <c r="J32" s="60"/>
      <c r="K32" s="61" t="s">
        <v>30</v>
      </c>
      <c r="L32" s="62">
        <f>(E32*E29)+(F32*F29)+(G32*G29)+(H32*H29)+(I32*I29)+(J32*J29)</f>
        <v>0</v>
      </c>
      <c r="M32" s="57" t="s">
        <v>31</v>
      </c>
      <c r="N32" s="63" t="b">
        <v>0</v>
      </c>
    </row>
    <row r="33" ht="13.5" customHeight="1">
      <c r="A33" s="64" t="s">
        <v>52</v>
      </c>
      <c r="B33" s="65" t="s">
        <v>33</v>
      </c>
      <c r="C33" s="53" t="s">
        <v>34</v>
      </c>
      <c r="D33" s="54"/>
      <c r="E33" s="66"/>
      <c r="F33" s="66"/>
      <c r="G33" s="66"/>
      <c r="H33" s="66"/>
      <c r="I33" s="66"/>
      <c r="J33" s="66"/>
      <c r="K33" s="67" t="s">
        <v>35</v>
      </c>
      <c r="L33" s="62">
        <f>(E33*E29)+(F33*F29)+(G33*G29)+(H33*H29)+(I33*I29)+(J33*J29)</f>
        <v>0</v>
      </c>
      <c r="M33" s="57" t="s">
        <v>36</v>
      </c>
      <c r="N33" s="63" t="b">
        <v>0</v>
      </c>
    </row>
    <row r="34" ht="13.5" customHeight="1">
      <c r="A34" s="68"/>
      <c r="B34" s="69" t="str">
        <f>IFS(L34=0,"",B34&lt;&gt;"",B34,TRUE,NOW())</f>
        <v/>
      </c>
      <c r="C34" s="70" t="s">
        <v>37</v>
      </c>
      <c r="D34" s="33"/>
      <c r="E34" s="71"/>
      <c r="F34" s="71"/>
      <c r="G34" s="71"/>
      <c r="H34" s="71"/>
      <c r="I34" s="71"/>
      <c r="J34" s="71"/>
      <c r="K34" s="72" t="s">
        <v>38</v>
      </c>
      <c r="L34" s="73">
        <f>L33-L32</f>
        <v>0</v>
      </c>
      <c r="M34" s="74" t="s">
        <v>39</v>
      </c>
      <c r="N34" s="75" t="b">
        <v>0</v>
      </c>
    </row>
    <row r="35" ht="13.5" customHeight="1">
      <c r="A35" s="46" t="s">
        <v>40</v>
      </c>
      <c r="B35" s="52" t="s">
        <v>51</v>
      </c>
      <c r="C35" s="53" t="s">
        <v>27</v>
      </c>
      <c r="D35" s="54"/>
      <c r="E35" s="55">
        <f t="shared" ref="E35:J35" si="8">E33-E36</f>
        <v>0</v>
      </c>
      <c r="F35" s="55">
        <f t="shared" si="8"/>
        <v>0</v>
      </c>
      <c r="G35" s="55">
        <f t="shared" si="8"/>
        <v>0</v>
      </c>
      <c r="H35" s="55">
        <f t="shared" si="8"/>
        <v>0</v>
      </c>
      <c r="I35" s="55">
        <f t="shared" si="8"/>
        <v>0</v>
      </c>
      <c r="J35" s="55">
        <f t="shared" si="8"/>
        <v>0</v>
      </c>
      <c r="K35" s="56"/>
      <c r="L35" s="30"/>
      <c r="M35" s="57" t="s">
        <v>28</v>
      </c>
      <c r="N35" s="58" t="b">
        <v>0</v>
      </c>
    </row>
    <row r="36" ht="15.0" customHeight="1">
      <c r="A36" s="64" t="s">
        <v>53</v>
      </c>
      <c r="B36" s="59"/>
      <c r="C36" s="53" t="s">
        <v>30</v>
      </c>
      <c r="D36" s="54"/>
      <c r="E36" s="60"/>
      <c r="F36" s="60"/>
      <c r="G36" s="60"/>
      <c r="H36" s="60"/>
      <c r="I36" s="84"/>
      <c r="J36" s="84"/>
      <c r="K36" s="61" t="s">
        <v>30</v>
      </c>
      <c r="L36" s="62">
        <f>(E36*E29)+(F36*F29)+(G36*G29)+(H36*H29)+(I36*I29)+(J36*J29)</f>
        <v>0</v>
      </c>
      <c r="M36" s="57" t="s">
        <v>31</v>
      </c>
      <c r="N36" s="63" t="b">
        <v>0</v>
      </c>
    </row>
    <row r="37" ht="13.5" customHeight="1">
      <c r="A37" s="68"/>
      <c r="B37" s="65" t="s">
        <v>42</v>
      </c>
      <c r="C37" s="53" t="s">
        <v>34</v>
      </c>
      <c r="D37" s="54"/>
      <c r="E37" s="66"/>
      <c r="F37" s="66"/>
      <c r="G37" s="66"/>
      <c r="H37" s="66"/>
      <c r="I37" s="66"/>
      <c r="J37" s="66"/>
      <c r="K37" s="67" t="s">
        <v>35</v>
      </c>
      <c r="L37" s="62">
        <f>(E37*E29)+(F37*F29)+(G37*G29)+(H37*H29)+(I37*I29)+(J37*J29)</f>
        <v>0</v>
      </c>
      <c r="M37" s="57" t="s">
        <v>36</v>
      </c>
      <c r="N37" s="63" t="b">
        <v>0</v>
      </c>
    </row>
    <row r="38" ht="13.5" customHeight="1">
      <c r="A38" s="46" t="s">
        <v>43</v>
      </c>
      <c r="B38" s="69" t="str">
        <f>IFS(L38=0,"",B38&lt;&gt;"",B38,TRUE,NOW())</f>
        <v/>
      </c>
      <c r="C38" s="70" t="s">
        <v>37</v>
      </c>
      <c r="D38" s="33"/>
      <c r="E38" s="71"/>
      <c r="F38" s="71"/>
      <c r="G38" s="71"/>
      <c r="H38" s="71"/>
      <c r="I38" s="71"/>
      <c r="J38" s="71"/>
      <c r="K38" s="72" t="s">
        <v>38</v>
      </c>
      <c r="L38" s="73">
        <f>L37-L36</f>
        <v>0</v>
      </c>
      <c r="M38" s="74" t="s">
        <v>39</v>
      </c>
      <c r="N38" s="75" t="b">
        <v>0</v>
      </c>
    </row>
    <row r="39" ht="13.5" customHeight="1">
      <c r="A39" s="64" t="s">
        <v>54</v>
      </c>
      <c r="B39" s="52" t="s">
        <v>51</v>
      </c>
      <c r="C39" s="53" t="s">
        <v>27</v>
      </c>
      <c r="D39" s="54"/>
      <c r="E39" s="55">
        <f t="shared" ref="E39:J39" si="9">E37-E40</f>
        <v>0</v>
      </c>
      <c r="F39" s="55">
        <f t="shared" si="9"/>
        <v>0</v>
      </c>
      <c r="G39" s="55">
        <f t="shared" si="9"/>
        <v>-2</v>
      </c>
      <c r="H39" s="55">
        <f t="shared" si="9"/>
        <v>-2</v>
      </c>
      <c r="I39" s="55">
        <f t="shared" si="9"/>
        <v>-1</v>
      </c>
      <c r="J39" s="55">
        <f t="shared" si="9"/>
        <v>0</v>
      </c>
      <c r="K39" s="56"/>
      <c r="L39" s="30"/>
      <c r="M39" s="57" t="s">
        <v>28</v>
      </c>
      <c r="N39" s="58" t="b">
        <v>0</v>
      </c>
    </row>
    <row r="40" ht="13.5" customHeight="1">
      <c r="A40" s="46" t="s">
        <v>45</v>
      </c>
      <c r="B40" s="59"/>
      <c r="C40" s="53" t="s">
        <v>30</v>
      </c>
      <c r="D40" s="54"/>
      <c r="E40" s="60"/>
      <c r="F40" s="60"/>
      <c r="G40" s="84">
        <v>2.0</v>
      </c>
      <c r="H40" s="84">
        <v>2.0</v>
      </c>
      <c r="I40" s="84">
        <v>1.0</v>
      </c>
      <c r="J40" s="60"/>
      <c r="K40" s="61" t="s">
        <v>30</v>
      </c>
      <c r="L40" s="62">
        <f>(E40*E29)+(F40*F29)+(G40*G29)+(H40*H29)+(I40*I29)+(J40*J29)</f>
        <v>140</v>
      </c>
      <c r="M40" s="57" t="s">
        <v>31</v>
      </c>
      <c r="N40" s="63" t="b">
        <v>0</v>
      </c>
    </row>
    <row r="41" ht="15.0" customHeight="1">
      <c r="A41" s="77" t="s">
        <v>55</v>
      </c>
      <c r="B41" s="65" t="s">
        <v>47</v>
      </c>
      <c r="C41" s="53" t="s">
        <v>34</v>
      </c>
      <c r="D41" s="54"/>
      <c r="E41" s="66"/>
      <c r="F41" s="76">
        <v>2.0</v>
      </c>
      <c r="G41" s="76">
        <v>2.0</v>
      </c>
      <c r="H41" s="76">
        <v>2.0</v>
      </c>
      <c r="I41" s="76">
        <v>2.0</v>
      </c>
      <c r="J41" s="76">
        <v>2.0</v>
      </c>
      <c r="K41" s="67" t="s">
        <v>35</v>
      </c>
      <c r="L41" s="62">
        <f>(E41*E29)+(F41*F29)+(G41*G29)+(H41*H29)+(I41*I29)+(J41*J29)</f>
        <v>300</v>
      </c>
      <c r="M41" s="57" t="s">
        <v>36</v>
      </c>
      <c r="N41" s="63" t="b">
        <v>0</v>
      </c>
    </row>
    <row r="42" ht="13.5" customHeight="1">
      <c r="A42" s="68"/>
      <c r="B42" s="69">
        <f>IFS(L42=0,"",B42&lt;&gt;"",B42,TRUE,NOW())</f>
        <v>46153.47222</v>
      </c>
      <c r="C42" s="70" t="s">
        <v>37</v>
      </c>
      <c r="D42" s="33"/>
      <c r="E42" s="71"/>
      <c r="F42" s="71"/>
      <c r="G42" s="71"/>
      <c r="H42" s="71"/>
      <c r="I42" s="71"/>
      <c r="J42" s="71"/>
      <c r="K42" s="72" t="s">
        <v>38</v>
      </c>
      <c r="L42" s="73">
        <f>L41-L40</f>
        <v>160</v>
      </c>
      <c r="M42" s="74" t="s">
        <v>39</v>
      </c>
      <c r="N42" s="75" t="b">
        <v>0</v>
      </c>
    </row>
    <row r="43" ht="13.5" customHeight="1">
      <c r="A43" s="78" t="s">
        <v>48</v>
      </c>
      <c r="B43" s="52" t="s">
        <v>51</v>
      </c>
      <c r="C43" s="53" t="s">
        <v>27</v>
      </c>
      <c r="D43" s="54"/>
      <c r="E43" s="55">
        <f t="shared" ref="E43:J43" si="10">E41-E44</f>
        <v>0</v>
      </c>
      <c r="F43" s="55">
        <f t="shared" si="10"/>
        <v>2</v>
      </c>
      <c r="G43" s="55">
        <f t="shared" si="10"/>
        <v>2</v>
      </c>
      <c r="H43" s="55">
        <f t="shared" si="10"/>
        <v>2</v>
      </c>
      <c r="I43" s="55">
        <f t="shared" si="10"/>
        <v>2</v>
      </c>
      <c r="J43" s="55">
        <f t="shared" si="10"/>
        <v>2</v>
      </c>
      <c r="K43" s="56"/>
      <c r="L43" s="30"/>
      <c r="M43" s="57" t="s">
        <v>28</v>
      </c>
      <c r="N43" s="58" t="b">
        <v>0</v>
      </c>
    </row>
    <row r="44" ht="13.5" customHeight="1">
      <c r="A44" s="79" t="s">
        <v>52</v>
      </c>
      <c r="B44" s="59"/>
      <c r="C44" s="53" t="s">
        <v>30</v>
      </c>
      <c r="D44" s="54"/>
      <c r="E44" s="60"/>
      <c r="F44" s="60"/>
      <c r="G44" s="60"/>
      <c r="H44" s="60"/>
      <c r="I44" s="60"/>
      <c r="J44" s="60"/>
      <c r="K44" s="61" t="s">
        <v>30</v>
      </c>
      <c r="L44" s="62">
        <f>(E44*E29)+(F44*F29)+(G44*G29)+(H44*H29)+(I44*I29)+(J44*J29)</f>
        <v>0</v>
      </c>
      <c r="M44" s="57" t="s">
        <v>31</v>
      </c>
      <c r="N44" s="63" t="b">
        <v>0</v>
      </c>
    </row>
    <row r="45" ht="13.5" customHeight="1">
      <c r="A45" s="68"/>
      <c r="B45" s="65" t="s">
        <v>49</v>
      </c>
      <c r="C45" s="53" t="s">
        <v>34</v>
      </c>
      <c r="D45" s="54"/>
      <c r="E45" s="66"/>
      <c r="F45" s="66"/>
      <c r="G45" s="66"/>
      <c r="H45" s="66"/>
      <c r="I45" s="66"/>
      <c r="J45" s="66"/>
      <c r="K45" s="67" t="s">
        <v>35</v>
      </c>
      <c r="L45" s="62">
        <f>(E45*E29)+(F45*F29)+(G45*G29)+(H45*H29)+(I45*I29)+(J45*J29)</f>
        <v>0</v>
      </c>
      <c r="M45" s="57" t="s">
        <v>36</v>
      </c>
      <c r="N45" s="63" t="b">
        <v>0</v>
      </c>
    </row>
    <row r="46" ht="15.0" customHeight="1">
      <c r="A46" s="80"/>
      <c r="B46" s="69" t="str">
        <f>IFS(L46=0,"",B46&lt;&gt;"",B46,TRUE,NOW())</f>
        <v/>
      </c>
      <c r="C46" s="53" t="s">
        <v>37</v>
      </c>
      <c r="D46" s="54"/>
      <c r="E46" s="81"/>
      <c r="F46" s="81"/>
      <c r="G46" s="81"/>
      <c r="H46" s="82"/>
      <c r="I46" s="81"/>
      <c r="J46" s="81"/>
      <c r="K46" s="72" t="s">
        <v>38</v>
      </c>
      <c r="L46" s="73">
        <f>L45-L44</f>
        <v>0</v>
      </c>
      <c r="M46" s="74" t="s">
        <v>39</v>
      </c>
      <c r="N46" s="75" t="b">
        <v>0</v>
      </c>
    </row>
    <row r="47" ht="13.5" customHeight="1">
      <c r="A47" s="83" t="s">
        <v>56</v>
      </c>
      <c r="B47" s="42" t="s">
        <v>20</v>
      </c>
      <c r="C47" s="24"/>
      <c r="D47" s="33"/>
      <c r="E47" s="43">
        <f t="shared" ref="E47:J47" si="11">E6</f>
        <v>17</v>
      </c>
      <c r="F47" s="43">
        <f t="shared" si="11"/>
        <v>27</v>
      </c>
      <c r="G47" s="43">
        <f t="shared" si="11"/>
        <v>27</v>
      </c>
      <c r="H47" s="43">
        <f t="shared" si="11"/>
        <v>27</v>
      </c>
      <c r="I47" s="43">
        <f t="shared" si="11"/>
        <v>32</v>
      </c>
      <c r="J47" s="44">
        <f t="shared" si="11"/>
        <v>37</v>
      </c>
      <c r="K47" s="42" t="s">
        <v>21</v>
      </c>
      <c r="L47" s="25"/>
      <c r="M47" s="45" t="s">
        <v>22</v>
      </c>
      <c r="N47" s="25"/>
    </row>
    <row r="48" ht="13.5" customHeight="1">
      <c r="A48" s="46" t="s">
        <v>23</v>
      </c>
      <c r="B48" s="47" t="s">
        <v>24</v>
      </c>
      <c r="C48" s="32" t="s">
        <v>25</v>
      </c>
      <c r="D48" s="33"/>
      <c r="E48" s="48"/>
      <c r="F48" s="48"/>
      <c r="G48" s="48"/>
      <c r="H48" s="48"/>
      <c r="I48" s="48"/>
      <c r="J48" s="48"/>
      <c r="K48" s="49"/>
      <c r="L48" s="25"/>
      <c r="M48" s="50"/>
      <c r="N48" s="10"/>
    </row>
    <row r="49" ht="13.5" customHeight="1">
      <c r="A49" s="51">
        <v>3.0</v>
      </c>
      <c r="B49" s="52" t="s">
        <v>57</v>
      </c>
      <c r="C49" s="53" t="s">
        <v>27</v>
      </c>
      <c r="D49" s="54"/>
      <c r="E49" s="55">
        <f t="shared" ref="E49:J49" si="12">E48-E50</f>
        <v>0</v>
      </c>
      <c r="F49" s="55">
        <f t="shared" si="12"/>
        <v>0</v>
      </c>
      <c r="G49" s="55">
        <f t="shared" si="12"/>
        <v>0</v>
      </c>
      <c r="H49" s="55">
        <f t="shared" si="12"/>
        <v>0</v>
      </c>
      <c r="I49" s="55">
        <f t="shared" si="12"/>
        <v>0</v>
      </c>
      <c r="J49" s="55">
        <f t="shared" si="12"/>
        <v>0</v>
      </c>
      <c r="K49" s="56"/>
      <c r="L49" s="30"/>
      <c r="M49" s="57" t="s">
        <v>28</v>
      </c>
      <c r="N49" s="58" t="b">
        <v>0</v>
      </c>
    </row>
    <row r="50" ht="13.5" customHeight="1">
      <c r="A50" s="46" t="s">
        <v>29</v>
      </c>
      <c r="B50" s="59"/>
      <c r="C50" s="53" t="s">
        <v>30</v>
      </c>
      <c r="D50" s="54"/>
      <c r="E50" s="60"/>
      <c r="F50" s="60"/>
      <c r="G50" s="60"/>
      <c r="H50" s="60"/>
      <c r="I50" s="60"/>
      <c r="J50" s="60"/>
      <c r="K50" s="61" t="s">
        <v>30</v>
      </c>
      <c r="L50" s="62">
        <f>(E50*E47)+(F50*F47)+(G50*G47)+(H50*H47)+(I50*I47)+(J50*J47)</f>
        <v>0</v>
      </c>
      <c r="M50" s="57" t="s">
        <v>31</v>
      </c>
      <c r="N50" s="63" t="b">
        <v>0</v>
      </c>
    </row>
    <row r="51" ht="13.5" customHeight="1">
      <c r="A51" s="64" t="s">
        <v>58</v>
      </c>
      <c r="B51" s="65" t="s">
        <v>33</v>
      </c>
      <c r="C51" s="53" t="s">
        <v>34</v>
      </c>
      <c r="D51" s="54"/>
      <c r="E51" s="66"/>
      <c r="F51" s="66"/>
      <c r="G51" s="66"/>
      <c r="H51" s="66"/>
      <c r="I51" s="66"/>
      <c r="J51" s="66"/>
      <c r="K51" s="67" t="s">
        <v>35</v>
      </c>
      <c r="L51" s="62">
        <f>(E51*E47)+(F51*F47)+(G51*G47)+(H51*H47)+(I51*I47)+(J51*J47)</f>
        <v>0</v>
      </c>
      <c r="M51" s="57" t="s">
        <v>36</v>
      </c>
      <c r="N51" s="63" t="b">
        <v>0</v>
      </c>
    </row>
    <row r="52" ht="13.5" customHeight="1">
      <c r="A52" s="68"/>
      <c r="B52" s="69" t="str">
        <f>IFS(L52=0,"",B52&lt;&gt;"",B52,TRUE,NOW())</f>
        <v/>
      </c>
      <c r="C52" s="70" t="s">
        <v>37</v>
      </c>
      <c r="D52" s="33"/>
      <c r="E52" s="71"/>
      <c r="F52" s="71"/>
      <c r="G52" s="71"/>
      <c r="H52" s="71"/>
      <c r="I52" s="71"/>
      <c r="J52" s="71"/>
      <c r="K52" s="72" t="s">
        <v>38</v>
      </c>
      <c r="L52" s="73">
        <f>L51-L50</f>
        <v>0</v>
      </c>
      <c r="M52" s="74" t="s">
        <v>39</v>
      </c>
      <c r="N52" s="75" t="b">
        <v>0</v>
      </c>
    </row>
    <row r="53" ht="15.0" customHeight="1">
      <c r="A53" s="46" t="s">
        <v>40</v>
      </c>
      <c r="B53" s="52" t="s">
        <v>57</v>
      </c>
      <c r="C53" s="53" t="s">
        <v>27</v>
      </c>
      <c r="D53" s="54"/>
      <c r="E53" s="55">
        <f t="shared" ref="E53:J53" si="13">E51-E54</f>
        <v>0</v>
      </c>
      <c r="F53" s="55">
        <f t="shared" si="13"/>
        <v>0</v>
      </c>
      <c r="G53" s="55">
        <f t="shared" si="13"/>
        <v>0</v>
      </c>
      <c r="H53" s="55">
        <f t="shared" si="13"/>
        <v>0</v>
      </c>
      <c r="I53" s="55">
        <f t="shared" si="13"/>
        <v>-2</v>
      </c>
      <c r="J53" s="55">
        <f t="shared" si="13"/>
        <v>0</v>
      </c>
      <c r="K53" s="56"/>
      <c r="L53" s="30"/>
      <c r="M53" s="57" t="s">
        <v>28</v>
      </c>
      <c r="N53" s="58" t="b">
        <v>0</v>
      </c>
    </row>
    <row r="54" ht="13.5" customHeight="1">
      <c r="A54" s="64" t="s">
        <v>59</v>
      </c>
      <c r="B54" s="59"/>
      <c r="C54" s="53" t="s">
        <v>30</v>
      </c>
      <c r="D54" s="54"/>
      <c r="E54" s="60"/>
      <c r="F54" s="60"/>
      <c r="G54" s="84"/>
      <c r="H54" s="60"/>
      <c r="I54" s="84">
        <v>2.0</v>
      </c>
      <c r="J54" s="84"/>
      <c r="K54" s="61" t="s">
        <v>30</v>
      </c>
      <c r="L54" s="62">
        <f>(E54*E47)+(F54*F47)+(G54*G47)+(H54*H47)+(I54*I47)+(J54*J47)</f>
        <v>64</v>
      </c>
      <c r="M54" s="57" t="s">
        <v>31</v>
      </c>
      <c r="N54" s="63" t="b">
        <v>0</v>
      </c>
    </row>
    <row r="55" ht="13.5" customHeight="1">
      <c r="A55" s="68"/>
      <c r="B55" s="65" t="s">
        <v>42</v>
      </c>
      <c r="C55" s="53" t="s">
        <v>34</v>
      </c>
      <c r="D55" s="54"/>
      <c r="E55" s="66"/>
      <c r="F55" s="76">
        <v>4.0</v>
      </c>
      <c r="G55" s="76">
        <v>1.0</v>
      </c>
      <c r="H55" s="76">
        <v>3.0</v>
      </c>
      <c r="I55" s="76">
        <v>3.0</v>
      </c>
      <c r="J55" s="76">
        <v>3.0</v>
      </c>
      <c r="K55" s="67" t="s">
        <v>35</v>
      </c>
      <c r="L55" s="62">
        <f>(E55*E47)+(F55*F47)+(G55*G47)+(H55*H47)+(I55*I47)+(J55*J47)</f>
        <v>423</v>
      </c>
      <c r="M55" s="57" t="s">
        <v>36</v>
      </c>
      <c r="N55" s="63" t="b">
        <v>0</v>
      </c>
    </row>
    <row r="56" ht="13.5" customHeight="1">
      <c r="A56" s="46" t="s">
        <v>43</v>
      </c>
      <c r="B56" s="69">
        <f>IFS(L56=0,"",B56&lt;&gt;"",B56,TRUE,NOW())</f>
        <v>46146.65507</v>
      </c>
      <c r="C56" s="70" t="s">
        <v>37</v>
      </c>
      <c r="D56" s="33"/>
      <c r="E56" s="71"/>
      <c r="F56" s="71"/>
      <c r="G56" s="71"/>
      <c r="H56" s="71"/>
      <c r="I56" s="71"/>
      <c r="J56" s="71"/>
      <c r="K56" s="72" t="s">
        <v>38</v>
      </c>
      <c r="L56" s="73">
        <f>L55-L54</f>
        <v>359</v>
      </c>
      <c r="M56" s="74" t="s">
        <v>39</v>
      </c>
      <c r="N56" s="75" t="b">
        <v>0</v>
      </c>
    </row>
    <row r="57" ht="13.5" customHeight="1">
      <c r="A57" s="64" t="s">
        <v>60</v>
      </c>
      <c r="B57" s="52" t="s">
        <v>57</v>
      </c>
      <c r="C57" s="53" t="s">
        <v>27</v>
      </c>
      <c r="D57" s="54"/>
      <c r="E57" s="55">
        <f t="shared" ref="E57:J57" si="14">E55-E58</f>
        <v>0</v>
      </c>
      <c r="F57" s="55">
        <f t="shared" si="14"/>
        <v>3</v>
      </c>
      <c r="G57" s="55">
        <f t="shared" si="14"/>
        <v>-1</v>
      </c>
      <c r="H57" s="55">
        <f t="shared" si="14"/>
        <v>1</v>
      </c>
      <c r="I57" s="55">
        <f t="shared" si="14"/>
        <v>3</v>
      </c>
      <c r="J57" s="55">
        <f t="shared" si="14"/>
        <v>0</v>
      </c>
      <c r="K57" s="56"/>
      <c r="L57" s="30"/>
      <c r="M57" s="57" t="s">
        <v>28</v>
      </c>
      <c r="N57" s="58" t="b">
        <v>0</v>
      </c>
    </row>
    <row r="58" ht="15.0" customHeight="1">
      <c r="A58" s="46" t="s">
        <v>45</v>
      </c>
      <c r="B58" s="59"/>
      <c r="C58" s="53" t="s">
        <v>30</v>
      </c>
      <c r="D58" s="54"/>
      <c r="E58" s="60"/>
      <c r="F58" s="84">
        <v>1.0</v>
      </c>
      <c r="G58" s="84">
        <v>2.0</v>
      </c>
      <c r="H58" s="84">
        <v>2.0</v>
      </c>
      <c r="I58" s="60"/>
      <c r="J58" s="84">
        <v>3.0</v>
      </c>
      <c r="K58" s="61" t="s">
        <v>30</v>
      </c>
      <c r="L58" s="62">
        <f>(E58*E47)+(F58*F47)+(G58*G47)+(H58*H47)+(I58*I47)+(J58*J47)</f>
        <v>246</v>
      </c>
      <c r="M58" s="57" t="s">
        <v>31</v>
      </c>
      <c r="N58" s="63" t="b">
        <v>0</v>
      </c>
    </row>
    <row r="59" ht="13.5" customHeight="1">
      <c r="A59" s="77" t="s">
        <v>61</v>
      </c>
      <c r="B59" s="65" t="s">
        <v>47</v>
      </c>
      <c r="C59" s="53" t="s">
        <v>34</v>
      </c>
      <c r="D59" s="54"/>
      <c r="E59" s="66"/>
      <c r="F59" s="76">
        <v>1.0</v>
      </c>
      <c r="G59" s="76">
        <v>2.0</v>
      </c>
      <c r="H59" s="76">
        <v>2.0</v>
      </c>
      <c r="I59" s="66"/>
      <c r="J59" s="76">
        <v>3.0</v>
      </c>
      <c r="K59" s="67" t="s">
        <v>35</v>
      </c>
      <c r="L59" s="62">
        <f>(E59*E47)+(F59*F47)+(G59*G47)+(H59*H47)+(I59*I47)+(J59*J47)</f>
        <v>246</v>
      </c>
      <c r="M59" s="57" t="s">
        <v>36</v>
      </c>
      <c r="N59" s="63" t="b">
        <v>0</v>
      </c>
    </row>
    <row r="60" ht="13.5" customHeight="1">
      <c r="A60" s="68"/>
      <c r="B60" s="69" t="str">
        <f>IFS(L60=0,"",B60&lt;&gt;"",B60,TRUE,NOW())</f>
        <v/>
      </c>
      <c r="C60" s="70" t="s">
        <v>37</v>
      </c>
      <c r="D60" s="33"/>
      <c r="E60" s="71"/>
      <c r="F60" s="71"/>
      <c r="G60" s="71"/>
      <c r="H60" s="71"/>
      <c r="I60" s="71"/>
      <c r="J60" s="71"/>
      <c r="K60" s="72" t="s">
        <v>38</v>
      </c>
      <c r="L60" s="73">
        <f>L59-L58</f>
        <v>0</v>
      </c>
      <c r="M60" s="74" t="s">
        <v>39</v>
      </c>
      <c r="N60" s="75" t="b">
        <v>0</v>
      </c>
    </row>
    <row r="61" ht="13.5" customHeight="1">
      <c r="A61" s="78" t="s">
        <v>48</v>
      </c>
      <c r="B61" s="52" t="s">
        <v>57</v>
      </c>
      <c r="C61" s="53" t="s">
        <v>27</v>
      </c>
      <c r="D61" s="54"/>
      <c r="E61" s="55">
        <f t="shared" ref="E61:J61" si="15">E59-E62</f>
        <v>0</v>
      </c>
      <c r="F61" s="55">
        <f t="shared" si="15"/>
        <v>1</v>
      </c>
      <c r="G61" s="55">
        <f t="shared" si="15"/>
        <v>2</v>
      </c>
      <c r="H61" s="55">
        <f t="shared" si="15"/>
        <v>2</v>
      </c>
      <c r="I61" s="55">
        <f t="shared" si="15"/>
        <v>0</v>
      </c>
      <c r="J61" s="55">
        <f t="shared" si="15"/>
        <v>3</v>
      </c>
      <c r="K61" s="56"/>
      <c r="L61" s="30"/>
      <c r="M61" s="57" t="s">
        <v>28</v>
      </c>
      <c r="N61" s="58" t="b">
        <v>0</v>
      </c>
    </row>
    <row r="62" ht="13.5" customHeight="1">
      <c r="A62" s="79" t="s">
        <v>58</v>
      </c>
      <c r="B62" s="59"/>
      <c r="C62" s="53" t="s">
        <v>30</v>
      </c>
      <c r="D62" s="54"/>
      <c r="E62" s="60"/>
      <c r="F62" s="60"/>
      <c r="G62" s="60"/>
      <c r="H62" s="60"/>
      <c r="I62" s="60"/>
      <c r="J62" s="60"/>
      <c r="K62" s="61" t="s">
        <v>30</v>
      </c>
      <c r="L62" s="62">
        <f>(E62*E47)+(F62*F47)+(G62*G47)+(H62*H47)+(I62*I47)+(J62*J47)</f>
        <v>0</v>
      </c>
      <c r="M62" s="57" t="s">
        <v>31</v>
      </c>
      <c r="N62" s="63" t="b">
        <v>0</v>
      </c>
    </row>
    <row r="63" ht="15.0" customHeight="1">
      <c r="A63" s="68"/>
      <c r="B63" s="65" t="s">
        <v>49</v>
      </c>
      <c r="C63" s="53" t="s">
        <v>34</v>
      </c>
      <c r="D63" s="54"/>
      <c r="E63" s="66"/>
      <c r="F63" s="66"/>
      <c r="G63" s="66"/>
      <c r="H63" s="66"/>
      <c r="I63" s="66"/>
      <c r="J63" s="66"/>
      <c r="K63" s="67" t="s">
        <v>35</v>
      </c>
      <c r="L63" s="62">
        <f>(E63*E47)+(F63*F47)+(G63*G47)+(H63*H47)+(I63*I47)+(J63*J47)</f>
        <v>0</v>
      </c>
      <c r="M63" s="57" t="s">
        <v>36</v>
      </c>
      <c r="N63" s="63" t="b">
        <v>0</v>
      </c>
    </row>
    <row r="64" ht="13.5" customHeight="1">
      <c r="A64" s="80"/>
      <c r="B64" s="69" t="str">
        <f>IFS(L64=0,"",B64&lt;&gt;"",B64,TRUE,NOW())</f>
        <v/>
      </c>
      <c r="C64" s="53" t="s">
        <v>37</v>
      </c>
      <c r="D64" s="54"/>
      <c r="E64" s="81"/>
      <c r="F64" s="81"/>
      <c r="G64" s="81"/>
      <c r="H64" s="82"/>
      <c r="I64" s="81"/>
      <c r="J64" s="81"/>
      <c r="K64" s="72" t="s">
        <v>38</v>
      </c>
      <c r="L64" s="73">
        <f>L63-L62</f>
        <v>0</v>
      </c>
      <c r="M64" s="74" t="s">
        <v>39</v>
      </c>
      <c r="N64" s="75" t="b">
        <v>0</v>
      </c>
    </row>
    <row r="65" ht="13.5" customHeight="1">
      <c r="A65" s="83" t="s">
        <v>62</v>
      </c>
      <c r="B65" s="42" t="s">
        <v>20</v>
      </c>
      <c r="C65" s="24"/>
      <c r="D65" s="33"/>
      <c r="E65" s="43">
        <f t="shared" ref="E65:J65" si="16">E6</f>
        <v>17</v>
      </c>
      <c r="F65" s="43">
        <f t="shared" si="16"/>
        <v>27</v>
      </c>
      <c r="G65" s="43">
        <f t="shared" si="16"/>
        <v>27</v>
      </c>
      <c r="H65" s="43">
        <f t="shared" si="16"/>
        <v>27</v>
      </c>
      <c r="I65" s="43">
        <f t="shared" si="16"/>
        <v>32</v>
      </c>
      <c r="J65" s="44">
        <f t="shared" si="16"/>
        <v>37</v>
      </c>
      <c r="K65" s="42" t="s">
        <v>21</v>
      </c>
      <c r="L65" s="25"/>
      <c r="M65" s="45" t="s">
        <v>22</v>
      </c>
      <c r="N65" s="25"/>
    </row>
    <row r="66" ht="13.5" customHeight="1">
      <c r="A66" s="46" t="s">
        <v>23</v>
      </c>
      <c r="B66" s="47" t="s">
        <v>24</v>
      </c>
      <c r="C66" s="32" t="s">
        <v>25</v>
      </c>
      <c r="D66" s="33"/>
      <c r="E66" s="48"/>
      <c r="F66" s="48"/>
      <c r="G66" s="48"/>
      <c r="H66" s="48"/>
      <c r="I66" s="48"/>
      <c r="J66" s="48"/>
      <c r="K66" s="49"/>
      <c r="L66" s="25"/>
      <c r="M66" s="50"/>
      <c r="N66" s="10"/>
    </row>
    <row r="67" ht="13.5" customHeight="1">
      <c r="A67" s="51">
        <v>4.0</v>
      </c>
      <c r="B67" s="52" t="s">
        <v>63</v>
      </c>
      <c r="C67" s="53" t="s">
        <v>27</v>
      </c>
      <c r="D67" s="54"/>
      <c r="E67" s="55">
        <f t="shared" ref="E67:J67" si="17">E66-E68</f>
        <v>0</v>
      </c>
      <c r="F67" s="55">
        <f t="shared" si="17"/>
        <v>0</v>
      </c>
      <c r="G67" s="55">
        <f t="shared" si="17"/>
        <v>0</v>
      </c>
      <c r="H67" s="55">
        <f t="shared" si="17"/>
        <v>0</v>
      </c>
      <c r="I67" s="55">
        <f t="shared" si="17"/>
        <v>0</v>
      </c>
      <c r="J67" s="55">
        <f t="shared" si="17"/>
        <v>0</v>
      </c>
      <c r="K67" s="56"/>
      <c r="L67" s="30"/>
      <c r="M67" s="57" t="s">
        <v>28</v>
      </c>
      <c r="N67" s="58" t="b">
        <v>0</v>
      </c>
    </row>
    <row r="68" ht="15.0" customHeight="1">
      <c r="A68" s="46" t="s">
        <v>29</v>
      </c>
      <c r="B68" s="59"/>
      <c r="C68" s="53" t="s">
        <v>30</v>
      </c>
      <c r="D68" s="54"/>
      <c r="E68" s="60"/>
      <c r="F68" s="60"/>
      <c r="G68" s="60"/>
      <c r="H68" s="60"/>
      <c r="I68" s="60"/>
      <c r="J68" s="60"/>
      <c r="K68" s="61" t="s">
        <v>30</v>
      </c>
      <c r="L68" s="62">
        <f>(E68*E65)+(F68*F65)+(G68*G65)+(H68*H65)+(I68*I65)+(J68*J65)</f>
        <v>0</v>
      </c>
      <c r="M68" s="57" t="s">
        <v>31</v>
      </c>
      <c r="N68" s="63" t="b">
        <v>0</v>
      </c>
    </row>
    <row r="69" ht="13.5" customHeight="1">
      <c r="A69" s="64" t="s">
        <v>64</v>
      </c>
      <c r="B69" s="65" t="s">
        <v>33</v>
      </c>
      <c r="C69" s="53" t="s">
        <v>34</v>
      </c>
      <c r="D69" s="54"/>
      <c r="E69" s="66"/>
      <c r="F69" s="66"/>
      <c r="G69" s="66"/>
      <c r="H69" s="66"/>
      <c r="I69" s="66"/>
      <c r="J69" s="66"/>
      <c r="K69" s="67" t="s">
        <v>35</v>
      </c>
      <c r="L69" s="62">
        <f>(E69*E65)+(F69*F65)+(G69*G65)+(H69*H65)+(I69*I65)+(J69*J65)</f>
        <v>0</v>
      </c>
      <c r="M69" s="57" t="s">
        <v>36</v>
      </c>
      <c r="N69" s="63" t="b">
        <v>0</v>
      </c>
    </row>
    <row r="70" ht="13.5" customHeight="1">
      <c r="A70" s="68"/>
      <c r="B70" s="69" t="str">
        <f>IFS(L70=0,"",B70&lt;&gt;"",B70,TRUE,NOW())</f>
        <v/>
      </c>
      <c r="C70" s="70" t="s">
        <v>37</v>
      </c>
      <c r="D70" s="33"/>
      <c r="E70" s="71"/>
      <c r="F70" s="71"/>
      <c r="G70" s="71"/>
      <c r="H70" s="71"/>
      <c r="I70" s="71"/>
      <c r="J70" s="71"/>
      <c r="K70" s="72" t="s">
        <v>38</v>
      </c>
      <c r="L70" s="73">
        <f>L69-L68</f>
        <v>0</v>
      </c>
      <c r="M70" s="74" t="s">
        <v>39</v>
      </c>
      <c r="N70" s="75" t="b">
        <v>0</v>
      </c>
    </row>
    <row r="71" ht="13.5" customHeight="1">
      <c r="A71" s="46" t="s">
        <v>40</v>
      </c>
      <c r="B71" s="52" t="s">
        <v>63</v>
      </c>
      <c r="C71" s="53" t="s">
        <v>27</v>
      </c>
      <c r="D71" s="54"/>
      <c r="E71" s="55">
        <f t="shared" ref="E71:J71" si="18">E69-E72</f>
        <v>0</v>
      </c>
      <c r="F71" s="55">
        <f t="shared" si="18"/>
        <v>0</v>
      </c>
      <c r="G71" s="55">
        <f t="shared" si="18"/>
        <v>0</v>
      </c>
      <c r="H71" s="55">
        <f t="shared" si="18"/>
        <v>0</v>
      </c>
      <c r="I71" s="55">
        <f t="shared" si="18"/>
        <v>0</v>
      </c>
      <c r="J71" s="55">
        <f t="shared" si="18"/>
        <v>0</v>
      </c>
      <c r="K71" s="56"/>
      <c r="L71" s="30"/>
      <c r="M71" s="57" t="s">
        <v>28</v>
      </c>
      <c r="N71" s="58" t="b">
        <v>0</v>
      </c>
    </row>
    <row r="72" ht="13.5" customHeight="1">
      <c r="A72" s="64"/>
      <c r="B72" s="59"/>
      <c r="C72" s="53" t="s">
        <v>30</v>
      </c>
      <c r="D72" s="54"/>
      <c r="E72" s="60"/>
      <c r="F72" s="60"/>
      <c r="G72" s="60"/>
      <c r="H72" s="84"/>
      <c r="I72" s="60"/>
      <c r="J72" s="60"/>
      <c r="K72" s="61" t="s">
        <v>30</v>
      </c>
      <c r="L72" s="62">
        <f>(E72*E65)+(F72*F65)+(G72*G65)+(H72*H65)+(I72*I65)+(J72*J65)</f>
        <v>0</v>
      </c>
      <c r="M72" s="57" t="s">
        <v>31</v>
      </c>
      <c r="N72" s="63" t="b">
        <v>0</v>
      </c>
    </row>
    <row r="73" ht="13.5" customHeight="1">
      <c r="A73" s="68"/>
      <c r="B73" s="65" t="s">
        <v>42</v>
      </c>
      <c r="C73" s="53" t="s">
        <v>34</v>
      </c>
      <c r="D73" s="54"/>
      <c r="E73" s="66"/>
      <c r="F73" s="66"/>
      <c r="G73" s="76"/>
      <c r="H73" s="76"/>
      <c r="I73" s="76"/>
      <c r="J73" s="76"/>
      <c r="K73" s="67" t="s">
        <v>35</v>
      </c>
      <c r="L73" s="62">
        <f>(E73*E65)+(F73*F65)+(G73*G65)+(H73*H65)+(I73*I65)+(J73*J65)</f>
        <v>0</v>
      </c>
      <c r="M73" s="57" t="s">
        <v>36</v>
      </c>
      <c r="N73" s="63" t="b">
        <v>0</v>
      </c>
    </row>
    <row r="74" ht="13.5" customHeight="1">
      <c r="A74" s="46" t="s">
        <v>43</v>
      </c>
      <c r="B74" s="69" t="str">
        <f>IFS(L74=0,"",B74&lt;&gt;"",B74,TRUE,NOW())</f>
        <v/>
      </c>
      <c r="C74" s="70" t="s">
        <v>37</v>
      </c>
      <c r="D74" s="33"/>
      <c r="E74" s="71"/>
      <c r="F74" s="71"/>
      <c r="G74" s="71"/>
      <c r="H74" s="71"/>
      <c r="I74" s="71"/>
      <c r="J74" s="71"/>
      <c r="K74" s="72" t="s">
        <v>38</v>
      </c>
      <c r="L74" s="73">
        <f>L73-L72</f>
        <v>0</v>
      </c>
      <c r="M74" s="74" t="s">
        <v>39</v>
      </c>
      <c r="N74" s="75" t="b">
        <v>0</v>
      </c>
    </row>
    <row r="75" ht="15.0" customHeight="1">
      <c r="A75" s="64"/>
      <c r="B75" s="52" t="s">
        <v>63</v>
      </c>
      <c r="C75" s="53" t="s">
        <v>27</v>
      </c>
      <c r="D75" s="54"/>
      <c r="E75" s="55">
        <f t="shared" ref="E75:J75" si="19">E73-E76</f>
        <v>0</v>
      </c>
      <c r="F75" s="55">
        <f t="shared" si="19"/>
        <v>-3</v>
      </c>
      <c r="G75" s="55">
        <f t="shared" si="19"/>
        <v>-1</v>
      </c>
      <c r="H75" s="55">
        <f t="shared" si="19"/>
        <v>-1</v>
      </c>
      <c r="I75" s="55">
        <f t="shared" si="19"/>
        <v>-1</v>
      </c>
      <c r="J75" s="55">
        <f t="shared" si="19"/>
        <v>-2</v>
      </c>
      <c r="K75" s="56"/>
      <c r="L75" s="30"/>
      <c r="M75" s="57" t="s">
        <v>28</v>
      </c>
      <c r="N75" s="58" t="b">
        <v>0</v>
      </c>
    </row>
    <row r="76" ht="13.5" customHeight="1">
      <c r="A76" s="46" t="s">
        <v>45</v>
      </c>
      <c r="B76" s="59"/>
      <c r="C76" s="53" t="s">
        <v>30</v>
      </c>
      <c r="D76" s="54"/>
      <c r="E76" s="60"/>
      <c r="F76" s="84">
        <v>3.0</v>
      </c>
      <c r="G76" s="84">
        <v>1.0</v>
      </c>
      <c r="H76" s="84">
        <v>1.0</v>
      </c>
      <c r="I76" s="84">
        <v>1.0</v>
      </c>
      <c r="J76" s="84">
        <v>2.0</v>
      </c>
      <c r="K76" s="61" t="s">
        <v>30</v>
      </c>
      <c r="L76" s="62">
        <f>(E76*E65)+(F76*F65)+(G76*G65)+(H76*H65)+(I76*I65)+(J76*J65)</f>
        <v>241</v>
      </c>
      <c r="M76" s="57" t="s">
        <v>31</v>
      </c>
      <c r="N76" s="63" t="b">
        <v>0</v>
      </c>
    </row>
    <row r="77" ht="13.5" customHeight="1">
      <c r="A77" s="77"/>
      <c r="B77" s="65" t="s">
        <v>47</v>
      </c>
      <c r="C77" s="53" t="s">
        <v>34</v>
      </c>
      <c r="D77" s="54"/>
      <c r="E77" s="66"/>
      <c r="F77" s="76">
        <v>2.0</v>
      </c>
      <c r="G77" s="76">
        <v>3.0</v>
      </c>
      <c r="H77" s="76">
        <v>1.0</v>
      </c>
      <c r="I77" s="76">
        <v>1.0</v>
      </c>
      <c r="J77" s="76">
        <v>2.0</v>
      </c>
      <c r="K77" s="67" t="s">
        <v>35</v>
      </c>
      <c r="L77" s="62">
        <f>(E77*E65)+(F77*F65)+(G77*G65)+(H77*H65)+(I77*I65)+(J77*J65)</f>
        <v>268</v>
      </c>
      <c r="M77" s="57" t="s">
        <v>36</v>
      </c>
      <c r="N77" s="63" t="b">
        <v>0</v>
      </c>
    </row>
    <row r="78" ht="13.5" customHeight="1">
      <c r="A78" s="68"/>
      <c r="B78" s="69">
        <f>IFS(L78=0,"",B78&lt;&gt;"",B78,TRUE,NOW())</f>
        <v>46153.57251</v>
      </c>
      <c r="C78" s="70" t="s">
        <v>37</v>
      </c>
      <c r="D78" s="33"/>
      <c r="E78" s="71"/>
      <c r="F78" s="71"/>
      <c r="G78" s="71"/>
      <c r="H78" s="71"/>
      <c r="I78" s="71"/>
      <c r="J78" s="71"/>
      <c r="K78" s="72" t="s">
        <v>38</v>
      </c>
      <c r="L78" s="73">
        <f>L77-L76</f>
        <v>27</v>
      </c>
      <c r="M78" s="74" t="s">
        <v>39</v>
      </c>
      <c r="N78" s="75" t="b">
        <v>0</v>
      </c>
    </row>
    <row r="79" ht="13.5" customHeight="1">
      <c r="A79" s="78" t="s">
        <v>48</v>
      </c>
      <c r="B79" s="52" t="s">
        <v>63</v>
      </c>
      <c r="C79" s="53" t="s">
        <v>27</v>
      </c>
      <c r="D79" s="54"/>
      <c r="E79" s="55">
        <f t="shared" ref="E79:J79" si="20">E77-E80</f>
        <v>0</v>
      </c>
      <c r="F79" s="55">
        <f t="shared" si="20"/>
        <v>2</v>
      </c>
      <c r="G79" s="55">
        <f t="shared" si="20"/>
        <v>3</v>
      </c>
      <c r="H79" s="55">
        <f t="shared" si="20"/>
        <v>1</v>
      </c>
      <c r="I79" s="55">
        <f t="shared" si="20"/>
        <v>1</v>
      </c>
      <c r="J79" s="55">
        <f t="shared" si="20"/>
        <v>2</v>
      </c>
      <c r="K79" s="56"/>
      <c r="L79" s="30"/>
      <c r="M79" s="57" t="s">
        <v>28</v>
      </c>
      <c r="N79" s="58" t="b">
        <v>0</v>
      </c>
    </row>
    <row r="80" ht="15.0" customHeight="1">
      <c r="A80" s="85"/>
      <c r="B80" s="59"/>
      <c r="C80" s="53" t="s">
        <v>30</v>
      </c>
      <c r="D80" s="54"/>
      <c r="E80" s="60"/>
      <c r="F80" s="84"/>
      <c r="G80" s="84"/>
      <c r="H80" s="84"/>
      <c r="I80" s="84"/>
      <c r="J80" s="60"/>
      <c r="K80" s="61" t="s">
        <v>30</v>
      </c>
      <c r="L80" s="62">
        <f>(E80*E65)+(F80*F65)+(G80*G65)+(H80*H65)+(I80*I65)+(J80*J65)</f>
        <v>0</v>
      </c>
      <c r="M80" s="57" t="s">
        <v>31</v>
      </c>
      <c r="N80" s="63" t="b">
        <v>0</v>
      </c>
    </row>
    <row r="81" ht="13.5" customHeight="1">
      <c r="A81" s="68"/>
      <c r="B81" s="65" t="s">
        <v>49</v>
      </c>
      <c r="C81" s="53" t="s">
        <v>34</v>
      </c>
      <c r="D81" s="54"/>
      <c r="E81" s="66"/>
      <c r="F81" s="66"/>
      <c r="G81" s="66"/>
      <c r="H81" s="66"/>
      <c r="I81" s="66"/>
      <c r="J81" s="66"/>
      <c r="K81" s="67" t="s">
        <v>35</v>
      </c>
      <c r="L81" s="62">
        <f>(E81*E65)+(F81*F65)+(G81*G65)+(H81*H65)+(I81*I65)+(J81*J65)</f>
        <v>0</v>
      </c>
      <c r="M81" s="57" t="s">
        <v>36</v>
      </c>
      <c r="N81" s="63" t="b">
        <v>0</v>
      </c>
    </row>
    <row r="82" ht="13.5" customHeight="1">
      <c r="A82" s="80"/>
      <c r="B82" s="69" t="str">
        <f>IFS(L82=0,"",B82&lt;&gt;"",B82,TRUE,NOW())</f>
        <v/>
      </c>
      <c r="C82" s="86" t="s">
        <v>37</v>
      </c>
      <c r="D82" s="59"/>
      <c r="E82" s="81"/>
      <c r="F82" s="81"/>
      <c r="G82" s="81"/>
      <c r="H82" s="82"/>
      <c r="I82" s="81"/>
      <c r="J82" s="81"/>
      <c r="K82" s="72" t="s">
        <v>38</v>
      </c>
      <c r="L82" s="73">
        <f>L81-L80</f>
        <v>0</v>
      </c>
      <c r="M82" s="74" t="s">
        <v>39</v>
      </c>
      <c r="N82" s="75" t="b">
        <v>0</v>
      </c>
    </row>
    <row r="83" ht="13.5" customHeight="1">
      <c r="A83" s="83" t="s">
        <v>65</v>
      </c>
      <c r="B83" s="42" t="s">
        <v>20</v>
      </c>
      <c r="C83" s="24"/>
      <c r="D83" s="33"/>
      <c r="E83" s="43">
        <f t="shared" ref="E83:J83" si="21">E6</f>
        <v>17</v>
      </c>
      <c r="F83" s="43">
        <f t="shared" si="21"/>
        <v>27</v>
      </c>
      <c r="G83" s="43">
        <f t="shared" si="21"/>
        <v>27</v>
      </c>
      <c r="H83" s="43">
        <f t="shared" si="21"/>
        <v>27</v>
      </c>
      <c r="I83" s="43">
        <f t="shared" si="21"/>
        <v>32</v>
      </c>
      <c r="J83" s="44">
        <f t="shared" si="21"/>
        <v>37</v>
      </c>
      <c r="K83" s="42" t="s">
        <v>21</v>
      </c>
      <c r="L83" s="25"/>
      <c r="M83" s="45" t="s">
        <v>22</v>
      </c>
      <c r="N83" s="25"/>
    </row>
    <row r="84" ht="13.5" customHeight="1">
      <c r="A84" s="46" t="s">
        <v>23</v>
      </c>
      <c r="B84" s="47" t="s">
        <v>24</v>
      </c>
      <c r="C84" s="32" t="s">
        <v>25</v>
      </c>
      <c r="D84" s="33"/>
      <c r="E84" s="48"/>
      <c r="F84" s="48"/>
      <c r="G84" s="48"/>
      <c r="H84" s="48"/>
      <c r="I84" s="48"/>
      <c r="J84" s="48"/>
      <c r="K84" s="49"/>
      <c r="L84" s="25"/>
      <c r="M84" s="50"/>
      <c r="N84" s="10"/>
    </row>
    <row r="85" ht="19.5" customHeight="1">
      <c r="A85" s="51">
        <v>5.0</v>
      </c>
      <c r="B85" s="52" t="s">
        <v>66</v>
      </c>
      <c r="C85" s="53" t="s">
        <v>27</v>
      </c>
      <c r="D85" s="54"/>
      <c r="E85" s="55">
        <f t="shared" ref="E85:J85" si="22">E84-E86</f>
        <v>0</v>
      </c>
      <c r="F85" s="55">
        <f t="shared" si="22"/>
        <v>0</v>
      </c>
      <c r="G85" s="55">
        <f t="shared" si="22"/>
        <v>0</v>
      </c>
      <c r="H85" s="55">
        <f t="shared" si="22"/>
        <v>0</v>
      </c>
      <c r="I85" s="55">
        <f t="shared" si="22"/>
        <v>0</v>
      </c>
      <c r="J85" s="55">
        <f t="shared" si="22"/>
        <v>0</v>
      </c>
      <c r="K85" s="56"/>
      <c r="L85" s="30"/>
      <c r="M85" s="57" t="s">
        <v>28</v>
      </c>
      <c r="N85" s="58" t="b">
        <v>0</v>
      </c>
    </row>
    <row r="86" ht="13.5" customHeight="1">
      <c r="A86" s="46" t="s">
        <v>29</v>
      </c>
      <c r="B86" s="59"/>
      <c r="C86" s="53" t="s">
        <v>30</v>
      </c>
      <c r="D86" s="54"/>
      <c r="E86" s="60"/>
      <c r="F86" s="60"/>
      <c r="G86" s="60"/>
      <c r="H86" s="60"/>
      <c r="I86" s="60"/>
      <c r="J86" s="60"/>
      <c r="K86" s="61" t="s">
        <v>30</v>
      </c>
      <c r="L86" s="62">
        <f>(E86*E83)+(F86*F83)+(G86*G83)+(H86*H83)+(I86*I83)+(J86*J83)</f>
        <v>0</v>
      </c>
      <c r="M86" s="57" t="s">
        <v>31</v>
      </c>
      <c r="N86" s="63" t="b">
        <v>0</v>
      </c>
    </row>
    <row r="87" ht="13.5" customHeight="1">
      <c r="A87" s="64" t="s">
        <v>67</v>
      </c>
      <c r="B87" s="65" t="s">
        <v>33</v>
      </c>
      <c r="C87" s="53" t="s">
        <v>34</v>
      </c>
      <c r="D87" s="54"/>
      <c r="E87" s="66"/>
      <c r="F87" s="66"/>
      <c r="G87" s="66"/>
      <c r="H87" s="66"/>
      <c r="I87" s="66"/>
      <c r="J87" s="66"/>
      <c r="K87" s="67" t="s">
        <v>35</v>
      </c>
      <c r="L87" s="62">
        <f>(E87*E83)+(F87*F83)+(G87*G83)+(H87*H83)+(I87*I83)+(J87*J83)</f>
        <v>0</v>
      </c>
      <c r="M87" s="57" t="s">
        <v>36</v>
      </c>
      <c r="N87" s="63" t="b">
        <v>0</v>
      </c>
    </row>
    <row r="88" ht="13.5" customHeight="1">
      <c r="A88" s="68"/>
      <c r="B88" s="69" t="str">
        <f>IFS(L88=0,"",B88&lt;&gt;"",B88,TRUE,NOW())</f>
        <v/>
      </c>
      <c r="C88" s="70" t="s">
        <v>37</v>
      </c>
      <c r="D88" s="33"/>
      <c r="E88" s="71"/>
      <c r="F88" s="71"/>
      <c r="G88" s="71"/>
      <c r="H88" s="71"/>
      <c r="I88" s="71"/>
      <c r="J88" s="71"/>
      <c r="K88" s="72" t="s">
        <v>38</v>
      </c>
      <c r="L88" s="73">
        <f>L87-L86</f>
        <v>0</v>
      </c>
      <c r="M88" s="74" t="s">
        <v>39</v>
      </c>
      <c r="N88" s="75" t="b">
        <v>0</v>
      </c>
    </row>
    <row r="89" ht="13.5" customHeight="1">
      <c r="A89" s="46" t="s">
        <v>40</v>
      </c>
      <c r="B89" s="52" t="s">
        <v>66</v>
      </c>
      <c r="C89" s="53" t="s">
        <v>27</v>
      </c>
      <c r="D89" s="54"/>
      <c r="E89" s="55">
        <f t="shared" ref="E89:J89" si="23">E87-E90</f>
        <v>0</v>
      </c>
      <c r="F89" s="55">
        <f t="shared" si="23"/>
        <v>0</v>
      </c>
      <c r="G89" s="55">
        <f t="shared" si="23"/>
        <v>-3</v>
      </c>
      <c r="H89" s="55">
        <f t="shared" si="23"/>
        <v>-1</v>
      </c>
      <c r="I89" s="55">
        <f t="shared" si="23"/>
        <v>0</v>
      </c>
      <c r="J89" s="55">
        <f t="shared" si="23"/>
        <v>-3</v>
      </c>
      <c r="K89" s="56"/>
      <c r="L89" s="30"/>
      <c r="M89" s="57" t="s">
        <v>28</v>
      </c>
      <c r="N89" s="58" t="b">
        <v>0</v>
      </c>
    </row>
    <row r="90" ht="15.0" customHeight="1">
      <c r="A90" s="64"/>
      <c r="B90" s="59"/>
      <c r="C90" s="53" t="s">
        <v>30</v>
      </c>
      <c r="D90" s="54"/>
      <c r="E90" s="60"/>
      <c r="F90" s="84"/>
      <c r="G90" s="84">
        <v>3.0</v>
      </c>
      <c r="H90" s="84">
        <v>1.0</v>
      </c>
      <c r="I90" s="84"/>
      <c r="J90" s="84">
        <v>3.0</v>
      </c>
      <c r="K90" s="61" t="s">
        <v>30</v>
      </c>
      <c r="L90" s="62">
        <f>(E90*E83)+(F90*F83)+(G90*G83)+(H90*H83)+(I90*I83)+(J90*J83)</f>
        <v>219</v>
      </c>
      <c r="M90" s="57" t="s">
        <v>31</v>
      </c>
      <c r="N90" s="63" t="b">
        <v>0</v>
      </c>
    </row>
    <row r="91" ht="13.5" customHeight="1">
      <c r="A91" s="68"/>
      <c r="B91" s="65" t="s">
        <v>42</v>
      </c>
      <c r="C91" s="53" t="s">
        <v>34</v>
      </c>
      <c r="D91" s="54"/>
      <c r="E91" s="66"/>
      <c r="F91" s="76">
        <v>6.0</v>
      </c>
      <c r="G91" s="76">
        <v>6.0</v>
      </c>
      <c r="H91" s="76">
        <v>1.0</v>
      </c>
      <c r="I91" s="76"/>
      <c r="J91" s="76">
        <v>6.0</v>
      </c>
      <c r="K91" s="67" t="s">
        <v>35</v>
      </c>
      <c r="L91" s="62">
        <f>(E91*E83)+(F91*F83)+(G91*G83)+(H91*H83)+(I91*I83)+(J91*J83)</f>
        <v>573</v>
      </c>
      <c r="M91" s="57" t="s">
        <v>36</v>
      </c>
      <c r="N91" s="63" t="b">
        <v>0</v>
      </c>
    </row>
    <row r="92" ht="13.5" customHeight="1">
      <c r="A92" s="46" t="s">
        <v>43</v>
      </c>
      <c r="B92" s="69">
        <f>IFS(L92=0,"",B92&lt;&gt;"",B92,TRUE,NOW())</f>
        <v>46146.61403</v>
      </c>
      <c r="C92" s="70" t="s">
        <v>37</v>
      </c>
      <c r="D92" s="33"/>
      <c r="E92" s="71"/>
      <c r="F92" s="71"/>
      <c r="G92" s="71"/>
      <c r="H92" s="71"/>
      <c r="I92" s="71"/>
      <c r="J92" s="71"/>
      <c r="K92" s="72" t="s">
        <v>38</v>
      </c>
      <c r="L92" s="73">
        <f>L91-L90</f>
        <v>354</v>
      </c>
      <c r="M92" s="74" t="s">
        <v>39</v>
      </c>
      <c r="N92" s="75" t="b">
        <v>0</v>
      </c>
    </row>
    <row r="93" ht="13.5" customHeight="1">
      <c r="A93" s="64"/>
      <c r="B93" s="52" t="s">
        <v>66</v>
      </c>
      <c r="C93" s="53" t="s">
        <v>27</v>
      </c>
      <c r="D93" s="54"/>
      <c r="E93" s="55">
        <f t="shared" ref="E93:J93" si="24">E91-E94</f>
        <v>0</v>
      </c>
      <c r="F93" s="55">
        <f t="shared" si="24"/>
        <v>4</v>
      </c>
      <c r="G93" s="55">
        <f t="shared" si="24"/>
        <v>3</v>
      </c>
      <c r="H93" s="55">
        <f t="shared" si="24"/>
        <v>1</v>
      </c>
      <c r="I93" s="55">
        <f t="shared" si="24"/>
        <v>0</v>
      </c>
      <c r="J93" s="55">
        <f t="shared" si="24"/>
        <v>6</v>
      </c>
      <c r="K93" s="56"/>
      <c r="L93" s="30"/>
      <c r="M93" s="57" t="s">
        <v>28</v>
      </c>
      <c r="N93" s="58" t="b">
        <v>0</v>
      </c>
    </row>
    <row r="94" ht="13.5" customHeight="1">
      <c r="A94" s="46" t="s">
        <v>45</v>
      </c>
      <c r="B94" s="59"/>
      <c r="C94" s="53" t="s">
        <v>30</v>
      </c>
      <c r="D94" s="54"/>
      <c r="E94" s="60"/>
      <c r="F94" s="84">
        <v>2.0</v>
      </c>
      <c r="G94" s="84">
        <v>3.0</v>
      </c>
      <c r="H94" s="60"/>
      <c r="I94" s="60"/>
      <c r="J94" s="60"/>
      <c r="K94" s="61" t="s">
        <v>30</v>
      </c>
      <c r="L94" s="62">
        <f>(E94*E83)+(F94*F83)+(G94*G83)+(H94*H83)+(I94*I83)+(J94*J83)</f>
        <v>135</v>
      </c>
      <c r="M94" s="57" t="s">
        <v>31</v>
      </c>
      <c r="N94" s="63" t="b">
        <v>0</v>
      </c>
    </row>
    <row r="95" ht="13.5" customHeight="1">
      <c r="A95" s="77"/>
      <c r="B95" s="65" t="s">
        <v>47</v>
      </c>
      <c r="C95" s="53" t="s">
        <v>34</v>
      </c>
      <c r="D95" s="54"/>
      <c r="E95" s="66"/>
      <c r="F95" s="76">
        <v>6.0</v>
      </c>
      <c r="G95" s="76">
        <v>6.0</v>
      </c>
      <c r="H95" s="76">
        <v>1.0</v>
      </c>
      <c r="I95" s="66"/>
      <c r="J95" s="76">
        <v>6.0</v>
      </c>
      <c r="K95" s="67" t="s">
        <v>35</v>
      </c>
      <c r="L95" s="62">
        <f>(E95*E83)+(F95*F83)+(G95*G83)+(H95*H83)+(I95*I83)+(J95*J83)</f>
        <v>573</v>
      </c>
      <c r="M95" s="57" t="s">
        <v>36</v>
      </c>
      <c r="N95" s="63" t="b">
        <v>0</v>
      </c>
    </row>
    <row r="96" ht="13.5" customHeight="1">
      <c r="A96" s="68"/>
      <c r="B96" s="69">
        <f>IFS(L96=0,"",B96&lt;&gt;"",B96,TRUE,NOW())</f>
        <v>46153.53157</v>
      </c>
      <c r="C96" s="70" t="s">
        <v>37</v>
      </c>
      <c r="D96" s="33"/>
      <c r="E96" s="71"/>
      <c r="F96" s="71"/>
      <c r="G96" s="71"/>
      <c r="H96" s="71"/>
      <c r="I96" s="71"/>
      <c r="J96" s="71"/>
      <c r="K96" s="72" t="s">
        <v>38</v>
      </c>
      <c r="L96" s="73">
        <f>L95-L94</f>
        <v>438</v>
      </c>
      <c r="M96" s="74" t="s">
        <v>39</v>
      </c>
      <c r="N96" s="75" t="b">
        <v>0</v>
      </c>
    </row>
    <row r="97" ht="18.0" customHeight="1">
      <c r="A97" s="78" t="s">
        <v>48</v>
      </c>
      <c r="B97" s="52" t="s">
        <v>66</v>
      </c>
      <c r="C97" s="53" t="s">
        <v>27</v>
      </c>
      <c r="D97" s="54"/>
      <c r="E97" s="55">
        <f t="shared" ref="E97:J97" si="25">E95-E98</f>
        <v>0</v>
      </c>
      <c r="F97" s="55">
        <f t="shared" si="25"/>
        <v>6</v>
      </c>
      <c r="G97" s="55">
        <f t="shared" si="25"/>
        <v>6</v>
      </c>
      <c r="H97" s="55">
        <f t="shared" si="25"/>
        <v>1</v>
      </c>
      <c r="I97" s="55">
        <f t="shared" si="25"/>
        <v>0</v>
      </c>
      <c r="J97" s="55">
        <f t="shared" si="25"/>
        <v>6</v>
      </c>
      <c r="K97" s="56"/>
      <c r="L97" s="30"/>
      <c r="M97" s="57" t="s">
        <v>28</v>
      </c>
      <c r="N97" s="58" t="b">
        <v>0</v>
      </c>
    </row>
    <row r="98" ht="13.5" customHeight="1">
      <c r="A98" s="87"/>
      <c r="B98" s="59"/>
      <c r="C98" s="53" t="s">
        <v>30</v>
      </c>
      <c r="D98" s="54"/>
      <c r="E98" s="60"/>
      <c r="F98" s="60"/>
      <c r="G98" s="60"/>
      <c r="H98" s="60"/>
      <c r="I98" s="60"/>
      <c r="J98" s="60"/>
      <c r="K98" s="61" t="s">
        <v>30</v>
      </c>
      <c r="L98" s="62">
        <f>(E98*E83)+(F98*F83)+(G98*G83)+(H98*H83)+(I98*I83)+(J98*J83)</f>
        <v>0</v>
      </c>
      <c r="M98" s="57" t="s">
        <v>31</v>
      </c>
      <c r="N98" s="63" t="b">
        <v>0</v>
      </c>
    </row>
    <row r="99" ht="13.5" customHeight="1">
      <c r="A99" s="68"/>
      <c r="B99" s="65" t="s">
        <v>49</v>
      </c>
      <c r="C99" s="53" t="s">
        <v>34</v>
      </c>
      <c r="D99" s="54"/>
      <c r="E99" s="66"/>
      <c r="F99" s="66"/>
      <c r="G99" s="66"/>
      <c r="H99" s="66"/>
      <c r="I99" s="66"/>
      <c r="J99" s="66"/>
      <c r="K99" s="67" t="s">
        <v>35</v>
      </c>
      <c r="L99" s="62">
        <f>(E99*E83)+(F99*F83)+(G99*G83)+(H99*H83)+(I99*I83)+(J99*J83)</f>
        <v>0</v>
      </c>
      <c r="M99" s="57" t="s">
        <v>36</v>
      </c>
      <c r="N99" s="63" t="b">
        <v>0</v>
      </c>
    </row>
    <row r="100" ht="13.5" customHeight="1">
      <c r="A100" s="80"/>
      <c r="B100" s="69" t="str">
        <f>IFS(L100=0,"",B100&lt;&gt;"",B100,TRUE,NOW())</f>
        <v/>
      </c>
      <c r="C100" s="86" t="s">
        <v>37</v>
      </c>
      <c r="D100" s="59"/>
      <c r="E100" s="81"/>
      <c r="F100" s="81"/>
      <c r="G100" s="81"/>
      <c r="H100" s="82"/>
      <c r="I100" s="81"/>
      <c r="J100" s="81"/>
      <c r="K100" s="72" t="s">
        <v>38</v>
      </c>
      <c r="L100" s="73">
        <f>L99-L98</f>
        <v>0</v>
      </c>
      <c r="M100" s="74" t="s">
        <v>39</v>
      </c>
      <c r="N100" s="75" t="b">
        <v>0</v>
      </c>
    </row>
    <row r="101" ht="13.5" customHeight="1">
      <c r="A101" s="83" t="s">
        <v>68</v>
      </c>
      <c r="B101" s="42" t="s">
        <v>20</v>
      </c>
      <c r="C101" s="24"/>
      <c r="D101" s="33"/>
      <c r="E101" s="43">
        <f t="shared" ref="E101:J101" si="26">E6</f>
        <v>17</v>
      </c>
      <c r="F101" s="43">
        <f t="shared" si="26"/>
        <v>27</v>
      </c>
      <c r="G101" s="43">
        <f t="shared" si="26"/>
        <v>27</v>
      </c>
      <c r="H101" s="43">
        <f t="shared" si="26"/>
        <v>27</v>
      </c>
      <c r="I101" s="43">
        <f t="shared" si="26"/>
        <v>32</v>
      </c>
      <c r="J101" s="44">
        <f t="shared" si="26"/>
        <v>37</v>
      </c>
      <c r="K101" s="42" t="s">
        <v>21</v>
      </c>
      <c r="L101" s="25"/>
      <c r="M101" s="45" t="s">
        <v>22</v>
      </c>
      <c r="N101" s="25"/>
    </row>
    <row r="102" ht="19.5" customHeight="1">
      <c r="A102" s="46" t="s">
        <v>23</v>
      </c>
      <c r="B102" s="47" t="s">
        <v>24</v>
      </c>
      <c r="C102" s="32" t="s">
        <v>25</v>
      </c>
      <c r="D102" s="33"/>
      <c r="E102" s="48"/>
      <c r="F102" s="48"/>
      <c r="G102" s="48"/>
      <c r="H102" s="48"/>
      <c r="I102" s="48"/>
      <c r="J102" s="48"/>
      <c r="K102" s="49"/>
      <c r="L102" s="25"/>
      <c r="M102" s="50"/>
      <c r="N102" s="10"/>
    </row>
    <row r="103" ht="13.5" customHeight="1">
      <c r="A103" s="51">
        <v>6.0</v>
      </c>
      <c r="B103" s="52" t="s">
        <v>69</v>
      </c>
      <c r="C103" s="53" t="s">
        <v>27</v>
      </c>
      <c r="D103" s="54"/>
      <c r="E103" s="55">
        <f t="shared" ref="E103:J103" si="27">E102-E104</f>
        <v>0</v>
      </c>
      <c r="F103" s="55">
        <f t="shared" si="27"/>
        <v>0</v>
      </c>
      <c r="G103" s="55">
        <f t="shared" si="27"/>
        <v>0</v>
      </c>
      <c r="H103" s="55">
        <f t="shared" si="27"/>
        <v>0</v>
      </c>
      <c r="I103" s="55">
        <f t="shared" si="27"/>
        <v>0</v>
      </c>
      <c r="J103" s="55">
        <f t="shared" si="27"/>
        <v>0</v>
      </c>
      <c r="K103" s="56"/>
      <c r="L103" s="30"/>
      <c r="M103" s="57" t="s">
        <v>28</v>
      </c>
      <c r="N103" s="58" t="b">
        <v>0</v>
      </c>
    </row>
    <row r="104" ht="13.5" customHeight="1">
      <c r="A104" s="46" t="s">
        <v>29</v>
      </c>
      <c r="B104" s="59"/>
      <c r="C104" s="53" t="s">
        <v>30</v>
      </c>
      <c r="D104" s="54"/>
      <c r="E104" s="60"/>
      <c r="F104" s="60"/>
      <c r="G104" s="60"/>
      <c r="H104" s="60"/>
      <c r="I104" s="60"/>
      <c r="J104" s="60"/>
      <c r="K104" s="61" t="s">
        <v>30</v>
      </c>
      <c r="L104" s="62">
        <f>(E104*E101)+(F104*F101)+(G104*G101)+(H104*H101)+(I104*I101)+(J104*J101)</f>
        <v>0</v>
      </c>
      <c r="M104" s="57" t="s">
        <v>31</v>
      </c>
      <c r="N104" s="63" t="b">
        <v>0</v>
      </c>
    </row>
    <row r="105" ht="13.5" customHeight="1">
      <c r="A105" s="64" t="s">
        <v>70</v>
      </c>
      <c r="B105" s="65" t="s">
        <v>33</v>
      </c>
      <c r="C105" s="53" t="s">
        <v>34</v>
      </c>
      <c r="D105" s="54"/>
      <c r="E105" s="66"/>
      <c r="F105" s="66"/>
      <c r="G105" s="66"/>
      <c r="H105" s="66"/>
      <c r="I105" s="66"/>
      <c r="J105" s="66"/>
      <c r="K105" s="67" t="s">
        <v>35</v>
      </c>
      <c r="L105" s="62">
        <f>(E105*E101)+(F105*F101)+(G105*G101)+(H105*H101)+(I105*I101)+(J105*J101)</f>
        <v>0</v>
      </c>
      <c r="M105" s="57" t="s">
        <v>36</v>
      </c>
      <c r="N105" s="63" t="b">
        <v>0</v>
      </c>
    </row>
    <row r="106" ht="13.5" customHeight="1">
      <c r="A106" s="68"/>
      <c r="B106" s="69" t="str">
        <f>IFS(L106=0,"",B106&lt;&gt;"",B106,TRUE,NOW())</f>
        <v/>
      </c>
      <c r="C106" s="70" t="s">
        <v>37</v>
      </c>
      <c r="D106" s="33"/>
      <c r="E106" s="71"/>
      <c r="F106" s="71"/>
      <c r="G106" s="71"/>
      <c r="H106" s="71"/>
      <c r="I106" s="71"/>
      <c r="J106" s="71"/>
      <c r="K106" s="72" t="s">
        <v>38</v>
      </c>
      <c r="L106" s="73">
        <f>L105-L104</f>
        <v>0</v>
      </c>
      <c r="M106" s="74" t="s">
        <v>39</v>
      </c>
      <c r="N106" s="75" t="b">
        <v>0</v>
      </c>
    </row>
    <row r="107" ht="18.75" customHeight="1">
      <c r="A107" s="46" t="s">
        <v>40</v>
      </c>
      <c r="B107" s="52" t="s">
        <v>69</v>
      </c>
      <c r="C107" s="53" t="s">
        <v>27</v>
      </c>
      <c r="D107" s="54"/>
      <c r="E107" s="55">
        <f t="shared" ref="E107:J107" si="28">E105-E108</f>
        <v>0</v>
      </c>
      <c r="F107" s="55">
        <f t="shared" si="28"/>
        <v>-1</v>
      </c>
      <c r="G107" s="55">
        <f t="shared" si="28"/>
        <v>-1</v>
      </c>
      <c r="H107" s="55">
        <f t="shared" si="28"/>
        <v>0</v>
      </c>
      <c r="I107" s="55">
        <f t="shared" si="28"/>
        <v>-2</v>
      </c>
      <c r="J107" s="55">
        <f t="shared" si="28"/>
        <v>0</v>
      </c>
      <c r="K107" s="56"/>
      <c r="L107" s="30"/>
      <c r="M107" s="57" t="s">
        <v>28</v>
      </c>
      <c r="N107" s="58" t="b">
        <v>0</v>
      </c>
    </row>
    <row r="108" ht="13.5" customHeight="1">
      <c r="A108" s="64"/>
      <c r="B108" s="59"/>
      <c r="C108" s="53" t="s">
        <v>30</v>
      </c>
      <c r="D108" s="54"/>
      <c r="E108" s="60"/>
      <c r="F108" s="84">
        <v>1.0</v>
      </c>
      <c r="G108" s="84">
        <v>1.0</v>
      </c>
      <c r="H108" s="60"/>
      <c r="I108" s="84">
        <v>2.0</v>
      </c>
      <c r="J108" s="84"/>
      <c r="K108" s="61" t="s">
        <v>30</v>
      </c>
      <c r="L108" s="62">
        <f>(E108*E101)+(F108*F101)+(G108*G101)+(H108*H101)+(I108*I101)+(J108*J101)</f>
        <v>118</v>
      </c>
      <c r="M108" s="57" t="s">
        <v>31</v>
      </c>
      <c r="N108" s="63" t="b">
        <v>0</v>
      </c>
    </row>
    <row r="109" ht="13.5" customHeight="1">
      <c r="A109" s="68"/>
      <c r="B109" s="65" t="s">
        <v>42</v>
      </c>
      <c r="C109" s="53" t="s">
        <v>34</v>
      </c>
      <c r="D109" s="54"/>
      <c r="E109" s="66"/>
      <c r="F109" s="76">
        <v>3.0</v>
      </c>
      <c r="G109" s="76">
        <v>2.0</v>
      </c>
      <c r="H109" s="76">
        <v>1.0</v>
      </c>
      <c r="I109" s="76">
        <v>2.0</v>
      </c>
      <c r="J109" s="76">
        <v>2.0</v>
      </c>
      <c r="K109" s="67" t="s">
        <v>35</v>
      </c>
      <c r="L109" s="62">
        <f>(E109*E101)+(F109*F101)+(G109*G101)+(H109*H101)+(I109*I101)+(J109*J101)</f>
        <v>300</v>
      </c>
      <c r="M109" s="57" t="s">
        <v>36</v>
      </c>
      <c r="N109" s="63" t="b">
        <v>0</v>
      </c>
    </row>
    <row r="110" ht="13.5" customHeight="1">
      <c r="A110" s="46" t="s">
        <v>43</v>
      </c>
      <c r="B110" s="69">
        <f>IFS(L110=0,"",B110&lt;&gt;"",B110,TRUE,NOW())</f>
        <v>46146.58615</v>
      </c>
      <c r="C110" s="70" t="s">
        <v>37</v>
      </c>
      <c r="D110" s="33"/>
      <c r="E110" s="71"/>
      <c r="F110" s="71"/>
      <c r="G110" s="71"/>
      <c r="H110" s="71"/>
      <c r="I110" s="71"/>
      <c r="J110" s="71"/>
      <c r="K110" s="72" t="s">
        <v>38</v>
      </c>
      <c r="L110" s="73">
        <f>L109-L108</f>
        <v>182</v>
      </c>
      <c r="M110" s="74" t="s">
        <v>39</v>
      </c>
      <c r="N110" s="75" t="b">
        <v>0</v>
      </c>
    </row>
    <row r="111" ht="13.5" customHeight="1">
      <c r="A111" s="64"/>
      <c r="B111" s="52" t="s">
        <v>69</v>
      </c>
      <c r="C111" s="53" t="s">
        <v>27</v>
      </c>
      <c r="D111" s="54"/>
      <c r="E111" s="55">
        <f t="shared" ref="E111:J111" si="29">E109-E112</f>
        <v>0</v>
      </c>
      <c r="F111" s="55">
        <f t="shared" si="29"/>
        <v>3</v>
      </c>
      <c r="G111" s="55">
        <f t="shared" si="29"/>
        <v>2</v>
      </c>
      <c r="H111" s="55">
        <f t="shared" si="29"/>
        <v>1</v>
      </c>
      <c r="I111" s="55">
        <f t="shared" si="29"/>
        <v>2</v>
      </c>
      <c r="J111" s="55">
        <f t="shared" si="29"/>
        <v>2</v>
      </c>
      <c r="K111" s="56"/>
      <c r="L111" s="30"/>
      <c r="M111" s="57" t="s">
        <v>28</v>
      </c>
      <c r="N111" s="58" t="b">
        <v>0</v>
      </c>
    </row>
    <row r="112" ht="15.0" customHeight="1">
      <c r="A112" s="46" t="s">
        <v>45</v>
      </c>
      <c r="B112" s="59"/>
      <c r="C112" s="53" t="s">
        <v>30</v>
      </c>
      <c r="D112" s="54"/>
      <c r="E112" s="60"/>
      <c r="F112" s="60"/>
      <c r="G112" s="60"/>
      <c r="H112" s="60"/>
      <c r="I112" s="60"/>
      <c r="J112" s="60"/>
      <c r="K112" s="61" t="s">
        <v>30</v>
      </c>
      <c r="L112" s="62">
        <f>(E112*E101)+(F112*F101)+(G112*G101)+(H112*H101)+(I112*I101)+(J112*J101)</f>
        <v>0</v>
      </c>
      <c r="M112" s="57" t="s">
        <v>31</v>
      </c>
      <c r="N112" s="63" t="b">
        <v>0</v>
      </c>
    </row>
    <row r="113" ht="13.5" customHeight="1">
      <c r="A113" s="77"/>
      <c r="B113" s="65" t="s">
        <v>47</v>
      </c>
      <c r="C113" s="53" t="s">
        <v>34</v>
      </c>
      <c r="D113" s="54"/>
      <c r="E113" s="66"/>
      <c r="F113" s="66"/>
      <c r="G113" s="66"/>
      <c r="H113" s="66"/>
      <c r="I113" s="66"/>
      <c r="J113" s="66"/>
      <c r="K113" s="67" t="s">
        <v>35</v>
      </c>
      <c r="L113" s="62">
        <f>(E113*E101)+(F113*F101)+(G113*G101)+(H113*H101)+(I113*I101)+(J113*J101)</f>
        <v>0</v>
      </c>
      <c r="M113" s="57" t="s">
        <v>36</v>
      </c>
      <c r="N113" s="63" t="b">
        <v>0</v>
      </c>
    </row>
    <row r="114" ht="13.5" customHeight="1">
      <c r="A114" s="68"/>
      <c r="B114" s="69" t="str">
        <f>IFS(L114=0,"",B114&lt;&gt;"",B114,TRUE,NOW())</f>
        <v/>
      </c>
      <c r="C114" s="70" t="s">
        <v>37</v>
      </c>
      <c r="D114" s="33"/>
      <c r="E114" s="71"/>
      <c r="F114" s="71"/>
      <c r="G114" s="71"/>
      <c r="H114" s="71"/>
      <c r="I114" s="71"/>
      <c r="J114" s="71"/>
      <c r="K114" s="72" t="s">
        <v>38</v>
      </c>
      <c r="L114" s="73">
        <f>L113-L112</f>
        <v>0</v>
      </c>
      <c r="M114" s="74" t="s">
        <v>39</v>
      </c>
      <c r="N114" s="75" t="b">
        <v>0</v>
      </c>
    </row>
    <row r="115" ht="13.5" customHeight="1">
      <c r="A115" s="78" t="s">
        <v>48</v>
      </c>
      <c r="B115" s="52" t="s">
        <v>69</v>
      </c>
      <c r="C115" s="53" t="s">
        <v>27</v>
      </c>
      <c r="D115" s="54"/>
      <c r="E115" s="55">
        <f t="shared" ref="E115:J115" si="30">E113-E116</f>
        <v>0</v>
      </c>
      <c r="F115" s="55">
        <f t="shared" si="30"/>
        <v>0</v>
      </c>
      <c r="G115" s="55">
        <f t="shared" si="30"/>
        <v>0</v>
      </c>
      <c r="H115" s="55">
        <f t="shared" si="30"/>
        <v>0</v>
      </c>
      <c r="I115" s="55">
        <f t="shared" si="30"/>
        <v>0</v>
      </c>
      <c r="J115" s="55">
        <f t="shared" si="30"/>
        <v>0</v>
      </c>
      <c r="K115" s="56"/>
      <c r="L115" s="30"/>
      <c r="M115" s="57" t="s">
        <v>28</v>
      </c>
      <c r="N115" s="58" t="b">
        <v>0</v>
      </c>
    </row>
    <row r="116" ht="13.5" customHeight="1">
      <c r="A116" s="87"/>
      <c r="B116" s="59"/>
      <c r="C116" s="53" t="s">
        <v>30</v>
      </c>
      <c r="D116" s="54"/>
      <c r="E116" s="60"/>
      <c r="F116" s="60"/>
      <c r="G116" s="60"/>
      <c r="H116" s="60"/>
      <c r="I116" s="60"/>
      <c r="J116" s="60"/>
      <c r="K116" s="61" t="s">
        <v>30</v>
      </c>
      <c r="L116" s="62">
        <f>(E116*E101)+(F116*F101)+(G116*G101)+(H116*H101)+(I116*I101)+(J116*J101)</f>
        <v>0</v>
      </c>
      <c r="M116" s="57" t="s">
        <v>31</v>
      </c>
      <c r="N116" s="63" t="b">
        <v>0</v>
      </c>
    </row>
    <row r="117" ht="13.5" customHeight="1">
      <c r="A117" s="68"/>
      <c r="B117" s="65" t="s">
        <v>49</v>
      </c>
      <c r="C117" s="53" t="s">
        <v>34</v>
      </c>
      <c r="D117" s="54"/>
      <c r="E117" s="66"/>
      <c r="F117" s="66"/>
      <c r="G117" s="66"/>
      <c r="H117" s="66"/>
      <c r="I117" s="66"/>
      <c r="J117" s="66"/>
      <c r="K117" s="67" t="s">
        <v>35</v>
      </c>
      <c r="L117" s="62">
        <f>(E117*E101)+(F117*F101)+(G117*G101)+(H117*H101)+(I117*I101)+(J117*J101)</f>
        <v>0</v>
      </c>
      <c r="M117" s="57" t="s">
        <v>36</v>
      </c>
      <c r="N117" s="63" t="b">
        <v>0</v>
      </c>
    </row>
    <row r="118" ht="13.5" customHeight="1">
      <c r="A118" s="80"/>
      <c r="B118" s="69" t="str">
        <f>IFS(L118=0,"",B118&lt;&gt;"",B118,TRUE,NOW())</f>
        <v/>
      </c>
      <c r="C118" s="53" t="s">
        <v>37</v>
      </c>
      <c r="D118" s="54"/>
      <c r="E118" s="81"/>
      <c r="F118" s="81"/>
      <c r="G118" s="81"/>
      <c r="H118" s="82"/>
      <c r="I118" s="81"/>
      <c r="J118" s="81"/>
      <c r="K118" s="72" t="s">
        <v>38</v>
      </c>
      <c r="L118" s="73">
        <f>L117-L116</f>
        <v>0</v>
      </c>
      <c r="M118" s="74" t="s">
        <v>39</v>
      </c>
      <c r="N118" s="75" t="b">
        <v>0</v>
      </c>
    </row>
    <row r="119" ht="15.0" customHeight="1">
      <c r="A119" s="83" t="s">
        <v>71</v>
      </c>
      <c r="B119" s="42" t="s">
        <v>20</v>
      </c>
      <c r="C119" s="24"/>
      <c r="D119" s="33"/>
      <c r="E119" s="43">
        <f t="shared" ref="E119:J119" si="31">E6</f>
        <v>17</v>
      </c>
      <c r="F119" s="43">
        <f t="shared" si="31"/>
        <v>27</v>
      </c>
      <c r="G119" s="43">
        <f t="shared" si="31"/>
        <v>27</v>
      </c>
      <c r="H119" s="43">
        <f t="shared" si="31"/>
        <v>27</v>
      </c>
      <c r="I119" s="43">
        <f t="shared" si="31"/>
        <v>32</v>
      </c>
      <c r="J119" s="44">
        <f t="shared" si="31"/>
        <v>37</v>
      </c>
      <c r="K119" s="42" t="s">
        <v>21</v>
      </c>
      <c r="L119" s="25"/>
      <c r="M119" s="45" t="s">
        <v>22</v>
      </c>
      <c r="N119" s="25"/>
    </row>
    <row r="120" ht="13.5" customHeight="1">
      <c r="A120" s="46" t="s">
        <v>23</v>
      </c>
      <c r="B120" s="47" t="s">
        <v>24</v>
      </c>
      <c r="C120" s="32" t="s">
        <v>25</v>
      </c>
      <c r="D120" s="33"/>
      <c r="E120" s="48"/>
      <c r="F120" s="48"/>
      <c r="G120" s="48"/>
      <c r="H120" s="48"/>
      <c r="I120" s="48"/>
      <c r="J120" s="48"/>
      <c r="K120" s="49"/>
      <c r="L120" s="25"/>
      <c r="M120" s="50"/>
      <c r="N120" s="10"/>
    </row>
    <row r="121" ht="13.5" customHeight="1">
      <c r="A121" s="51">
        <v>7.0</v>
      </c>
      <c r="B121" s="52" t="s">
        <v>72</v>
      </c>
      <c r="C121" s="53" t="s">
        <v>27</v>
      </c>
      <c r="D121" s="54"/>
      <c r="E121" s="55">
        <f t="shared" ref="E121:J121" si="32">E120-E122</f>
        <v>0</v>
      </c>
      <c r="F121" s="55">
        <f t="shared" si="32"/>
        <v>0</v>
      </c>
      <c r="G121" s="55">
        <f t="shared" si="32"/>
        <v>0</v>
      </c>
      <c r="H121" s="55">
        <f t="shared" si="32"/>
        <v>0</v>
      </c>
      <c r="I121" s="55">
        <f t="shared" si="32"/>
        <v>0</v>
      </c>
      <c r="J121" s="55">
        <f t="shared" si="32"/>
        <v>0</v>
      </c>
      <c r="K121" s="56"/>
      <c r="L121" s="30"/>
      <c r="M121" s="57" t="s">
        <v>28</v>
      </c>
      <c r="N121" s="58" t="b">
        <v>0</v>
      </c>
    </row>
    <row r="122" ht="13.5" customHeight="1">
      <c r="A122" s="46" t="s">
        <v>29</v>
      </c>
      <c r="B122" s="59"/>
      <c r="C122" s="53" t="s">
        <v>30</v>
      </c>
      <c r="D122" s="54"/>
      <c r="E122" s="60"/>
      <c r="F122" s="60"/>
      <c r="G122" s="60"/>
      <c r="H122" s="60"/>
      <c r="I122" s="60"/>
      <c r="J122" s="60"/>
      <c r="K122" s="61" t="s">
        <v>30</v>
      </c>
      <c r="L122" s="62">
        <f>(E122*E119)+(F122*F119)+(G122*G119)+(H122*H119)+(I122*I119)+(J122*J119)</f>
        <v>0</v>
      </c>
      <c r="M122" s="57" t="s">
        <v>31</v>
      </c>
      <c r="N122" s="63" t="b">
        <v>0</v>
      </c>
    </row>
    <row r="123" ht="13.5" customHeight="1">
      <c r="A123" s="64" t="s">
        <v>73</v>
      </c>
      <c r="B123" s="65" t="s">
        <v>33</v>
      </c>
      <c r="C123" s="53" t="s">
        <v>34</v>
      </c>
      <c r="D123" s="54"/>
      <c r="E123" s="66"/>
      <c r="F123" s="66"/>
      <c r="G123" s="66"/>
      <c r="H123" s="66"/>
      <c r="I123" s="66"/>
      <c r="J123" s="66"/>
      <c r="K123" s="67" t="s">
        <v>35</v>
      </c>
      <c r="L123" s="62">
        <f>(E123*E119)+(F123*F119)+(G123*G119)+(H123*H119)+(I123*I119)+(J123*J119)</f>
        <v>0</v>
      </c>
      <c r="M123" s="57" t="s">
        <v>36</v>
      </c>
      <c r="N123" s="63" t="b">
        <v>0</v>
      </c>
    </row>
    <row r="124" ht="15.0" customHeight="1">
      <c r="A124" s="68"/>
      <c r="B124" s="69" t="str">
        <f>IFS(L124=0,"",B124&lt;&gt;"",B124,TRUE,NOW())</f>
        <v/>
      </c>
      <c r="C124" s="70" t="s">
        <v>37</v>
      </c>
      <c r="D124" s="33"/>
      <c r="E124" s="71"/>
      <c r="F124" s="71"/>
      <c r="G124" s="71"/>
      <c r="H124" s="71"/>
      <c r="I124" s="71"/>
      <c r="J124" s="71"/>
      <c r="K124" s="72" t="s">
        <v>38</v>
      </c>
      <c r="L124" s="73">
        <f>L123-L122</f>
        <v>0</v>
      </c>
      <c r="M124" s="74" t="s">
        <v>39</v>
      </c>
      <c r="N124" s="75" t="b">
        <v>0</v>
      </c>
    </row>
    <row r="125" ht="13.5" customHeight="1">
      <c r="A125" s="46" t="s">
        <v>40</v>
      </c>
      <c r="B125" s="52" t="s">
        <v>72</v>
      </c>
      <c r="C125" s="53" t="s">
        <v>27</v>
      </c>
      <c r="D125" s="54"/>
      <c r="E125" s="55">
        <f t="shared" ref="E125:J125" si="33">E123-E126</f>
        <v>0</v>
      </c>
      <c r="F125" s="55">
        <f t="shared" si="33"/>
        <v>0</v>
      </c>
      <c r="G125" s="55">
        <f t="shared" si="33"/>
        <v>0</v>
      </c>
      <c r="H125" s="55">
        <f t="shared" si="33"/>
        <v>0</v>
      </c>
      <c r="I125" s="55">
        <f t="shared" si="33"/>
        <v>0</v>
      </c>
      <c r="J125" s="55">
        <f t="shared" si="33"/>
        <v>0</v>
      </c>
      <c r="K125" s="56"/>
      <c r="L125" s="30"/>
      <c r="M125" s="57" t="s">
        <v>28</v>
      </c>
      <c r="N125" s="58" t="b">
        <v>0</v>
      </c>
    </row>
    <row r="126" ht="13.5" customHeight="1">
      <c r="A126" s="64"/>
      <c r="B126" s="59"/>
      <c r="C126" s="53" t="s">
        <v>30</v>
      </c>
      <c r="D126" s="54"/>
      <c r="E126" s="60"/>
      <c r="F126" s="60"/>
      <c r="G126" s="84"/>
      <c r="H126" s="60"/>
      <c r="I126" s="60"/>
      <c r="J126" s="84"/>
      <c r="K126" s="61" t="s">
        <v>30</v>
      </c>
      <c r="L126" s="62">
        <f>(E126*E119)+(F126*F119)+(G126*G119)+(H126*H119)+(I126*I119)+(J126*J119)</f>
        <v>0</v>
      </c>
      <c r="M126" s="57" t="s">
        <v>31</v>
      </c>
      <c r="N126" s="63" t="b">
        <v>0</v>
      </c>
    </row>
    <row r="127" ht="13.5" customHeight="1">
      <c r="A127" s="68"/>
      <c r="B127" s="65" t="s">
        <v>42</v>
      </c>
      <c r="C127" s="53" t="s">
        <v>34</v>
      </c>
      <c r="D127" s="54"/>
      <c r="E127" s="66"/>
      <c r="F127" s="76">
        <v>3.0</v>
      </c>
      <c r="G127" s="76"/>
      <c r="H127" s="66"/>
      <c r="I127" s="66"/>
      <c r="J127" s="76">
        <v>3.0</v>
      </c>
      <c r="K127" s="67" t="s">
        <v>35</v>
      </c>
      <c r="L127" s="62">
        <f>(E127*E119)+(F127*F119)+(G127*G119)+(H127*H119)+(I127*I119)+(J127*J119)</f>
        <v>192</v>
      </c>
      <c r="M127" s="57" t="s">
        <v>36</v>
      </c>
      <c r="N127" s="63" t="b">
        <v>0</v>
      </c>
    </row>
    <row r="128" ht="13.5" customHeight="1">
      <c r="A128" s="46" t="s">
        <v>43</v>
      </c>
      <c r="B128" s="69">
        <f>IFS(L128=0,"",B128&lt;&gt;"",B128,TRUE,NOW())</f>
        <v>46146.61367</v>
      </c>
      <c r="C128" s="70" t="s">
        <v>37</v>
      </c>
      <c r="D128" s="33"/>
      <c r="E128" s="71"/>
      <c r="F128" s="71"/>
      <c r="G128" s="71"/>
      <c r="H128" s="71"/>
      <c r="I128" s="71"/>
      <c r="J128" s="71"/>
      <c r="K128" s="72" t="s">
        <v>38</v>
      </c>
      <c r="L128" s="73">
        <f>L127-L126</f>
        <v>192</v>
      </c>
      <c r="M128" s="74" t="s">
        <v>39</v>
      </c>
      <c r="N128" s="75" t="b">
        <v>0</v>
      </c>
    </row>
    <row r="129" ht="18.0" customHeight="1">
      <c r="A129" s="64"/>
      <c r="B129" s="52" t="s">
        <v>72</v>
      </c>
      <c r="C129" s="53" t="s">
        <v>27</v>
      </c>
      <c r="D129" s="54"/>
      <c r="E129" s="55">
        <f t="shared" ref="E129:J129" si="34">E127-E130</f>
        <v>0</v>
      </c>
      <c r="F129" s="55">
        <f t="shared" si="34"/>
        <v>3</v>
      </c>
      <c r="G129" s="55">
        <f t="shared" si="34"/>
        <v>-1</v>
      </c>
      <c r="H129" s="55">
        <f t="shared" si="34"/>
        <v>-1</v>
      </c>
      <c r="I129" s="55">
        <f t="shared" si="34"/>
        <v>0</v>
      </c>
      <c r="J129" s="55">
        <f t="shared" si="34"/>
        <v>3</v>
      </c>
      <c r="K129" s="56"/>
      <c r="L129" s="30"/>
      <c r="M129" s="57" t="s">
        <v>28</v>
      </c>
      <c r="N129" s="58" t="b">
        <v>0</v>
      </c>
    </row>
    <row r="130" ht="13.5" customHeight="1">
      <c r="A130" s="46" t="s">
        <v>45</v>
      </c>
      <c r="B130" s="59"/>
      <c r="C130" s="53" t="s">
        <v>30</v>
      </c>
      <c r="D130" s="54"/>
      <c r="E130" s="60"/>
      <c r="F130" s="60"/>
      <c r="G130" s="84">
        <v>1.0</v>
      </c>
      <c r="H130" s="84">
        <v>1.0</v>
      </c>
      <c r="I130" s="60"/>
      <c r="J130" s="60"/>
      <c r="K130" s="61" t="s">
        <v>30</v>
      </c>
      <c r="L130" s="62">
        <f>(E130*E119)+(F130*F119)+(G130*G119)+(H130*H119)+(I130*I119)+(J130*J119)</f>
        <v>54</v>
      </c>
      <c r="M130" s="57" t="s">
        <v>31</v>
      </c>
      <c r="N130" s="63" t="b">
        <v>0</v>
      </c>
    </row>
    <row r="131" ht="13.5" customHeight="1">
      <c r="A131" s="77"/>
      <c r="B131" s="65" t="s">
        <v>47</v>
      </c>
      <c r="C131" s="53" t="s">
        <v>34</v>
      </c>
      <c r="D131" s="54"/>
      <c r="E131" s="66"/>
      <c r="F131" s="66"/>
      <c r="G131" s="76">
        <v>1.0</v>
      </c>
      <c r="H131" s="76">
        <v>1.0</v>
      </c>
      <c r="I131" s="76">
        <v>2.0</v>
      </c>
      <c r="J131" s="66"/>
      <c r="K131" s="67" t="s">
        <v>35</v>
      </c>
      <c r="L131" s="62">
        <f>(E131*E119)+(F131*F119)+(G131*G119)+(H131*H119)+(I131*I119)+(J131*J119)</f>
        <v>118</v>
      </c>
      <c r="M131" s="57" t="s">
        <v>36</v>
      </c>
      <c r="N131" s="63" t="b">
        <v>0</v>
      </c>
    </row>
    <row r="132" ht="13.5" customHeight="1">
      <c r="A132" s="68"/>
      <c r="B132" s="69">
        <f>IFS(L132=0,"",B132&lt;&gt;"",B132,TRUE,NOW())</f>
        <v>46153.67132</v>
      </c>
      <c r="C132" s="70" t="s">
        <v>37</v>
      </c>
      <c r="D132" s="33"/>
      <c r="E132" s="71"/>
      <c r="F132" s="71"/>
      <c r="G132" s="71"/>
      <c r="H132" s="71"/>
      <c r="I132" s="71"/>
      <c r="J132" s="71"/>
      <c r="K132" s="72" t="s">
        <v>38</v>
      </c>
      <c r="L132" s="73">
        <f>L131-L130</f>
        <v>64</v>
      </c>
      <c r="M132" s="74" t="s">
        <v>39</v>
      </c>
      <c r="N132" s="75" t="b">
        <v>0</v>
      </c>
    </row>
    <row r="133" ht="13.5" customHeight="1">
      <c r="A133" s="78" t="s">
        <v>48</v>
      </c>
      <c r="B133" s="52" t="s">
        <v>72</v>
      </c>
      <c r="C133" s="53" t="s">
        <v>27</v>
      </c>
      <c r="D133" s="54"/>
      <c r="E133" s="55">
        <f t="shared" ref="E133:J133" si="35">E131-E134</f>
        <v>0</v>
      </c>
      <c r="F133" s="55">
        <f t="shared" si="35"/>
        <v>0</v>
      </c>
      <c r="G133" s="55">
        <f t="shared" si="35"/>
        <v>1</v>
      </c>
      <c r="H133" s="55">
        <f t="shared" si="35"/>
        <v>1</v>
      </c>
      <c r="I133" s="55">
        <f t="shared" si="35"/>
        <v>2</v>
      </c>
      <c r="J133" s="55">
        <f t="shared" si="35"/>
        <v>0</v>
      </c>
      <c r="K133" s="56"/>
      <c r="L133" s="30"/>
      <c r="M133" s="57" t="s">
        <v>28</v>
      </c>
      <c r="N133" s="58" t="b">
        <v>0</v>
      </c>
    </row>
    <row r="134" ht="18.75" customHeight="1">
      <c r="A134" s="87"/>
      <c r="B134" s="59"/>
      <c r="C134" s="53" t="s">
        <v>30</v>
      </c>
      <c r="D134" s="54"/>
      <c r="E134" s="60"/>
      <c r="F134" s="60"/>
      <c r="G134" s="60"/>
      <c r="H134" s="60"/>
      <c r="I134" s="60"/>
      <c r="J134" s="60"/>
      <c r="K134" s="61" t="s">
        <v>30</v>
      </c>
      <c r="L134" s="62">
        <f>(E134*E119)+(F134*F119)+(G134*G119)+(H134*H119)+(I134*I119)+(J134*J119)</f>
        <v>0</v>
      </c>
      <c r="M134" s="57" t="s">
        <v>31</v>
      </c>
      <c r="N134" s="63" t="b">
        <v>0</v>
      </c>
    </row>
    <row r="135" ht="13.5" customHeight="1">
      <c r="A135" s="68"/>
      <c r="B135" s="65" t="s">
        <v>49</v>
      </c>
      <c r="C135" s="53" t="s">
        <v>34</v>
      </c>
      <c r="D135" s="54"/>
      <c r="E135" s="66"/>
      <c r="F135" s="66"/>
      <c r="G135" s="66"/>
      <c r="H135" s="66"/>
      <c r="I135" s="66"/>
      <c r="J135" s="66"/>
      <c r="K135" s="67" t="s">
        <v>35</v>
      </c>
      <c r="L135" s="62">
        <f>(E135*E119)+(F135*F119)+(G135*G119)+(H135*H119)+(I135*I119)+(J135*J119)</f>
        <v>0</v>
      </c>
      <c r="M135" s="57" t="s">
        <v>36</v>
      </c>
      <c r="N135" s="63" t="b">
        <v>0</v>
      </c>
    </row>
    <row r="136" ht="13.5" customHeight="1">
      <c r="A136" s="80"/>
      <c r="B136" s="69" t="str">
        <f>IFS(L136=0,"",B136&lt;&gt;"",B136,TRUE,NOW())</f>
        <v/>
      </c>
      <c r="C136" s="53" t="s">
        <v>37</v>
      </c>
      <c r="D136" s="54"/>
      <c r="E136" s="81"/>
      <c r="F136" s="81"/>
      <c r="G136" s="81"/>
      <c r="H136" s="82"/>
      <c r="I136" s="81"/>
      <c r="J136" s="81"/>
      <c r="K136" s="72" t="s">
        <v>38</v>
      </c>
      <c r="L136" s="73">
        <f>L135-L134</f>
        <v>0</v>
      </c>
      <c r="M136" s="74" t="s">
        <v>39</v>
      </c>
      <c r="N136" s="75" t="b">
        <v>0</v>
      </c>
    </row>
    <row r="137" ht="13.5" customHeight="1">
      <c r="A137" s="83" t="s">
        <v>74</v>
      </c>
      <c r="B137" s="42" t="s">
        <v>20</v>
      </c>
      <c r="C137" s="24"/>
      <c r="D137" s="33"/>
      <c r="E137" s="43">
        <f t="shared" ref="E137:J137" si="36">E6</f>
        <v>17</v>
      </c>
      <c r="F137" s="43">
        <f t="shared" si="36"/>
        <v>27</v>
      </c>
      <c r="G137" s="43">
        <f t="shared" si="36"/>
        <v>27</v>
      </c>
      <c r="H137" s="43">
        <f t="shared" si="36"/>
        <v>27</v>
      </c>
      <c r="I137" s="43">
        <f t="shared" si="36"/>
        <v>32</v>
      </c>
      <c r="J137" s="44">
        <f t="shared" si="36"/>
        <v>37</v>
      </c>
      <c r="K137" s="42" t="s">
        <v>21</v>
      </c>
      <c r="L137" s="25"/>
      <c r="M137" s="45" t="s">
        <v>22</v>
      </c>
      <c r="N137" s="25"/>
    </row>
    <row r="138" ht="13.5" customHeight="1">
      <c r="A138" s="46" t="s">
        <v>23</v>
      </c>
      <c r="B138" s="47" t="s">
        <v>24</v>
      </c>
      <c r="C138" s="32" t="s">
        <v>25</v>
      </c>
      <c r="D138" s="33"/>
      <c r="E138" s="48"/>
      <c r="F138" s="48"/>
      <c r="G138" s="48"/>
      <c r="H138" s="48"/>
      <c r="I138" s="48"/>
      <c r="J138" s="48"/>
      <c r="K138" s="49"/>
      <c r="L138" s="25"/>
      <c r="M138" s="50"/>
      <c r="N138" s="10"/>
    </row>
    <row r="139" ht="13.5" customHeight="1">
      <c r="A139" s="51">
        <v>8.0</v>
      </c>
      <c r="B139" s="52" t="s">
        <v>75</v>
      </c>
      <c r="C139" s="53" t="s">
        <v>27</v>
      </c>
      <c r="D139" s="54"/>
      <c r="E139" s="55">
        <f t="shared" ref="E139:J139" si="37">E138-E140</f>
        <v>0</v>
      </c>
      <c r="F139" s="55">
        <f t="shared" si="37"/>
        <v>0</v>
      </c>
      <c r="G139" s="55">
        <f t="shared" si="37"/>
        <v>0</v>
      </c>
      <c r="H139" s="55">
        <f t="shared" si="37"/>
        <v>0</v>
      </c>
      <c r="I139" s="55">
        <f t="shared" si="37"/>
        <v>0</v>
      </c>
      <c r="J139" s="55">
        <f t="shared" si="37"/>
        <v>0</v>
      </c>
      <c r="K139" s="56"/>
      <c r="L139" s="30"/>
      <c r="M139" s="57" t="s">
        <v>28</v>
      </c>
      <c r="N139" s="58" t="b">
        <v>0</v>
      </c>
    </row>
    <row r="140" ht="13.5" customHeight="1">
      <c r="A140" s="46" t="s">
        <v>29</v>
      </c>
      <c r="B140" s="59"/>
      <c r="C140" s="53" t="s">
        <v>30</v>
      </c>
      <c r="D140" s="54"/>
      <c r="E140" s="60"/>
      <c r="F140" s="60"/>
      <c r="G140" s="60"/>
      <c r="H140" s="60"/>
      <c r="I140" s="60"/>
      <c r="J140" s="60"/>
      <c r="K140" s="61" t="s">
        <v>30</v>
      </c>
      <c r="L140" s="62">
        <f>(E140*E137)+(F140*F137)+(G140*G137)+(H140*H137)+(I140*I137)+(J140*J137)</f>
        <v>0</v>
      </c>
      <c r="M140" s="57" t="s">
        <v>31</v>
      </c>
      <c r="N140" s="63" t="b">
        <v>0</v>
      </c>
    </row>
    <row r="141" ht="15.0" customHeight="1">
      <c r="A141" s="64" t="s">
        <v>76</v>
      </c>
      <c r="B141" s="65" t="s">
        <v>33</v>
      </c>
      <c r="C141" s="53" t="s">
        <v>34</v>
      </c>
      <c r="D141" s="54"/>
      <c r="E141" s="66"/>
      <c r="F141" s="66"/>
      <c r="G141" s="66"/>
      <c r="H141" s="66"/>
      <c r="I141" s="66"/>
      <c r="J141" s="66"/>
      <c r="K141" s="67" t="s">
        <v>35</v>
      </c>
      <c r="L141" s="62">
        <f>(E141*E137)+(F141*F137)+(G141*G137)+(H141*H137)+(I141*I137)+(J141*J137)</f>
        <v>0</v>
      </c>
      <c r="M141" s="57" t="s">
        <v>36</v>
      </c>
      <c r="N141" s="63" t="b">
        <v>0</v>
      </c>
    </row>
    <row r="142" ht="13.5" customHeight="1">
      <c r="A142" s="68"/>
      <c r="B142" s="69" t="str">
        <f>IFS(L142=0,"",B142&lt;&gt;"",B142,TRUE,NOW())</f>
        <v/>
      </c>
      <c r="C142" s="70" t="s">
        <v>37</v>
      </c>
      <c r="D142" s="33"/>
      <c r="E142" s="71"/>
      <c r="F142" s="71"/>
      <c r="G142" s="71"/>
      <c r="H142" s="71"/>
      <c r="I142" s="71"/>
      <c r="J142" s="71"/>
      <c r="K142" s="72" t="s">
        <v>38</v>
      </c>
      <c r="L142" s="73">
        <f>L141-L140</f>
        <v>0</v>
      </c>
      <c r="M142" s="74" t="s">
        <v>39</v>
      </c>
      <c r="N142" s="75" t="b">
        <v>0</v>
      </c>
    </row>
    <row r="143" ht="13.5" customHeight="1">
      <c r="A143" s="46" t="s">
        <v>40</v>
      </c>
      <c r="B143" s="52" t="s">
        <v>75</v>
      </c>
      <c r="C143" s="53" t="s">
        <v>27</v>
      </c>
      <c r="D143" s="54"/>
      <c r="E143" s="55">
        <f t="shared" ref="E143:J143" si="38">E141-E144</f>
        <v>0</v>
      </c>
      <c r="F143" s="55">
        <f t="shared" si="38"/>
        <v>0</v>
      </c>
      <c r="G143" s="55">
        <f t="shared" si="38"/>
        <v>0</v>
      </c>
      <c r="H143" s="55">
        <f t="shared" si="38"/>
        <v>0</v>
      </c>
      <c r="I143" s="55">
        <f t="shared" si="38"/>
        <v>0</v>
      </c>
      <c r="J143" s="55">
        <f t="shared" si="38"/>
        <v>0</v>
      </c>
      <c r="K143" s="56"/>
      <c r="L143" s="30"/>
      <c r="M143" s="57" t="s">
        <v>28</v>
      </c>
      <c r="N143" s="58" t="b">
        <v>0</v>
      </c>
    </row>
    <row r="144" ht="13.5" customHeight="1">
      <c r="A144" s="64"/>
      <c r="B144" s="59"/>
      <c r="C144" s="53" t="s">
        <v>30</v>
      </c>
      <c r="D144" s="54"/>
      <c r="E144" s="60"/>
      <c r="F144" s="84"/>
      <c r="G144" s="60"/>
      <c r="H144" s="60"/>
      <c r="I144" s="84"/>
      <c r="J144" s="60"/>
      <c r="K144" s="61" t="s">
        <v>30</v>
      </c>
      <c r="L144" s="62">
        <f>(E144*E137)+(F144*F137)+(G144*G137)+(H144*H137)+(I144*I137)+(J144*J137)</f>
        <v>0</v>
      </c>
      <c r="M144" s="57" t="s">
        <v>31</v>
      </c>
      <c r="N144" s="63" t="b">
        <v>0</v>
      </c>
    </row>
    <row r="145" ht="13.5" customHeight="1">
      <c r="A145" s="68"/>
      <c r="B145" s="65" t="s">
        <v>42</v>
      </c>
      <c r="C145" s="53" t="s">
        <v>34</v>
      </c>
      <c r="D145" s="54"/>
      <c r="E145" s="66"/>
      <c r="F145" s="76"/>
      <c r="G145" s="76"/>
      <c r="H145" s="66"/>
      <c r="I145" s="76"/>
      <c r="J145" s="76">
        <v>3.0</v>
      </c>
      <c r="K145" s="67" t="s">
        <v>35</v>
      </c>
      <c r="L145" s="62">
        <f>(E145*E137)+(F145*F137)+(G145*G137)+(H145*H137)+(I145*I137)+(J145*J137)</f>
        <v>111</v>
      </c>
      <c r="M145" s="57" t="s">
        <v>36</v>
      </c>
      <c r="N145" s="63" t="b">
        <v>0</v>
      </c>
    </row>
    <row r="146" ht="15.0" customHeight="1">
      <c r="A146" s="46" t="s">
        <v>43</v>
      </c>
      <c r="B146" s="69">
        <f>IFS(L146=0,"",B146&lt;&gt;"",B146,TRUE,NOW())</f>
        <v>46146.57606</v>
      </c>
      <c r="C146" s="70" t="s">
        <v>37</v>
      </c>
      <c r="D146" s="33"/>
      <c r="E146" s="71"/>
      <c r="F146" s="71"/>
      <c r="G146" s="71"/>
      <c r="H146" s="71"/>
      <c r="I146" s="71"/>
      <c r="J146" s="71"/>
      <c r="K146" s="72" t="s">
        <v>38</v>
      </c>
      <c r="L146" s="73">
        <f>L145-L144</f>
        <v>111</v>
      </c>
      <c r="M146" s="74" t="s">
        <v>39</v>
      </c>
      <c r="N146" s="75" t="b">
        <v>0</v>
      </c>
    </row>
    <row r="147" ht="13.5" customHeight="1">
      <c r="A147" s="64"/>
      <c r="B147" s="52" t="s">
        <v>75</v>
      </c>
      <c r="C147" s="53" t="s">
        <v>27</v>
      </c>
      <c r="D147" s="54"/>
      <c r="E147" s="55">
        <f t="shared" ref="E147:J147" si="39">E145-E148</f>
        <v>0</v>
      </c>
      <c r="F147" s="55">
        <f t="shared" si="39"/>
        <v>0</v>
      </c>
      <c r="G147" s="55">
        <f t="shared" si="39"/>
        <v>0</v>
      </c>
      <c r="H147" s="55">
        <f t="shared" si="39"/>
        <v>0</v>
      </c>
      <c r="I147" s="55">
        <f t="shared" si="39"/>
        <v>0</v>
      </c>
      <c r="J147" s="55">
        <f t="shared" si="39"/>
        <v>3</v>
      </c>
      <c r="K147" s="56"/>
      <c r="L147" s="30"/>
      <c r="M147" s="57" t="s">
        <v>28</v>
      </c>
      <c r="N147" s="58" t="b">
        <v>0</v>
      </c>
    </row>
    <row r="148" ht="13.5" customHeight="1">
      <c r="A148" s="46" t="s">
        <v>45</v>
      </c>
      <c r="B148" s="59"/>
      <c r="C148" s="53" t="s">
        <v>30</v>
      </c>
      <c r="D148" s="54"/>
      <c r="E148" s="60"/>
      <c r="F148" s="60"/>
      <c r="G148" s="60"/>
      <c r="H148" s="60"/>
      <c r="I148" s="60"/>
      <c r="J148" s="60"/>
      <c r="K148" s="61" t="s">
        <v>30</v>
      </c>
      <c r="L148" s="62">
        <f>(E148*E137)+(F148*F137)+(G148*G137)+(H148*H137)+(I148*I137)+(J148*J137)</f>
        <v>0</v>
      </c>
      <c r="M148" s="57" t="s">
        <v>31</v>
      </c>
      <c r="N148" s="63" t="b">
        <v>0</v>
      </c>
    </row>
    <row r="149" ht="13.5" customHeight="1">
      <c r="A149" s="77"/>
      <c r="B149" s="65" t="s">
        <v>47</v>
      </c>
      <c r="C149" s="53" t="s">
        <v>34</v>
      </c>
      <c r="D149" s="54"/>
      <c r="E149" s="66"/>
      <c r="F149" s="76">
        <v>3.0</v>
      </c>
      <c r="G149" s="76">
        <v>3.0</v>
      </c>
      <c r="H149" s="76">
        <v>3.0</v>
      </c>
      <c r="I149" s="76">
        <v>3.0</v>
      </c>
      <c r="J149" s="76">
        <v>4.0</v>
      </c>
      <c r="K149" s="67" t="s">
        <v>35</v>
      </c>
      <c r="L149" s="62">
        <f>(E149*E137)+(F149*F137)+(G149*G137)+(H149*H137)+(I149*I137)+(J149*J137)</f>
        <v>487</v>
      </c>
      <c r="M149" s="57" t="s">
        <v>36</v>
      </c>
      <c r="N149" s="63" t="b">
        <v>0</v>
      </c>
    </row>
    <row r="150" ht="13.5" customHeight="1">
      <c r="A150" s="68"/>
      <c r="B150" s="69">
        <f>IFS(L150=0,"",B150&lt;&gt;"",B150,TRUE,NOW())</f>
        <v>46153.671</v>
      </c>
      <c r="C150" s="70" t="s">
        <v>37</v>
      </c>
      <c r="D150" s="33"/>
      <c r="E150" s="71"/>
      <c r="F150" s="71"/>
      <c r="G150" s="71"/>
      <c r="H150" s="71"/>
      <c r="I150" s="71"/>
      <c r="J150" s="71"/>
      <c r="K150" s="72" t="s">
        <v>38</v>
      </c>
      <c r="L150" s="73">
        <f>L149-L148</f>
        <v>487</v>
      </c>
      <c r="M150" s="74" t="s">
        <v>39</v>
      </c>
      <c r="N150" s="75" t="b">
        <v>0</v>
      </c>
    </row>
    <row r="151" ht="15.0" customHeight="1">
      <c r="A151" s="78" t="s">
        <v>48</v>
      </c>
      <c r="B151" s="52" t="s">
        <v>75</v>
      </c>
      <c r="C151" s="53" t="s">
        <v>27</v>
      </c>
      <c r="D151" s="54"/>
      <c r="E151" s="55">
        <f t="shared" ref="E151:J151" si="40">E149-E152</f>
        <v>0</v>
      </c>
      <c r="F151" s="55">
        <f t="shared" si="40"/>
        <v>3</v>
      </c>
      <c r="G151" s="55">
        <f t="shared" si="40"/>
        <v>3</v>
      </c>
      <c r="H151" s="55">
        <f t="shared" si="40"/>
        <v>3</v>
      </c>
      <c r="I151" s="55">
        <f t="shared" si="40"/>
        <v>3</v>
      </c>
      <c r="J151" s="55">
        <f t="shared" si="40"/>
        <v>4</v>
      </c>
      <c r="K151" s="56"/>
      <c r="L151" s="30"/>
      <c r="M151" s="57" t="s">
        <v>28</v>
      </c>
      <c r="N151" s="58" t="b">
        <v>0</v>
      </c>
    </row>
    <row r="152" ht="13.5" customHeight="1">
      <c r="A152" s="87"/>
      <c r="B152" s="59"/>
      <c r="C152" s="53" t="s">
        <v>30</v>
      </c>
      <c r="D152" s="54"/>
      <c r="E152" s="60"/>
      <c r="F152" s="60"/>
      <c r="G152" s="60"/>
      <c r="H152" s="60"/>
      <c r="I152" s="60"/>
      <c r="J152" s="60"/>
      <c r="K152" s="61" t="s">
        <v>30</v>
      </c>
      <c r="L152" s="62">
        <f>(E152*E137)+(F152*F137)+(G152*G137)+(H152*H137)+(I152*I137)+(J152*J137)</f>
        <v>0</v>
      </c>
      <c r="M152" s="57" t="s">
        <v>31</v>
      </c>
      <c r="N152" s="63" t="b">
        <v>0</v>
      </c>
    </row>
    <row r="153" ht="13.5" customHeight="1">
      <c r="A153" s="68"/>
      <c r="B153" s="65" t="s">
        <v>49</v>
      </c>
      <c r="C153" s="53" t="s">
        <v>34</v>
      </c>
      <c r="D153" s="54"/>
      <c r="E153" s="66"/>
      <c r="F153" s="66"/>
      <c r="G153" s="66"/>
      <c r="H153" s="66"/>
      <c r="I153" s="66"/>
      <c r="J153" s="66"/>
      <c r="K153" s="67" t="s">
        <v>35</v>
      </c>
      <c r="L153" s="62">
        <f>(E153*E137)+(F153*F137)+(G153*G137)+(H153*H137)+(I153*I137)+(J153*J137)</f>
        <v>0</v>
      </c>
      <c r="M153" s="57" t="s">
        <v>36</v>
      </c>
      <c r="N153" s="63" t="b">
        <v>0</v>
      </c>
    </row>
    <row r="154" ht="13.5" customHeight="1">
      <c r="A154" s="80"/>
      <c r="B154" s="69" t="str">
        <f>IFS(L154=0,"",B154&lt;&gt;"",B154,TRUE,NOW())</f>
        <v/>
      </c>
      <c r="C154" s="53" t="s">
        <v>37</v>
      </c>
      <c r="D154" s="54"/>
      <c r="E154" s="81"/>
      <c r="F154" s="81"/>
      <c r="G154" s="81"/>
      <c r="H154" s="82"/>
      <c r="I154" s="81"/>
      <c r="J154" s="81"/>
      <c r="K154" s="72" t="s">
        <v>38</v>
      </c>
      <c r="L154" s="73">
        <f>L153-L152</f>
        <v>0</v>
      </c>
      <c r="M154" s="74" t="s">
        <v>39</v>
      </c>
      <c r="N154" s="75" t="b">
        <v>0</v>
      </c>
    </row>
    <row r="155" ht="13.5" customHeight="1">
      <c r="A155" s="83" t="s">
        <v>77</v>
      </c>
      <c r="B155" s="42" t="s">
        <v>20</v>
      </c>
      <c r="C155" s="24"/>
      <c r="D155" s="33"/>
      <c r="E155" s="43">
        <f t="shared" ref="E155:J155" si="41">E6</f>
        <v>17</v>
      </c>
      <c r="F155" s="43">
        <f t="shared" si="41"/>
        <v>27</v>
      </c>
      <c r="G155" s="43">
        <f t="shared" si="41"/>
        <v>27</v>
      </c>
      <c r="H155" s="43">
        <f t="shared" si="41"/>
        <v>27</v>
      </c>
      <c r="I155" s="43">
        <f t="shared" si="41"/>
        <v>32</v>
      </c>
      <c r="J155" s="44">
        <f t="shared" si="41"/>
        <v>37</v>
      </c>
      <c r="K155" s="42" t="s">
        <v>21</v>
      </c>
      <c r="L155" s="25"/>
      <c r="M155" s="45" t="s">
        <v>22</v>
      </c>
      <c r="N155" s="25"/>
    </row>
    <row r="156" ht="18.75" customHeight="1">
      <c r="A156" s="46" t="s">
        <v>23</v>
      </c>
      <c r="B156" s="47" t="s">
        <v>24</v>
      </c>
      <c r="C156" s="32" t="s">
        <v>25</v>
      </c>
      <c r="D156" s="33"/>
      <c r="E156" s="48"/>
      <c r="F156" s="48"/>
      <c r="G156" s="48"/>
      <c r="H156" s="48"/>
      <c r="I156" s="48"/>
      <c r="J156" s="48"/>
      <c r="K156" s="49"/>
      <c r="L156" s="25"/>
      <c r="M156" s="50"/>
      <c r="N156" s="10"/>
    </row>
    <row r="157" ht="13.5" customHeight="1">
      <c r="A157" s="51">
        <v>9.0</v>
      </c>
      <c r="B157" s="52" t="s">
        <v>78</v>
      </c>
      <c r="C157" s="53" t="s">
        <v>27</v>
      </c>
      <c r="D157" s="54"/>
      <c r="E157" s="55">
        <f t="shared" ref="E157:J157" si="42">E156-E158</f>
        <v>0</v>
      </c>
      <c r="F157" s="55">
        <f t="shared" si="42"/>
        <v>0</v>
      </c>
      <c r="G157" s="55">
        <f t="shared" si="42"/>
        <v>0</v>
      </c>
      <c r="H157" s="55">
        <f t="shared" si="42"/>
        <v>0</v>
      </c>
      <c r="I157" s="55">
        <f t="shared" si="42"/>
        <v>0</v>
      </c>
      <c r="J157" s="55">
        <f t="shared" si="42"/>
        <v>0</v>
      </c>
      <c r="K157" s="56"/>
      <c r="L157" s="30"/>
      <c r="M157" s="57" t="s">
        <v>28</v>
      </c>
      <c r="N157" s="58" t="b">
        <v>0</v>
      </c>
    </row>
    <row r="158" ht="13.5" customHeight="1">
      <c r="A158" s="46" t="s">
        <v>29</v>
      </c>
      <c r="B158" s="59"/>
      <c r="C158" s="53" t="s">
        <v>30</v>
      </c>
      <c r="D158" s="54"/>
      <c r="E158" s="60"/>
      <c r="F158" s="60"/>
      <c r="G158" s="60"/>
      <c r="H158" s="60"/>
      <c r="I158" s="60"/>
      <c r="J158" s="60"/>
      <c r="K158" s="61" t="s">
        <v>30</v>
      </c>
      <c r="L158" s="62">
        <f>(E158*E155)+(F158*F155)+(G158*G155)+(H158*H155)+(I158*I155)+(J158*J155)</f>
        <v>0</v>
      </c>
      <c r="M158" s="57" t="s">
        <v>31</v>
      </c>
      <c r="N158" s="63" t="b">
        <v>0</v>
      </c>
    </row>
    <row r="159" ht="13.5" customHeight="1">
      <c r="A159" s="64" t="s">
        <v>79</v>
      </c>
      <c r="B159" s="65" t="s">
        <v>33</v>
      </c>
      <c r="C159" s="53" t="s">
        <v>34</v>
      </c>
      <c r="D159" s="54"/>
      <c r="E159" s="66"/>
      <c r="F159" s="66"/>
      <c r="G159" s="66"/>
      <c r="H159" s="66"/>
      <c r="I159" s="66"/>
      <c r="J159" s="66"/>
      <c r="K159" s="67" t="s">
        <v>35</v>
      </c>
      <c r="L159" s="62">
        <f>(E159*E155)+(F159*F155)+(G159*G155)+(H159*H155)+(I159*I155)+(J159*J155)</f>
        <v>0</v>
      </c>
      <c r="M159" s="57" t="s">
        <v>36</v>
      </c>
      <c r="N159" s="63" t="b">
        <v>0</v>
      </c>
    </row>
    <row r="160" ht="13.5" customHeight="1">
      <c r="A160" s="68"/>
      <c r="B160" s="69" t="str">
        <f>IFS(L160=0,"",B160&lt;&gt;"",B160,TRUE,NOW())</f>
        <v/>
      </c>
      <c r="C160" s="70" t="s">
        <v>37</v>
      </c>
      <c r="D160" s="33"/>
      <c r="E160" s="71"/>
      <c r="F160" s="71"/>
      <c r="G160" s="71"/>
      <c r="H160" s="71"/>
      <c r="I160" s="71"/>
      <c r="J160" s="71"/>
      <c r="K160" s="72" t="s">
        <v>38</v>
      </c>
      <c r="L160" s="73">
        <f>L159-L158</f>
        <v>0</v>
      </c>
      <c r="M160" s="74" t="s">
        <v>39</v>
      </c>
      <c r="N160" s="75" t="b">
        <v>0</v>
      </c>
    </row>
    <row r="161" ht="13.5" customHeight="1">
      <c r="A161" s="46" t="s">
        <v>40</v>
      </c>
      <c r="B161" s="52" t="s">
        <v>78</v>
      </c>
      <c r="C161" s="53" t="s">
        <v>27</v>
      </c>
      <c r="D161" s="54"/>
      <c r="E161" s="55">
        <f t="shared" ref="E161:J161" si="43">E159-E162</f>
        <v>0</v>
      </c>
      <c r="F161" s="55">
        <f t="shared" si="43"/>
        <v>-2</v>
      </c>
      <c r="G161" s="55">
        <f t="shared" si="43"/>
        <v>0</v>
      </c>
      <c r="H161" s="55">
        <f t="shared" si="43"/>
        <v>-1</v>
      </c>
      <c r="I161" s="55">
        <f t="shared" si="43"/>
        <v>-1</v>
      </c>
      <c r="J161" s="55">
        <f t="shared" si="43"/>
        <v>-1</v>
      </c>
      <c r="K161" s="56"/>
      <c r="L161" s="30"/>
      <c r="M161" s="57" t="s">
        <v>28</v>
      </c>
      <c r="N161" s="58" t="b">
        <v>0</v>
      </c>
    </row>
    <row r="162" ht="13.5" customHeight="1">
      <c r="A162" s="64"/>
      <c r="B162" s="59"/>
      <c r="C162" s="53" t="s">
        <v>30</v>
      </c>
      <c r="D162" s="54"/>
      <c r="E162" s="60"/>
      <c r="F162" s="84">
        <v>2.0</v>
      </c>
      <c r="G162" s="60"/>
      <c r="H162" s="84">
        <v>1.0</v>
      </c>
      <c r="I162" s="84">
        <v>1.0</v>
      </c>
      <c r="J162" s="84">
        <v>1.0</v>
      </c>
      <c r="K162" s="61" t="s">
        <v>30</v>
      </c>
      <c r="L162" s="62">
        <f>(E162*E155)+(F162*F155)+(G162*G155)+(H162*H155)+(I162*I155)+(J162*J155)</f>
        <v>150</v>
      </c>
      <c r="M162" s="57" t="s">
        <v>31</v>
      </c>
      <c r="N162" s="63" t="b">
        <v>0</v>
      </c>
    </row>
    <row r="163" ht="17.25" customHeight="1">
      <c r="A163" s="68"/>
      <c r="B163" s="65" t="s">
        <v>42</v>
      </c>
      <c r="C163" s="53" t="s">
        <v>34</v>
      </c>
      <c r="D163" s="54"/>
      <c r="E163" s="66"/>
      <c r="F163" s="76">
        <v>2.0</v>
      </c>
      <c r="G163" s="76">
        <v>2.0</v>
      </c>
      <c r="H163" s="76">
        <v>2.0</v>
      </c>
      <c r="I163" s="76">
        <v>2.0</v>
      </c>
      <c r="J163" s="76">
        <v>7.0</v>
      </c>
      <c r="K163" s="67" t="s">
        <v>35</v>
      </c>
      <c r="L163" s="62">
        <f>(E163*E155)+(F163*F155)+(G163*G155)+(H163*H155)+(I163*I155)+(J163*J155)</f>
        <v>485</v>
      </c>
      <c r="M163" s="57" t="s">
        <v>36</v>
      </c>
      <c r="N163" s="63" t="b">
        <v>0</v>
      </c>
    </row>
    <row r="164" ht="13.5" customHeight="1">
      <c r="A164" s="46" t="s">
        <v>43</v>
      </c>
      <c r="B164" s="69">
        <f>IFS(L164=0,"",B164&lt;&gt;"",B164,TRUE,NOW())</f>
        <v>46146.48636</v>
      </c>
      <c r="C164" s="70" t="s">
        <v>37</v>
      </c>
      <c r="D164" s="33"/>
      <c r="E164" s="71"/>
      <c r="F164" s="71"/>
      <c r="G164" s="71"/>
      <c r="H164" s="71"/>
      <c r="I164" s="71"/>
      <c r="J164" s="71"/>
      <c r="K164" s="72" t="s">
        <v>38</v>
      </c>
      <c r="L164" s="73">
        <f>L163-L162</f>
        <v>335</v>
      </c>
      <c r="M164" s="74" t="s">
        <v>39</v>
      </c>
      <c r="N164" s="75" t="b">
        <v>0</v>
      </c>
    </row>
    <row r="165" ht="13.5" customHeight="1">
      <c r="A165" s="64"/>
      <c r="B165" s="52" t="s">
        <v>78</v>
      </c>
      <c r="C165" s="53" t="s">
        <v>27</v>
      </c>
      <c r="D165" s="54"/>
      <c r="E165" s="55">
        <f t="shared" ref="E165:J165" si="44">E163-E166</f>
        <v>0</v>
      </c>
      <c r="F165" s="55">
        <f t="shared" si="44"/>
        <v>2</v>
      </c>
      <c r="G165" s="55">
        <f t="shared" si="44"/>
        <v>2</v>
      </c>
      <c r="H165" s="55">
        <f t="shared" si="44"/>
        <v>2</v>
      </c>
      <c r="I165" s="55">
        <f t="shared" si="44"/>
        <v>2</v>
      </c>
      <c r="J165" s="55">
        <f t="shared" si="44"/>
        <v>7</v>
      </c>
      <c r="K165" s="56"/>
      <c r="L165" s="30"/>
      <c r="M165" s="57" t="s">
        <v>28</v>
      </c>
      <c r="N165" s="58" t="b">
        <v>0</v>
      </c>
    </row>
    <row r="166" ht="13.5" customHeight="1">
      <c r="A166" s="46" t="s">
        <v>45</v>
      </c>
      <c r="B166" s="59"/>
      <c r="C166" s="53" t="s">
        <v>30</v>
      </c>
      <c r="D166" s="54"/>
      <c r="E166" s="60"/>
      <c r="F166" s="84"/>
      <c r="G166" s="84"/>
      <c r="H166" s="84"/>
      <c r="I166" s="60"/>
      <c r="J166" s="60"/>
      <c r="K166" s="61" t="s">
        <v>30</v>
      </c>
      <c r="L166" s="62">
        <f>(E166*E155)+(F166*F155)+(G166*G155)+(H166*H155)+(I166*I155)+(J166*J155)</f>
        <v>0</v>
      </c>
      <c r="M166" s="57" t="s">
        <v>31</v>
      </c>
      <c r="N166" s="63" t="b">
        <v>0</v>
      </c>
    </row>
    <row r="167" ht="13.5" customHeight="1">
      <c r="A167" s="77"/>
      <c r="B167" s="65" t="s">
        <v>47</v>
      </c>
      <c r="C167" s="53" t="s">
        <v>34</v>
      </c>
      <c r="D167" s="54"/>
      <c r="E167" s="66"/>
      <c r="F167" s="76"/>
      <c r="G167" s="76"/>
      <c r="H167" s="66"/>
      <c r="I167" s="66"/>
      <c r="J167" s="66"/>
      <c r="K167" s="67" t="s">
        <v>35</v>
      </c>
      <c r="L167" s="62">
        <f>(E167*E155)+(F167*F155)+(G167*G155)+(H167*H155)+(I167*I155)+(J167*J155)</f>
        <v>0</v>
      </c>
      <c r="M167" s="57" t="s">
        <v>36</v>
      </c>
      <c r="N167" s="63" t="b">
        <v>0</v>
      </c>
    </row>
    <row r="168" ht="15.0" customHeight="1">
      <c r="A168" s="68"/>
      <c r="B168" s="69" t="str">
        <f>IFS(L168=0,"",B168&lt;&gt;"",B168,TRUE,NOW())</f>
        <v/>
      </c>
      <c r="C168" s="70" t="s">
        <v>37</v>
      </c>
      <c r="D168" s="33"/>
      <c r="E168" s="71"/>
      <c r="F168" s="71"/>
      <c r="G168" s="71"/>
      <c r="H168" s="71"/>
      <c r="I168" s="71"/>
      <c r="J168" s="71"/>
      <c r="K168" s="72" t="s">
        <v>38</v>
      </c>
      <c r="L168" s="73">
        <f>L167-L166</f>
        <v>0</v>
      </c>
      <c r="M168" s="74" t="s">
        <v>39</v>
      </c>
      <c r="N168" s="75" t="b">
        <v>0</v>
      </c>
    </row>
    <row r="169" ht="13.5" customHeight="1">
      <c r="A169" s="78" t="s">
        <v>48</v>
      </c>
      <c r="B169" s="52" t="s">
        <v>78</v>
      </c>
      <c r="C169" s="53" t="s">
        <v>27</v>
      </c>
      <c r="D169" s="54"/>
      <c r="E169" s="55">
        <f t="shared" ref="E169:J169" si="45">E167-E170</f>
        <v>0</v>
      </c>
      <c r="F169" s="55">
        <f t="shared" si="45"/>
        <v>0</v>
      </c>
      <c r="G169" s="55">
        <f t="shared" si="45"/>
        <v>0</v>
      </c>
      <c r="H169" s="55">
        <f t="shared" si="45"/>
        <v>0</v>
      </c>
      <c r="I169" s="55">
        <f t="shared" si="45"/>
        <v>0</v>
      </c>
      <c r="J169" s="55">
        <f t="shared" si="45"/>
        <v>0</v>
      </c>
      <c r="K169" s="56"/>
      <c r="L169" s="30"/>
      <c r="M169" s="57" t="s">
        <v>28</v>
      </c>
      <c r="N169" s="58" t="b">
        <v>0</v>
      </c>
    </row>
    <row r="170" ht="13.5" customHeight="1">
      <c r="A170" s="87"/>
      <c r="B170" s="59"/>
      <c r="C170" s="53" t="s">
        <v>30</v>
      </c>
      <c r="D170" s="54"/>
      <c r="E170" s="60"/>
      <c r="F170" s="60"/>
      <c r="G170" s="60"/>
      <c r="H170" s="60"/>
      <c r="I170" s="60"/>
      <c r="J170" s="60"/>
      <c r="K170" s="61" t="s">
        <v>30</v>
      </c>
      <c r="L170" s="62">
        <f>(E170*E155)+(F170*F155)+(G170*G155)+(H170*H155)+(I170*I155)+(J170*J155)</f>
        <v>0</v>
      </c>
      <c r="M170" s="57" t="s">
        <v>31</v>
      </c>
      <c r="N170" s="63" t="b">
        <v>0</v>
      </c>
    </row>
    <row r="171" ht="13.5" customHeight="1">
      <c r="A171" s="68"/>
      <c r="B171" s="65" t="s">
        <v>49</v>
      </c>
      <c r="C171" s="53" t="s">
        <v>34</v>
      </c>
      <c r="D171" s="54"/>
      <c r="E171" s="66"/>
      <c r="F171" s="66"/>
      <c r="G171" s="66"/>
      <c r="H171" s="66"/>
      <c r="I171" s="66"/>
      <c r="J171" s="66"/>
      <c r="K171" s="67" t="s">
        <v>35</v>
      </c>
      <c r="L171" s="62">
        <f>(E171*E155)+(F171*F155)+(G171*G155)+(H171*H155)+(I171*I155)+(J171*J155)</f>
        <v>0</v>
      </c>
      <c r="M171" s="57" t="s">
        <v>36</v>
      </c>
      <c r="N171" s="63" t="b">
        <v>0</v>
      </c>
    </row>
    <row r="172" ht="13.5" customHeight="1">
      <c r="A172" s="80"/>
      <c r="B172" s="69" t="str">
        <f>IFS(L172=0,"",B172&lt;&gt;"",B172,TRUE,NOW())</f>
        <v/>
      </c>
      <c r="C172" s="86" t="s">
        <v>37</v>
      </c>
      <c r="D172" s="59"/>
      <c r="E172" s="81"/>
      <c r="F172" s="81"/>
      <c r="G172" s="81"/>
      <c r="H172" s="82"/>
      <c r="I172" s="81"/>
      <c r="J172" s="81"/>
      <c r="K172" s="72" t="s">
        <v>38</v>
      </c>
      <c r="L172" s="73">
        <f>L171-L170</f>
        <v>0</v>
      </c>
      <c r="M172" s="74" t="s">
        <v>39</v>
      </c>
      <c r="N172" s="75" t="b">
        <v>0</v>
      </c>
    </row>
    <row r="173" ht="15.0" customHeight="1">
      <c r="A173" s="83" t="s">
        <v>80</v>
      </c>
      <c r="B173" s="42" t="s">
        <v>20</v>
      </c>
      <c r="C173" s="24"/>
      <c r="D173" s="33"/>
      <c r="E173" s="43">
        <f t="shared" ref="E173:J173" si="46">E6</f>
        <v>17</v>
      </c>
      <c r="F173" s="43">
        <f t="shared" si="46"/>
        <v>27</v>
      </c>
      <c r="G173" s="43">
        <f t="shared" si="46"/>
        <v>27</v>
      </c>
      <c r="H173" s="43">
        <f t="shared" si="46"/>
        <v>27</v>
      </c>
      <c r="I173" s="43">
        <f t="shared" si="46"/>
        <v>32</v>
      </c>
      <c r="J173" s="44">
        <f t="shared" si="46"/>
        <v>37</v>
      </c>
      <c r="K173" s="42" t="s">
        <v>21</v>
      </c>
      <c r="L173" s="25"/>
      <c r="M173" s="45" t="s">
        <v>22</v>
      </c>
      <c r="N173" s="25"/>
    </row>
    <row r="174" ht="13.5" customHeight="1">
      <c r="A174" s="46" t="s">
        <v>23</v>
      </c>
      <c r="B174" s="47" t="s">
        <v>24</v>
      </c>
      <c r="C174" s="32" t="s">
        <v>25</v>
      </c>
      <c r="D174" s="33"/>
      <c r="E174" s="48"/>
      <c r="F174" s="48"/>
      <c r="G174" s="48"/>
      <c r="H174" s="48"/>
      <c r="I174" s="48"/>
      <c r="J174" s="48"/>
      <c r="K174" s="49"/>
      <c r="L174" s="25"/>
      <c r="M174" s="50"/>
      <c r="N174" s="10"/>
    </row>
    <row r="175" ht="13.5" customHeight="1">
      <c r="A175" s="51">
        <v>10.0</v>
      </c>
      <c r="B175" s="52" t="s">
        <v>81</v>
      </c>
      <c r="C175" s="53" t="s">
        <v>27</v>
      </c>
      <c r="D175" s="54"/>
      <c r="E175" s="55">
        <f t="shared" ref="E175:J175" si="47">E174-E176</f>
        <v>0</v>
      </c>
      <c r="F175" s="55">
        <f t="shared" si="47"/>
        <v>0</v>
      </c>
      <c r="G175" s="55">
        <f t="shared" si="47"/>
        <v>0</v>
      </c>
      <c r="H175" s="55">
        <f t="shared" si="47"/>
        <v>0</v>
      </c>
      <c r="I175" s="55">
        <f t="shared" si="47"/>
        <v>0</v>
      </c>
      <c r="J175" s="55">
        <f t="shared" si="47"/>
        <v>0</v>
      </c>
      <c r="K175" s="56"/>
      <c r="L175" s="30"/>
      <c r="M175" s="57" t="s">
        <v>28</v>
      </c>
      <c r="N175" s="58" t="b">
        <v>0</v>
      </c>
    </row>
    <row r="176" ht="13.5" customHeight="1">
      <c r="A176" s="46" t="s">
        <v>29</v>
      </c>
      <c r="B176" s="59"/>
      <c r="C176" s="53" t="s">
        <v>30</v>
      </c>
      <c r="D176" s="54"/>
      <c r="E176" s="60"/>
      <c r="F176" s="60"/>
      <c r="G176" s="60"/>
      <c r="H176" s="60"/>
      <c r="I176" s="60"/>
      <c r="J176" s="60"/>
      <c r="K176" s="61" t="s">
        <v>30</v>
      </c>
      <c r="L176" s="62">
        <f>(E176*E173)+(F176*F173)+(G176*G173)+(H176*H173)+(I176*I173)+(J176*J173)</f>
        <v>0</v>
      </c>
      <c r="M176" s="57" t="s">
        <v>31</v>
      </c>
      <c r="N176" s="63" t="b">
        <v>0</v>
      </c>
    </row>
    <row r="177" ht="13.5" customHeight="1">
      <c r="A177" s="64" t="s">
        <v>82</v>
      </c>
      <c r="B177" s="65" t="s">
        <v>33</v>
      </c>
      <c r="C177" s="53" t="s">
        <v>34</v>
      </c>
      <c r="D177" s="54"/>
      <c r="E177" s="66"/>
      <c r="F177" s="66"/>
      <c r="G177" s="66"/>
      <c r="H177" s="66"/>
      <c r="I177" s="66"/>
      <c r="J177" s="66"/>
      <c r="K177" s="67" t="s">
        <v>35</v>
      </c>
      <c r="L177" s="62">
        <f>(E177*E173)+(F177*F173)+(G177*G173)+(H177*H173)+(I177*I173)+(J177*J173)</f>
        <v>0</v>
      </c>
      <c r="M177" s="57" t="s">
        <v>36</v>
      </c>
      <c r="N177" s="63" t="b">
        <v>0</v>
      </c>
    </row>
    <row r="178" ht="15.0" customHeight="1">
      <c r="A178" s="68"/>
      <c r="B178" s="69" t="str">
        <f>IFS(L178=0,"",B178&lt;&gt;"",B178,TRUE,NOW())</f>
        <v/>
      </c>
      <c r="C178" s="70" t="s">
        <v>37</v>
      </c>
      <c r="D178" s="33"/>
      <c r="E178" s="71"/>
      <c r="F178" s="71"/>
      <c r="G178" s="71"/>
      <c r="H178" s="71"/>
      <c r="I178" s="71"/>
      <c r="J178" s="71"/>
      <c r="K178" s="72" t="s">
        <v>38</v>
      </c>
      <c r="L178" s="73">
        <f>L177-L176</f>
        <v>0</v>
      </c>
      <c r="M178" s="74" t="s">
        <v>39</v>
      </c>
      <c r="N178" s="75" t="b">
        <v>0</v>
      </c>
    </row>
    <row r="179" ht="13.5" customHeight="1">
      <c r="A179" s="46" t="s">
        <v>40</v>
      </c>
      <c r="B179" s="52" t="s">
        <v>81</v>
      </c>
      <c r="C179" s="53" t="s">
        <v>27</v>
      </c>
      <c r="D179" s="54"/>
      <c r="E179" s="55">
        <f t="shared" ref="E179:J179" si="48">E177-E180</f>
        <v>0</v>
      </c>
      <c r="F179" s="55">
        <f t="shared" si="48"/>
        <v>0</v>
      </c>
      <c r="G179" s="55">
        <f t="shared" si="48"/>
        <v>0</v>
      </c>
      <c r="H179" s="55">
        <f t="shared" si="48"/>
        <v>0</v>
      </c>
      <c r="I179" s="55">
        <f t="shared" si="48"/>
        <v>-2</v>
      </c>
      <c r="J179" s="55">
        <f t="shared" si="48"/>
        <v>0</v>
      </c>
      <c r="K179" s="56"/>
      <c r="L179" s="30"/>
      <c r="M179" s="57" t="s">
        <v>28</v>
      </c>
      <c r="N179" s="58" t="b">
        <v>0</v>
      </c>
    </row>
    <row r="180" ht="13.5" customHeight="1">
      <c r="A180" s="64"/>
      <c r="B180" s="59"/>
      <c r="C180" s="53" t="s">
        <v>30</v>
      </c>
      <c r="D180" s="54"/>
      <c r="E180" s="60"/>
      <c r="F180" s="60"/>
      <c r="G180" s="60"/>
      <c r="H180" s="60"/>
      <c r="I180" s="84">
        <v>2.0</v>
      </c>
      <c r="J180" s="60"/>
      <c r="K180" s="61" t="s">
        <v>30</v>
      </c>
      <c r="L180" s="62">
        <f>(E180*E173)+(F180*F173)+(G180*G173)+(H180*H173)+(I180*I173)+(J180*J173)</f>
        <v>64</v>
      </c>
      <c r="M180" s="57" t="s">
        <v>31</v>
      </c>
      <c r="N180" s="63" t="b">
        <v>0</v>
      </c>
    </row>
    <row r="181" ht="13.5" customHeight="1">
      <c r="A181" s="68"/>
      <c r="B181" s="65" t="s">
        <v>42</v>
      </c>
      <c r="C181" s="53" t="s">
        <v>34</v>
      </c>
      <c r="D181" s="54"/>
      <c r="E181" s="66"/>
      <c r="F181" s="76">
        <v>2.0</v>
      </c>
      <c r="G181" s="76">
        <v>2.0</v>
      </c>
      <c r="H181" s="76">
        <v>2.0</v>
      </c>
      <c r="I181" s="76">
        <v>2.0</v>
      </c>
      <c r="J181" s="76">
        <v>2.0</v>
      </c>
      <c r="K181" s="67" t="s">
        <v>35</v>
      </c>
      <c r="L181" s="62">
        <f>(E181*E173)+(F181*F173)+(G181*G173)+(H181*H173)+(I181*I173)+(J181*J173)</f>
        <v>300</v>
      </c>
      <c r="M181" s="57" t="s">
        <v>36</v>
      </c>
      <c r="N181" s="63" t="b">
        <v>0</v>
      </c>
    </row>
    <row r="182" ht="13.5" customHeight="1">
      <c r="A182" s="46" t="s">
        <v>43</v>
      </c>
      <c r="B182" s="69">
        <f>IFS(L182=0,"",B182&lt;&gt;"",B182,TRUE,NOW())</f>
        <v>46146.48639</v>
      </c>
      <c r="C182" s="70" t="s">
        <v>37</v>
      </c>
      <c r="D182" s="33"/>
      <c r="E182" s="71"/>
      <c r="F182" s="71"/>
      <c r="G182" s="71"/>
      <c r="H182" s="71"/>
      <c r="I182" s="71"/>
      <c r="J182" s="71"/>
      <c r="K182" s="72" t="s">
        <v>38</v>
      </c>
      <c r="L182" s="73">
        <f>L181-L180</f>
        <v>236</v>
      </c>
      <c r="M182" s="74" t="s">
        <v>39</v>
      </c>
      <c r="N182" s="75" t="b">
        <v>0</v>
      </c>
    </row>
    <row r="183" ht="13.5" customHeight="1">
      <c r="A183" s="64"/>
      <c r="B183" s="52" t="s">
        <v>81</v>
      </c>
      <c r="C183" s="53" t="s">
        <v>27</v>
      </c>
      <c r="D183" s="54"/>
      <c r="E183" s="55">
        <f t="shared" ref="E183:J183" si="49">E181-E184</f>
        <v>0</v>
      </c>
      <c r="F183" s="55">
        <f t="shared" si="49"/>
        <v>1</v>
      </c>
      <c r="G183" s="55">
        <f t="shared" si="49"/>
        <v>2</v>
      </c>
      <c r="H183" s="55">
        <f t="shared" si="49"/>
        <v>2</v>
      </c>
      <c r="I183" s="55">
        <f t="shared" si="49"/>
        <v>1</v>
      </c>
      <c r="J183" s="55">
        <f t="shared" si="49"/>
        <v>2</v>
      </c>
      <c r="K183" s="56"/>
      <c r="L183" s="30"/>
      <c r="M183" s="57" t="s">
        <v>28</v>
      </c>
      <c r="N183" s="58" t="b">
        <v>0</v>
      </c>
    </row>
    <row r="184" ht="13.5" customHeight="1">
      <c r="A184" s="46" t="s">
        <v>45</v>
      </c>
      <c r="B184" s="59"/>
      <c r="C184" s="53" t="s">
        <v>30</v>
      </c>
      <c r="D184" s="54"/>
      <c r="E184" s="60"/>
      <c r="F184" s="84">
        <v>1.0</v>
      </c>
      <c r="G184" s="60"/>
      <c r="H184" s="60"/>
      <c r="I184" s="84">
        <v>1.0</v>
      </c>
      <c r="J184" s="60"/>
      <c r="K184" s="61" t="s">
        <v>30</v>
      </c>
      <c r="L184" s="62">
        <f>(E184*E173)+(F184*F173)+(G184*G173)+(H184*H173)+(I184*I173)+(J184*J173)</f>
        <v>59</v>
      </c>
      <c r="M184" s="57" t="s">
        <v>31</v>
      </c>
      <c r="N184" s="63" t="b">
        <v>0</v>
      </c>
    </row>
    <row r="185" ht="18.0" customHeight="1">
      <c r="A185" s="77"/>
      <c r="B185" s="65" t="s">
        <v>47</v>
      </c>
      <c r="C185" s="53" t="s">
        <v>34</v>
      </c>
      <c r="D185" s="54"/>
      <c r="E185" s="66"/>
      <c r="F185" s="76">
        <v>2.0</v>
      </c>
      <c r="G185" s="66"/>
      <c r="H185" s="66"/>
      <c r="I185" s="76">
        <v>3.0</v>
      </c>
      <c r="J185" s="66"/>
      <c r="K185" s="67" t="s">
        <v>35</v>
      </c>
      <c r="L185" s="62">
        <f>(E185*E173)+(F185*F173)+(G185*G173)+(H185*H173)+(I185*I173)+(J185*J173)</f>
        <v>150</v>
      </c>
      <c r="M185" s="57" t="s">
        <v>36</v>
      </c>
      <c r="N185" s="63" t="b">
        <v>0</v>
      </c>
    </row>
    <row r="186" ht="13.5" customHeight="1">
      <c r="A186" s="68"/>
      <c r="B186" s="69">
        <f>IFS(L186=0,"",B186&lt;&gt;"",B186,TRUE,NOW())</f>
        <v>46153.60107</v>
      </c>
      <c r="C186" s="70" t="s">
        <v>37</v>
      </c>
      <c r="D186" s="33"/>
      <c r="E186" s="71"/>
      <c r="F186" s="71"/>
      <c r="G186" s="71"/>
      <c r="H186" s="71"/>
      <c r="I186" s="71"/>
      <c r="J186" s="71"/>
      <c r="K186" s="72" t="s">
        <v>38</v>
      </c>
      <c r="L186" s="73">
        <f>L185-L184</f>
        <v>91</v>
      </c>
      <c r="M186" s="74" t="s">
        <v>39</v>
      </c>
      <c r="N186" s="75" t="b">
        <v>0</v>
      </c>
    </row>
    <row r="187" ht="13.5" customHeight="1">
      <c r="A187" s="78" t="s">
        <v>48</v>
      </c>
      <c r="B187" s="52" t="s">
        <v>81</v>
      </c>
      <c r="C187" s="53" t="s">
        <v>27</v>
      </c>
      <c r="D187" s="54"/>
      <c r="E187" s="55">
        <f t="shared" ref="E187:J187" si="50">E185-E188</f>
        <v>0</v>
      </c>
      <c r="F187" s="55">
        <f t="shared" si="50"/>
        <v>2</v>
      </c>
      <c r="G187" s="55">
        <f t="shared" si="50"/>
        <v>0</v>
      </c>
      <c r="H187" s="55">
        <f t="shared" si="50"/>
        <v>0</v>
      </c>
      <c r="I187" s="55">
        <f t="shared" si="50"/>
        <v>3</v>
      </c>
      <c r="J187" s="55">
        <f t="shared" si="50"/>
        <v>0</v>
      </c>
      <c r="K187" s="56"/>
      <c r="L187" s="30"/>
      <c r="M187" s="57" t="s">
        <v>28</v>
      </c>
      <c r="N187" s="58" t="b">
        <v>0</v>
      </c>
    </row>
    <row r="188" ht="13.5" customHeight="1">
      <c r="A188" s="87"/>
      <c r="B188" s="59"/>
      <c r="C188" s="53" t="s">
        <v>30</v>
      </c>
      <c r="D188" s="54"/>
      <c r="E188" s="60"/>
      <c r="F188" s="60"/>
      <c r="G188" s="60"/>
      <c r="H188" s="60"/>
      <c r="I188" s="60"/>
      <c r="J188" s="60"/>
      <c r="K188" s="61" t="s">
        <v>30</v>
      </c>
      <c r="L188" s="62">
        <f>(E188*E173)+(F188*F173)+(G188*G173)+(H188*H173)+(I188*I173)+(J188*J173)</f>
        <v>0</v>
      </c>
      <c r="M188" s="57" t="s">
        <v>31</v>
      </c>
      <c r="N188" s="63" t="b">
        <v>0</v>
      </c>
    </row>
    <row r="189" ht="13.5" customHeight="1">
      <c r="A189" s="68"/>
      <c r="B189" s="65" t="s">
        <v>49</v>
      </c>
      <c r="C189" s="53" t="s">
        <v>34</v>
      </c>
      <c r="D189" s="54"/>
      <c r="E189" s="66"/>
      <c r="F189" s="66"/>
      <c r="G189" s="66"/>
      <c r="H189" s="66"/>
      <c r="I189" s="66"/>
      <c r="J189" s="66"/>
      <c r="K189" s="67" t="s">
        <v>35</v>
      </c>
      <c r="L189" s="62">
        <f>(E189*E173)+(F189*F173)+(G189*G173)+(H189*H173)+(I189*I173)+(J189*J173)</f>
        <v>0</v>
      </c>
      <c r="M189" s="57" t="s">
        <v>36</v>
      </c>
      <c r="N189" s="63" t="b">
        <v>0</v>
      </c>
    </row>
    <row r="190" ht="15.0" customHeight="1">
      <c r="A190" s="80"/>
      <c r="B190" s="69" t="str">
        <f>IFS(L190=0,"",B190&lt;&gt;"",B190,TRUE,NOW())</f>
        <v/>
      </c>
      <c r="C190" s="86" t="s">
        <v>37</v>
      </c>
      <c r="D190" s="59"/>
      <c r="E190" s="81"/>
      <c r="F190" s="81"/>
      <c r="G190" s="81"/>
      <c r="H190" s="82"/>
      <c r="I190" s="81"/>
      <c r="J190" s="81"/>
      <c r="K190" s="72" t="s">
        <v>38</v>
      </c>
      <c r="L190" s="73">
        <f>L189-L188</f>
        <v>0</v>
      </c>
      <c r="M190" s="74" t="s">
        <v>39</v>
      </c>
      <c r="N190" s="75" t="b">
        <v>0</v>
      </c>
    </row>
    <row r="191" ht="13.5" customHeight="1">
      <c r="A191" s="83" t="s">
        <v>83</v>
      </c>
      <c r="B191" s="42" t="s">
        <v>20</v>
      </c>
      <c r="C191" s="24"/>
      <c r="D191" s="33"/>
      <c r="E191" s="43">
        <f t="shared" ref="E191:J191" si="51">E6</f>
        <v>17</v>
      </c>
      <c r="F191" s="43">
        <f t="shared" si="51"/>
        <v>27</v>
      </c>
      <c r="G191" s="43">
        <f t="shared" si="51"/>
        <v>27</v>
      </c>
      <c r="H191" s="43">
        <f t="shared" si="51"/>
        <v>27</v>
      </c>
      <c r="I191" s="43">
        <f t="shared" si="51"/>
        <v>32</v>
      </c>
      <c r="J191" s="44">
        <f t="shared" si="51"/>
        <v>37</v>
      </c>
      <c r="K191" s="42" t="s">
        <v>21</v>
      </c>
      <c r="L191" s="25"/>
      <c r="M191" s="45" t="s">
        <v>22</v>
      </c>
      <c r="N191" s="25"/>
    </row>
    <row r="192" ht="13.5" customHeight="1">
      <c r="A192" s="88" t="s">
        <v>23</v>
      </c>
      <c r="B192" s="47" t="s">
        <v>24</v>
      </c>
      <c r="C192" s="32" t="s">
        <v>25</v>
      </c>
      <c r="D192" s="33"/>
      <c r="E192" s="48"/>
      <c r="F192" s="48"/>
      <c r="G192" s="48"/>
      <c r="H192" s="48"/>
      <c r="I192" s="48"/>
      <c r="J192" s="48"/>
      <c r="K192" s="49"/>
      <c r="L192" s="25"/>
      <c r="M192" s="50"/>
      <c r="N192" s="10"/>
    </row>
    <row r="193" ht="13.5" customHeight="1">
      <c r="A193" s="51">
        <v>11.0</v>
      </c>
      <c r="B193" s="52" t="s">
        <v>84</v>
      </c>
      <c r="C193" s="53" t="s">
        <v>27</v>
      </c>
      <c r="D193" s="54"/>
      <c r="E193" s="55">
        <f t="shared" ref="E193:J193" si="52">E192-E194</f>
        <v>0</v>
      </c>
      <c r="F193" s="55">
        <f t="shared" si="52"/>
        <v>0</v>
      </c>
      <c r="G193" s="55">
        <f t="shared" si="52"/>
        <v>0</v>
      </c>
      <c r="H193" s="55">
        <f t="shared" si="52"/>
        <v>0</v>
      </c>
      <c r="I193" s="55">
        <f t="shared" si="52"/>
        <v>0</v>
      </c>
      <c r="J193" s="55">
        <f t="shared" si="52"/>
        <v>0</v>
      </c>
      <c r="K193" s="56"/>
      <c r="L193" s="30"/>
      <c r="M193" s="57" t="s">
        <v>28</v>
      </c>
      <c r="N193" s="58" t="b">
        <v>0</v>
      </c>
    </row>
    <row r="194" ht="13.5" customHeight="1">
      <c r="A194" s="88" t="s">
        <v>29</v>
      </c>
      <c r="B194" s="59"/>
      <c r="C194" s="53" t="s">
        <v>30</v>
      </c>
      <c r="D194" s="54"/>
      <c r="E194" s="60"/>
      <c r="F194" s="60"/>
      <c r="G194" s="60"/>
      <c r="H194" s="60"/>
      <c r="I194" s="60"/>
      <c r="J194" s="60"/>
      <c r="K194" s="61" t="s">
        <v>30</v>
      </c>
      <c r="L194" s="62">
        <f>(E194*E191)+(F194*F191)+(G194*G191)+(H194*H191)+(I194*I191)+(J194*J191)</f>
        <v>0</v>
      </c>
      <c r="M194" s="57" t="s">
        <v>31</v>
      </c>
      <c r="N194" s="63" t="b">
        <v>0</v>
      </c>
    </row>
    <row r="195" ht="18.0" customHeight="1">
      <c r="A195" s="89" t="s">
        <v>85</v>
      </c>
      <c r="B195" s="65" t="s">
        <v>33</v>
      </c>
      <c r="C195" s="53" t="s">
        <v>34</v>
      </c>
      <c r="D195" s="54"/>
      <c r="E195" s="66"/>
      <c r="F195" s="66"/>
      <c r="G195" s="66"/>
      <c r="H195" s="66"/>
      <c r="I195" s="66"/>
      <c r="J195" s="66"/>
      <c r="K195" s="67" t="s">
        <v>35</v>
      </c>
      <c r="L195" s="62">
        <f>(E195*E191)+(F195*F191)+(G195*G191)+(H195*H191)+(I195*I191)+(J195*J191)</f>
        <v>0</v>
      </c>
      <c r="M195" s="57" t="s">
        <v>36</v>
      </c>
      <c r="N195" s="63" t="b">
        <v>0</v>
      </c>
    </row>
    <row r="196" ht="13.5" customHeight="1">
      <c r="A196" s="68"/>
      <c r="B196" s="69" t="str">
        <f>IFS(L196=0,"",B196&lt;&gt;"",B196,TRUE,NOW())</f>
        <v/>
      </c>
      <c r="C196" s="70" t="s">
        <v>37</v>
      </c>
      <c r="D196" s="33"/>
      <c r="E196" s="71"/>
      <c r="F196" s="71"/>
      <c r="G196" s="71"/>
      <c r="H196" s="71"/>
      <c r="I196" s="71"/>
      <c r="J196" s="71"/>
      <c r="K196" s="72" t="s">
        <v>38</v>
      </c>
      <c r="L196" s="73">
        <f>L195-L194</f>
        <v>0</v>
      </c>
      <c r="M196" s="74" t="s">
        <v>39</v>
      </c>
      <c r="N196" s="75" t="b">
        <v>0</v>
      </c>
    </row>
    <row r="197" ht="13.5" customHeight="1">
      <c r="A197" s="88" t="s">
        <v>40</v>
      </c>
      <c r="B197" s="52" t="s">
        <v>84</v>
      </c>
      <c r="C197" s="53" t="s">
        <v>27</v>
      </c>
      <c r="D197" s="54"/>
      <c r="E197" s="55">
        <f t="shared" ref="E197:J197" si="53">E195-E198</f>
        <v>0</v>
      </c>
      <c r="F197" s="55">
        <f t="shared" si="53"/>
        <v>0</v>
      </c>
      <c r="G197" s="55">
        <f t="shared" si="53"/>
        <v>0</v>
      </c>
      <c r="H197" s="55">
        <f t="shared" si="53"/>
        <v>0</v>
      </c>
      <c r="I197" s="55">
        <f t="shared" si="53"/>
        <v>0</v>
      </c>
      <c r="J197" s="55">
        <f t="shared" si="53"/>
        <v>0</v>
      </c>
      <c r="K197" s="56"/>
      <c r="L197" s="30"/>
      <c r="M197" s="57" t="s">
        <v>28</v>
      </c>
      <c r="N197" s="58" t="b">
        <v>0</v>
      </c>
    </row>
    <row r="198" ht="13.5" customHeight="1">
      <c r="A198" s="90"/>
      <c r="B198" s="59"/>
      <c r="C198" s="53" t="s">
        <v>30</v>
      </c>
      <c r="D198" s="54"/>
      <c r="E198" s="60"/>
      <c r="F198" s="60"/>
      <c r="G198" s="60"/>
      <c r="H198" s="60"/>
      <c r="I198" s="60"/>
      <c r="J198" s="60"/>
      <c r="K198" s="61" t="s">
        <v>30</v>
      </c>
      <c r="L198" s="62">
        <f>(E198*E191)+(F198*F191)+(G198*G191)+(H198*H191)+(I198*I191)+(J198*J191)</f>
        <v>0</v>
      </c>
      <c r="M198" s="57" t="s">
        <v>31</v>
      </c>
      <c r="N198" s="63" t="b">
        <v>0</v>
      </c>
    </row>
    <row r="199" ht="13.5" customHeight="1">
      <c r="A199" s="68"/>
      <c r="B199" s="65" t="s">
        <v>42</v>
      </c>
      <c r="C199" s="53" t="s">
        <v>34</v>
      </c>
      <c r="D199" s="54"/>
      <c r="E199" s="66"/>
      <c r="F199" s="66"/>
      <c r="G199" s="66"/>
      <c r="H199" s="66"/>
      <c r="I199" s="66"/>
      <c r="J199" s="66"/>
      <c r="K199" s="67" t="s">
        <v>35</v>
      </c>
      <c r="L199" s="62">
        <f>(E199*E191)+(F199*F191)+(G199*G191)+(H199*H191)+(I199*I191)+(J199*J191)</f>
        <v>0</v>
      </c>
      <c r="M199" s="57" t="s">
        <v>36</v>
      </c>
      <c r="N199" s="63" t="b">
        <v>0</v>
      </c>
    </row>
    <row r="200" ht="15.0" customHeight="1">
      <c r="A200" s="88" t="s">
        <v>43</v>
      </c>
      <c r="B200" s="69" t="str">
        <f>IFS(L200=0,"",B200&lt;&gt;"",B200,TRUE,NOW())</f>
        <v/>
      </c>
      <c r="C200" s="70" t="s">
        <v>37</v>
      </c>
      <c r="D200" s="33"/>
      <c r="E200" s="71"/>
      <c r="F200" s="71"/>
      <c r="G200" s="71"/>
      <c r="H200" s="71"/>
      <c r="I200" s="71"/>
      <c r="J200" s="71"/>
      <c r="K200" s="72" t="s">
        <v>38</v>
      </c>
      <c r="L200" s="73">
        <f>L199-L198</f>
        <v>0</v>
      </c>
      <c r="M200" s="74" t="s">
        <v>39</v>
      </c>
      <c r="N200" s="75" t="b">
        <v>0</v>
      </c>
    </row>
    <row r="201" ht="13.5" customHeight="1">
      <c r="A201" s="90"/>
      <c r="B201" s="52" t="s">
        <v>84</v>
      </c>
      <c r="C201" s="53" t="s">
        <v>27</v>
      </c>
      <c r="D201" s="54"/>
      <c r="E201" s="55">
        <f t="shared" ref="E201:J201" si="54">E199-E202</f>
        <v>0</v>
      </c>
      <c r="F201" s="55">
        <f t="shared" si="54"/>
        <v>-1</v>
      </c>
      <c r="G201" s="55">
        <f t="shared" si="54"/>
        <v>0</v>
      </c>
      <c r="H201" s="55">
        <f t="shared" si="54"/>
        <v>0</v>
      </c>
      <c r="I201" s="55">
        <f t="shared" si="54"/>
        <v>0</v>
      </c>
      <c r="J201" s="55">
        <f t="shared" si="54"/>
        <v>0</v>
      </c>
      <c r="K201" s="56"/>
      <c r="L201" s="30"/>
      <c r="M201" s="57" t="s">
        <v>28</v>
      </c>
      <c r="N201" s="58" t="b">
        <v>0</v>
      </c>
    </row>
    <row r="202" ht="13.5" customHeight="1">
      <c r="A202" s="88" t="s">
        <v>45</v>
      </c>
      <c r="B202" s="59"/>
      <c r="C202" s="53" t="s">
        <v>30</v>
      </c>
      <c r="D202" s="54"/>
      <c r="E202" s="60"/>
      <c r="F202" s="84">
        <v>1.0</v>
      </c>
      <c r="G202" s="60"/>
      <c r="H202" s="60"/>
      <c r="I202" s="60"/>
      <c r="J202" s="60"/>
      <c r="K202" s="61" t="s">
        <v>30</v>
      </c>
      <c r="L202" s="62">
        <f>(E202*E191)+(F202*F191)+(G202*G191)+(H202*H191)+(I202*I191)+(J202*J191)</f>
        <v>27</v>
      </c>
      <c r="M202" s="57" t="s">
        <v>31</v>
      </c>
      <c r="N202" s="63" t="b">
        <v>0</v>
      </c>
    </row>
    <row r="203" ht="13.5" customHeight="1">
      <c r="A203" s="90"/>
      <c r="B203" s="65" t="s">
        <v>47</v>
      </c>
      <c r="C203" s="53" t="s">
        <v>34</v>
      </c>
      <c r="D203" s="54"/>
      <c r="E203" s="66"/>
      <c r="F203" s="76">
        <v>2.0</v>
      </c>
      <c r="G203" s="76">
        <v>3.0</v>
      </c>
      <c r="H203" s="66"/>
      <c r="I203" s="66"/>
      <c r="J203" s="76">
        <v>3.0</v>
      </c>
      <c r="K203" s="67" t="s">
        <v>35</v>
      </c>
      <c r="L203" s="62">
        <f>(E203*E191)+(F203*F191)+(G203*G191)+(H203*H191)+(I203*I191)+(J203*J191)</f>
        <v>246</v>
      </c>
      <c r="M203" s="57" t="s">
        <v>36</v>
      </c>
      <c r="N203" s="63" t="b">
        <v>0</v>
      </c>
    </row>
    <row r="204" ht="13.5" customHeight="1">
      <c r="A204" s="68"/>
      <c r="B204" s="69">
        <f>IFS(L204=0,"",B204&lt;&gt;"",B204,TRUE,NOW())</f>
        <v>46153.58598</v>
      </c>
      <c r="C204" s="70" t="s">
        <v>37</v>
      </c>
      <c r="D204" s="33"/>
      <c r="E204" s="71"/>
      <c r="F204" s="71"/>
      <c r="G204" s="71"/>
      <c r="H204" s="71"/>
      <c r="I204" s="71"/>
      <c r="J204" s="71"/>
      <c r="K204" s="72" t="s">
        <v>38</v>
      </c>
      <c r="L204" s="73">
        <f>L203-L202</f>
        <v>219</v>
      </c>
      <c r="M204" s="74" t="s">
        <v>39</v>
      </c>
      <c r="N204" s="75" t="b">
        <v>0</v>
      </c>
    </row>
    <row r="205" ht="13.5" customHeight="1">
      <c r="A205" s="91" t="s">
        <v>48</v>
      </c>
      <c r="B205" s="52" t="s">
        <v>84</v>
      </c>
      <c r="C205" s="53" t="s">
        <v>27</v>
      </c>
      <c r="D205" s="54"/>
      <c r="E205" s="55">
        <f t="shared" ref="E205:J205" si="55">E203-E206</f>
        <v>0</v>
      </c>
      <c r="F205" s="55">
        <f t="shared" si="55"/>
        <v>2</v>
      </c>
      <c r="G205" s="55">
        <f t="shared" si="55"/>
        <v>3</v>
      </c>
      <c r="H205" s="55">
        <f t="shared" si="55"/>
        <v>0</v>
      </c>
      <c r="I205" s="55">
        <f t="shared" si="55"/>
        <v>0</v>
      </c>
      <c r="J205" s="55">
        <f t="shared" si="55"/>
        <v>3</v>
      </c>
      <c r="K205" s="56"/>
      <c r="L205" s="30"/>
      <c r="M205" s="57" t="s">
        <v>28</v>
      </c>
      <c r="N205" s="58" t="b">
        <v>0</v>
      </c>
    </row>
    <row r="206" ht="13.5" customHeight="1">
      <c r="A206" s="87"/>
      <c r="B206" s="59"/>
      <c r="C206" s="53" t="s">
        <v>30</v>
      </c>
      <c r="D206" s="54"/>
      <c r="E206" s="60"/>
      <c r="F206" s="60"/>
      <c r="G206" s="60"/>
      <c r="H206" s="60"/>
      <c r="I206" s="60"/>
      <c r="J206" s="60"/>
      <c r="K206" s="61" t="s">
        <v>30</v>
      </c>
      <c r="L206" s="62">
        <f>(E206*E191)+(F206*F191)+(G206*G191)+(H206*H191)+(I206*I191)+(J206*J191)</f>
        <v>0</v>
      </c>
      <c r="M206" s="57" t="s">
        <v>31</v>
      </c>
      <c r="N206" s="63" t="b">
        <v>0</v>
      </c>
    </row>
    <row r="207" ht="18.0" customHeight="1">
      <c r="A207" s="68"/>
      <c r="B207" s="65" t="s">
        <v>49</v>
      </c>
      <c r="C207" s="53" t="s">
        <v>34</v>
      </c>
      <c r="D207" s="54"/>
      <c r="E207" s="66"/>
      <c r="F207" s="66"/>
      <c r="G207" s="66"/>
      <c r="H207" s="66"/>
      <c r="I207" s="66"/>
      <c r="J207" s="66"/>
      <c r="K207" s="67" t="s">
        <v>35</v>
      </c>
      <c r="L207" s="62">
        <f>(E207*E191)+(F207*F191)+(G207*G191)+(H207*H191)+(I207*I191)+(J207*J191)</f>
        <v>0</v>
      </c>
      <c r="M207" s="57" t="s">
        <v>36</v>
      </c>
      <c r="N207" s="63" t="b">
        <v>0</v>
      </c>
    </row>
    <row r="208" ht="13.5" customHeight="1">
      <c r="A208" s="80"/>
      <c r="B208" s="69" t="str">
        <f>IFS(L208=0,"",B208&lt;&gt;"",B208,TRUE,NOW())</f>
        <v/>
      </c>
      <c r="C208" s="53" t="s">
        <v>37</v>
      </c>
      <c r="D208" s="54"/>
      <c r="E208" s="81"/>
      <c r="F208" s="81"/>
      <c r="G208" s="81"/>
      <c r="H208" s="82"/>
      <c r="I208" s="81"/>
      <c r="J208" s="81"/>
      <c r="K208" s="72" t="s">
        <v>38</v>
      </c>
      <c r="L208" s="73">
        <f>L207-L206</f>
        <v>0</v>
      </c>
      <c r="M208" s="74" t="s">
        <v>39</v>
      </c>
      <c r="N208" s="75" t="b">
        <v>0</v>
      </c>
    </row>
    <row r="209" ht="13.5" customHeight="1">
      <c r="A209" s="83" t="s">
        <v>86</v>
      </c>
      <c r="B209" s="42" t="s">
        <v>20</v>
      </c>
      <c r="C209" s="24"/>
      <c r="D209" s="33"/>
      <c r="E209" s="43">
        <f t="shared" ref="E209:J209" si="56">E6</f>
        <v>17</v>
      </c>
      <c r="F209" s="43">
        <f t="shared" si="56"/>
        <v>27</v>
      </c>
      <c r="G209" s="43">
        <f t="shared" si="56"/>
        <v>27</v>
      </c>
      <c r="H209" s="43">
        <f t="shared" si="56"/>
        <v>27</v>
      </c>
      <c r="I209" s="43">
        <f t="shared" si="56"/>
        <v>32</v>
      </c>
      <c r="J209" s="44">
        <f t="shared" si="56"/>
        <v>37</v>
      </c>
      <c r="K209" s="42" t="s">
        <v>21</v>
      </c>
      <c r="L209" s="25"/>
      <c r="M209" s="45" t="s">
        <v>22</v>
      </c>
      <c r="N209" s="25"/>
    </row>
    <row r="210" ht="13.5" customHeight="1">
      <c r="A210" s="46" t="s">
        <v>23</v>
      </c>
      <c r="B210" s="47" t="s">
        <v>24</v>
      </c>
      <c r="C210" s="32" t="s">
        <v>25</v>
      </c>
      <c r="D210" s="33"/>
      <c r="E210" s="48"/>
      <c r="F210" s="48"/>
      <c r="G210" s="48"/>
      <c r="H210" s="48"/>
      <c r="I210" s="48"/>
      <c r="J210" s="48"/>
      <c r="K210" s="49"/>
      <c r="L210" s="25"/>
      <c r="M210" s="50"/>
      <c r="N210" s="10"/>
    </row>
    <row r="211" ht="13.5" customHeight="1">
      <c r="A211" s="51">
        <v>12.0</v>
      </c>
      <c r="B211" s="52" t="s">
        <v>87</v>
      </c>
      <c r="C211" s="53" t="s">
        <v>27</v>
      </c>
      <c r="D211" s="54"/>
      <c r="E211" s="55">
        <f t="shared" ref="E211:J211" si="57">E210-E212</f>
        <v>0</v>
      </c>
      <c r="F211" s="55">
        <f t="shared" si="57"/>
        <v>0</v>
      </c>
      <c r="G211" s="55">
        <f t="shared" si="57"/>
        <v>0</v>
      </c>
      <c r="H211" s="55">
        <f t="shared" si="57"/>
        <v>0</v>
      </c>
      <c r="I211" s="55">
        <f t="shared" si="57"/>
        <v>0</v>
      </c>
      <c r="J211" s="55">
        <f t="shared" si="57"/>
        <v>0</v>
      </c>
      <c r="K211" s="56"/>
      <c r="L211" s="30"/>
      <c r="M211" s="57" t="s">
        <v>28</v>
      </c>
      <c r="N211" s="58" t="b">
        <v>0</v>
      </c>
    </row>
    <row r="212" ht="18.0" customHeight="1">
      <c r="A212" s="46" t="s">
        <v>29</v>
      </c>
      <c r="B212" s="59"/>
      <c r="C212" s="53" t="s">
        <v>30</v>
      </c>
      <c r="D212" s="54"/>
      <c r="E212" s="60"/>
      <c r="F212" s="60"/>
      <c r="G212" s="60"/>
      <c r="H212" s="60"/>
      <c r="I212" s="60"/>
      <c r="J212" s="60"/>
      <c r="K212" s="61" t="s">
        <v>30</v>
      </c>
      <c r="L212" s="62">
        <f>(E212*E209)+(F212*F209)+(G212*G209)+(H212*H209)+(I212*I209)+(J212*J209)</f>
        <v>0</v>
      </c>
      <c r="M212" s="57" t="s">
        <v>31</v>
      </c>
      <c r="N212" s="63" t="b">
        <v>0</v>
      </c>
    </row>
    <row r="213" ht="13.5" customHeight="1">
      <c r="A213" s="64" t="s">
        <v>88</v>
      </c>
      <c r="B213" s="65" t="s">
        <v>33</v>
      </c>
      <c r="C213" s="53" t="s">
        <v>34</v>
      </c>
      <c r="D213" s="54"/>
      <c r="E213" s="66"/>
      <c r="F213" s="66"/>
      <c r="G213" s="66"/>
      <c r="H213" s="66"/>
      <c r="I213" s="66"/>
      <c r="J213" s="66"/>
      <c r="K213" s="67" t="s">
        <v>35</v>
      </c>
      <c r="L213" s="62">
        <f>(E213*E209)+(F213*F209)+(G213*G209)+(H213*H209)+(I213*I209)+(J213*J209)</f>
        <v>0</v>
      </c>
      <c r="M213" s="57" t="s">
        <v>36</v>
      </c>
      <c r="N213" s="63" t="b">
        <v>0</v>
      </c>
    </row>
    <row r="214" ht="13.5" customHeight="1">
      <c r="A214" s="68"/>
      <c r="B214" s="69" t="str">
        <f>IFS(L214=0,"",B214&lt;&gt;"",B214,TRUE,NOW())</f>
        <v/>
      </c>
      <c r="C214" s="70" t="s">
        <v>37</v>
      </c>
      <c r="D214" s="33"/>
      <c r="E214" s="71"/>
      <c r="F214" s="71"/>
      <c r="G214" s="71"/>
      <c r="H214" s="71"/>
      <c r="I214" s="71"/>
      <c r="J214" s="71"/>
      <c r="K214" s="72" t="s">
        <v>38</v>
      </c>
      <c r="L214" s="73">
        <f>L213-L212</f>
        <v>0</v>
      </c>
      <c r="M214" s="74" t="s">
        <v>39</v>
      </c>
      <c r="N214" s="75" t="b">
        <v>0</v>
      </c>
    </row>
    <row r="215" ht="13.5" customHeight="1">
      <c r="A215" s="46" t="s">
        <v>40</v>
      </c>
      <c r="B215" s="52" t="s">
        <v>87</v>
      </c>
      <c r="C215" s="53" t="s">
        <v>27</v>
      </c>
      <c r="D215" s="54"/>
      <c r="E215" s="55">
        <f t="shared" ref="E215:J215" si="58">E213-E216</f>
        <v>0</v>
      </c>
      <c r="F215" s="55">
        <f t="shared" si="58"/>
        <v>0</v>
      </c>
      <c r="G215" s="55">
        <f t="shared" si="58"/>
        <v>-1</v>
      </c>
      <c r="H215" s="55">
        <f t="shared" si="58"/>
        <v>0</v>
      </c>
      <c r="I215" s="55">
        <f t="shared" si="58"/>
        <v>0</v>
      </c>
      <c r="J215" s="55">
        <f t="shared" si="58"/>
        <v>-1</v>
      </c>
      <c r="K215" s="56"/>
      <c r="L215" s="30"/>
      <c r="M215" s="57" t="s">
        <v>28</v>
      </c>
      <c r="N215" s="58" t="b">
        <v>0</v>
      </c>
    </row>
    <row r="216" ht="13.5" customHeight="1">
      <c r="A216" s="64"/>
      <c r="B216" s="59"/>
      <c r="C216" s="53" t="s">
        <v>30</v>
      </c>
      <c r="D216" s="54"/>
      <c r="E216" s="60"/>
      <c r="F216" s="60"/>
      <c r="G216" s="84">
        <v>1.0</v>
      </c>
      <c r="H216" s="60"/>
      <c r="I216" s="60"/>
      <c r="J216" s="84">
        <v>1.0</v>
      </c>
      <c r="K216" s="61" t="s">
        <v>30</v>
      </c>
      <c r="L216" s="62">
        <f>(E216*E209)+(F216*F209)+(G216*G209)+(H216*H209)+(I216*I209)+(J216*J209)</f>
        <v>64</v>
      </c>
      <c r="M216" s="57" t="s">
        <v>31</v>
      </c>
      <c r="N216" s="63" t="b">
        <v>0</v>
      </c>
    </row>
    <row r="217" ht="15.0" customHeight="1">
      <c r="A217" s="68"/>
      <c r="B217" s="65" t="s">
        <v>42</v>
      </c>
      <c r="C217" s="53" t="s">
        <v>34</v>
      </c>
      <c r="D217" s="54"/>
      <c r="E217" s="66"/>
      <c r="F217" s="76">
        <v>2.0</v>
      </c>
      <c r="G217" s="76">
        <v>2.0</v>
      </c>
      <c r="H217" s="76">
        <v>1.0</v>
      </c>
      <c r="I217" s="76">
        <v>1.0</v>
      </c>
      <c r="J217" s="76">
        <v>3.0</v>
      </c>
      <c r="K217" s="67" t="s">
        <v>35</v>
      </c>
      <c r="L217" s="62">
        <f>(E217*E209)+(F217*F209)+(G217*G209)+(H217*H209)+(I217*I209)+(J217*J209)</f>
        <v>278</v>
      </c>
      <c r="M217" s="57" t="s">
        <v>36</v>
      </c>
      <c r="N217" s="63" t="b">
        <v>0</v>
      </c>
    </row>
    <row r="218" ht="13.5" customHeight="1">
      <c r="A218" s="46" t="s">
        <v>43</v>
      </c>
      <c r="B218" s="69">
        <f>IFS(L218=0,"",B218&lt;&gt;"",B218,TRUE,NOW())</f>
        <v>46146.57626</v>
      </c>
      <c r="C218" s="70" t="s">
        <v>37</v>
      </c>
      <c r="D218" s="33"/>
      <c r="E218" s="71"/>
      <c r="F218" s="71"/>
      <c r="G218" s="71"/>
      <c r="H218" s="71"/>
      <c r="I218" s="71"/>
      <c r="J218" s="71"/>
      <c r="K218" s="72" t="s">
        <v>38</v>
      </c>
      <c r="L218" s="73">
        <f>L217-L216</f>
        <v>214</v>
      </c>
      <c r="M218" s="74" t="s">
        <v>39</v>
      </c>
      <c r="N218" s="75" t="b">
        <v>0</v>
      </c>
    </row>
    <row r="219" ht="13.5" customHeight="1">
      <c r="A219" s="64"/>
      <c r="B219" s="52" t="s">
        <v>87</v>
      </c>
      <c r="C219" s="53" t="s">
        <v>27</v>
      </c>
      <c r="D219" s="54"/>
      <c r="E219" s="55">
        <f t="shared" ref="E219:J219" si="59">E217-E220</f>
        <v>0</v>
      </c>
      <c r="F219" s="55">
        <f t="shared" si="59"/>
        <v>2</v>
      </c>
      <c r="G219" s="55">
        <f t="shared" si="59"/>
        <v>2</v>
      </c>
      <c r="H219" s="55">
        <f t="shared" si="59"/>
        <v>1</v>
      </c>
      <c r="I219" s="55">
        <f t="shared" si="59"/>
        <v>1</v>
      </c>
      <c r="J219" s="55">
        <f t="shared" si="59"/>
        <v>3</v>
      </c>
      <c r="K219" s="56"/>
      <c r="L219" s="30"/>
      <c r="M219" s="57" t="s">
        <v>28</v>
      </c>
      <c r="N219" s="58" t="b">
        <v>0</v>
      </c>
    </row>
    <row r="220" ht="13.5" customHeight="1">
      <c r="A220" s="46" t="s">
        <v>45</v>
      </c>
      <c r="B220" s="59"/>
      <c r="C220" s="53" t="s">
        <v>30</v>
      </c>
      <c r="D220" s="54"/>
      <c r="E220" s="60"/>
      <c r="F220" s="60"/>
      <c r="G220" s="60"/>
      <c r="H220" s="60"/>
      <c r="I220" s="60"/>
      <c r="J220" s="60"/>
      <c r="K220" s="61" t="s">
        <v>30</v>
      </c>
      <c r="L220" s="62">
        <f>(E220*E209)+(F220*F209)+(G220*G209)+(H220*H209)+(I220*I209)+(J220*J209)</f>
        <v>0</v>
      </c>
      <c r="M220" s="57" t="s">
        <v>31</v>
      </c>
      <c r="N220" s="63" t="b">
        <v>0</v>
      </c>
    </row>
    <row r="221" ht="13.5" customHeight="1">
      <c r="A221" s="77"/>
      <c r="B221" s="65" t="s">
        <v>47</v>
      </c>
      <c r="C221" s="53" t="s">
        <v>34</v>
      </c>
      <c r="D221" s="54"/>
      <c r="E221" s="66"/>
      <c r="F221" s="76">
        <v>3.0</v>
      </c>
      <c r="G221" s="76">
        <v>2.0</v>
      </c>
      <c r="H221" s="76">
        <v>1.0</v>
      </c>
      <c r="I221" s="76">
        <v>2.0</v>
      </c>
      <c r="J221" s="76">
        <v>2.0</v>
      </c>
      <c r="K221" s="67" t="s">
        <v>35</v>
      </c>
      <c r="L221" s="62">
        <f>(E221*E209)+(F221*F209)+(G221*G209)+(H221*H209)+(I221*I209)+(J221*J209)</f>
        <v>300</v>
      </c>
      <c r="M221" s="57" t="s">
        <v>36</v>
      </c>
      <c r="N221" s="63" t="b">
        <v>0</v>
      </c>
    </row>
    <row r="222" ht="15.0" customHeight="1">
      <c r="A222" s="68"/>
      <c r="B222" s="69">
        <f>IFS(L222=0,"",B222&lt;&gt;"",B222,TRUE,NOW())</f>
        <v>46153.59217</v>
      </c>
      <c r="C222" s="70" t="s">
        <v>37</v>
      </c>
      <c r="D222" s="33"/>
      <c r="E222" s="71"/>
      <c r="F222" s="71"/>
      <c r="G222" s="71"/>
      <c r="H222" s="71"/>
      <c r="I222" s="71"/>
      <c r="J222" s="71"/>
      <c r="K222" s="72" t="s">
        <v>38</v>
      </c>
      <c r="L222" s="73">
        <f>L221-L220</f>
        <v>300</v>
      </c>
      <c r="M222" s="74" t="s">
        <v>39</v>
      </c>
      <c r="N222" s="75" t="b">
        <v>0</v>
      </c>
    </row>
    <row r="223" ht="13.5" customHeight="1">
      <c r="A223" s="78" t="s">
        <v>48</v>
      </c>
      <c r="B223" s="52" t="s">
        <v>87</v>
      </c>
      <c r="C223" s="53" t="s">
        <v>27</v>
      </c>
      <c r="D223" s="54"/>
      <c r="E223" s="55">
        <f t="shared" ref="E223:J223" si="60">E221-E224</f>
        <v>0</v>
      </c>
      <c r="F223" s="55">
        <f t="shared" si="60"/>
        <v>3</v>
      </c>
      <c r="G223" s="55">
        <f t="shared" si="60"/>
        <v>2</v>
      </c>
      <c r="H223" s="55">
        <f t="shared" si="60"/>
        <v>1</v>
      </c>
      <c r="I223" s="55">
        <f t="shared" si="60"/>
        <v>2</v>
      </c>
      <c r="J223" s="55">
        <f t="shared" si="60"/>
        <v>2</v>
      </c>
      <c r="K223" s="56"/>
      <c r="L223" s="30"/>
      <c r="M223" s="57" t="s">
        <v>28</v>
      </c>
      <c r="N223" s="58" t="b">
        <v>0</v>
      </c>
    </row>
    <row r="224" ht="13.5" customHeight="1">
      <c r="A224" s="87"/>
      <c r="B224" s="59"/>
      <c r="C224" s="53" t="s">
        <v>30</v>
      </c>
      <c r="D224" s="54"/>
      <c r="E224" s="60"/>
      <c r="F224" s="60"/>
      <c r="G224" s="60"/>
      <c r="H224" s="60"/>
      <c r="I224" s="60"/>
      <c r="J224" s="60"/>
      <c r="K224" s="61" t="s">
        <v>30</v>
      </c>
      <c r="L224" s="62">
        <f>(E224*E209)+(F224*F209)+(G224*G209)+(H224*H209)+(I224*I209)+(J224*J209)</f>
        <v>0</v>
      </c>
      <c r="M224" s="57" t="s">
        <v>31</v>
      </c>
      <c r="N224" s="63" t="b">
        <v>0</v>
      </c>
    </row>
    <row r="225" ht="13.5" customHeight="1">
      <c r="A225" s="68"/>
      <c r="B225" s="65" t="s">
        <v>49</v>
      </c>
      <c r="C225" s="53" t="s">
        <v>34</v>
      </c>
      <c r="D225" s="54"/>
      <c r="E225" s="66"/>
      <c r="F225" s="66"/>
      <c r="G225" s="66"/>
      <c r="H225" s="66"/>
      <c r="I225" s="66"/>
      <c r="J225" s="66"/>
      <c r="K225" s="67" t="s">
        <v>35</v>
      </c>
      <c r="L225" s="62">
        <f>(E225*E209)+(F225*F209)+(G225*G209)+(H225*H209)+(I225*I209)+(J225*J209)</f>
        <v>0</v>
      </c>
      <c r="M225" s="57" t="s">
        <v>36</v>
      </c>
      <c r="N225" s="63" t="b">
        <v>0</v>
      </c>
    </row>
    <row r="226" ht="13.5" customHeight="1">
      <c r="A226" s="80"/>
      <c r="B226" s="69" t="str">
        <f>IFS(L226=0,"",B226&lt;&gt;"",B226,TRUE,NOW())</f>
        <v/>
      </c>
      <c r="C226" s="53" t="s">
        <v>37</v>
      </c>
      <c r="D226" s="54"/>
      <c r="E226" s="81"/>
      <c r="F226" s="81"/>
      <c r="G226" s="81"/>
      <c r="H226" s="82"/>
      <c r="I226" s="81"/>
      <c r="J226" s="81"/>
      <c r="K226" s="72" t="s">
        <v>38</v>
      </c>
      <c r="L226" s="73">
        <f>L225-L224</f>
        <v>0</v>
      </c>
      <c r="M226" s="74" t="s">
        <v>39</v>
      </c>
      <c r="N226" s="75" t="b">
        <v>0</v>
      </c>
    </row>
    <row r="227" ht="13.5" customHeight="1">
      <c r="A227" s="83" t="s">
        <v>89</v>
      </c>
      <c r="B227" s="42" t="s">
        <v>20</v>
      </c>
      <c r="C227" s="24"/>
      <c r="D227" s="33"/>
      <c r="E227" s="43">
        <f t="shared" ref="E227:J227" si="61">E6</f>
        <v>17</v>
      </c>
      <c r="F227" s="43">
        <f t="shared" si="61"/>
        <v>27</v>
      </c>
      <c r="G227" s="43">
        <f t="shared" si="61"/>
        <v>27</v>
      </c>
      <c r="H227" s="43">
        <f t="shared" si="61"/>
        <v>27</v>
      </c>
      <c r="I227" s="43">
        <f t="shared" si="61"/>
        <v>32</v>
      </c>
      <c r="J227" s="44">
        <f t="shared" si="61"/>
        <v>37</v>
      </c>
      <c r="K227" s="42" t="s">
        <v>21</v>
      </c>
      <c r="L227" s="25"/>
      <c r="M227" s="45" t="s">
        <v>22</v>
      </c>
      <c r="N227" s="25"/>
    </row>
    <row r="228" ht="13.5" customHeight="1">
      <c r="A228" s="46" t="s">
        <v>23</v>
      </c>
      <c r="B228" s="47" t="s">
        <v>24</v>
      </c>
      <c r="C228" s="32" t="s">
        <v>25</v>
      </c>
      <c r="D228" s="33"/>
      <c r="E228" s="48"/>
      <c r="F228" s="48"/>
      <c r="G228" s="48"/>
      <c r="H228" s="48"/>
      <c r="I228" s="48"/>
      <c r="J228" s="48"/>
      <c r="K228" s="49"/>
      <c r="L228" s="25"/>
      <c r="M228" s="50"/>
      <c r="N228" s="10"/>
    </row>
    <row r="229" ht="15.0" customHeight="1">
      <c r="A229" s="51">
        <v>13.0</v>
      </c>
      <c r="B229" s="52" t="s">
        <v>90</v>
      </c>
      <c r="C229" s="53" t="s">
        <v>27</v>
      </c>
      <c r="D229" s="54"/>
      <c r="E229" s="55">
        <f t="shared" ref="E229:J229" si="62">E228-E230</f>
        <v>0</v>
      </c>
      <c r="F229" s="55">
        <f t="shared" si="62"/>
        <v>0</v>
      </c>
      <c r="G229" s="55">
        <f t="shared" si="62"/>
        <v>0</v>
      </c>
      <c r="H229" s="55">
        <f t="shared" si="62"/>
        <v>0</v>
      </c>
      <c r="I229" s="55">
        <f t="shared" si="62"/>
        <v>0</v>
      </c>
      <c r="J229" s="55">
        <f t="shared" si="62"/>
        <v>0</v>
      </c>
      <c r="K229" s="56"/>
      <c r="L229" s="30"/>
      <c r="M229" s="57" t="s">
        <v>28</v>
      </c>
      <c r="N229" s="58" t="b">
        <v>0</v>
      </c>
    </row>
    <row r="230" ht="13.5" customHeight="1">
      <c r="A230" s="46" t="s">
        <v>29</v>
      </c>
      <c r="B230" s="59"/>
      <c r="C230" s="53" t="s">
        <v>30</v>
      </c>
      <c r="D230" s="54"/>
      <c r="E230" s="60"/>
      <c r="F230" s="60"/>
      <c r="G230" s="60"/>
      <c r="H230" s="60"/>
      <c r="I230" s="60"/>
      <c r="J230" s="60"/>
      <c r="K230" s="61" t="s">
        <v>30</v>
      </c>
      <c r="L230" s="62">
        <f>(E230*E227)+(F230*F227)+(G230*G227)+(H230*H227)+(I230*I227)+(J230*J227)</f>
        <v>0</v>
      </c>
      <c r="M230" s="57" t="s">
        <v>31</v>
      </c>
      <c r="N230" s="63" t="b">
        <v>0</v>
      </c>
    </row>
    <row r="231" ht="13.5" customHeight="1">
      <c r="A231" s="64" t="s">
        <v>91</v>
      </c>
      <c r="B231" s="65" t="s">
        <v>33</v>
      </c>
      <c r="C231" s="53" t="s">
        <v>34</v>
      </c>
      <c r="D231" s="54"/>
      <c r="E231" s="66"/>
      <c r="F231" s="66"/>
      <c r="G231" s="66"/>
      <c r="H231" s="66"/>
      <c r="I231" s="66"/>
      <c r="J231" s="66"/>
      <c r="K231" s="67" t="s">
        <v>35</v>
      </c>
      <c r="L231" s="62">
        <f>(E231*E227)+(F231*F227)+(G231*G227)+(H231*H227)+(I231*I227)+(J231*J227)</f>
        <v>0</v>
      </c>
      <c r="M231" s="57" t="s">
        <v>36</v>
      </c>
      <c r="N231" s="63" t="b">
        <v>0</v>
      </c>
    </row>
    <row r="232" ht="13.5" customHeight="1">
      <c r="A232" s="68"/>
      <c r="B232" s="69" t="str">
        <f>IFS(L232=0,"",B232&lt;&gt;"",B232,TRUE,NOW())</f>
        <v/>
      </c>
      <c r="C232" s="70" t="s">
        <v>37</v>
      </c>
      <c r="D232" s="33"/>
      <c r="E232" s="71"/>
      <c r="F232" s="71"/>
      <c r="G232" s="71"/>
      <c r="H232" s="71"/>
      <c r="I232" s="71"/>
      <c r="J232" s="71"/>
      <c r="K232" s="72" t="s">
        <v>38</v>
      </c>
      <c r="L232" s="73">
        <f>L231-L230</f>
        <v>0</v>
      </c>
      <c r="M232" s="74" t="s">
        <v>39</v>
      </c>
      <c r="N232" s="75" t="b">
        <v>0</v>
      </c>
    </row>
    <row r="233" ht="13.5" customHeight="1">
      <c r="A233" s="46" t="s">
        <v>40</v>
      </c>
      <c r="B233" s="52" t="s">
        <v>90</v>
      </c>
      <c r="C233" s="53" t="s">
        <v>27</v>
      </c>
      <c r="D233" s="54"/>
      <c r="E233" s="55">
        <f t="shared" ref="E233:J233" si="63">E231-E234</f>
        <v>0</v>
      </c>
      <c r="F233" s="55">
        <f t="shared" si="63"/>
        <v>0</v>
      </c>
      <c r="G233" s="55">
        <f t="shared" si="63"/>
        <v>0</v>
      </c>
      <c r="H233" s="55">
        <f t="shared" si="63"/>
        <v>0</v>
      </c>
      <c r="I233" s="55">
        <f t="shared" si="63"/>
        <v>0</v>
      </c>
      <c r="J233" s="55">
        <f t="shared" si="63"/>
        <v>0</v>
      </c>
      <c r="K233" s="56"/>
      <c r="L233" s="30"/>
      <c r="M233" s="57" t="s">
        <v>28</v>
      </c>
      <c r="N233" s="58" t="b">
        <v>0</v>
      </c>
    </row>
    <row r="234" ht="15.0" customHeight="1">
      <c r="A234" s="64"/>
      <c r="B234" s="59"/>
      <c r="C234" s="53" t="s">
        <v>30</v>
      </c>
      <c r="D234" s="54"/>
      <c r="E234" s="60"/>
      <c r="F234" s="60"/>
      <c r="G234" s="60"/>
      <c r="H234" s="60"/>
      <c r="I234" s="60"/>
      <c r="J234" s="60"/>
      <c r="K234" s="61" t="s">
        <v>30</v>
      </c>
      <c r="L234" s="62">
        <f>(E234*E227)+(F234*F227)+(G234*G227)+(H234*H227)+(I234*I227)+(J234*J227)</f>
        <v>0</v>
      </c>
      <c r="M234" s="57" t="s">
        <v>31</v>
      </c>
      <c r="N234" s="63" t="b">
        <v>0</v>
      </c>
    </row>
    <row r="235" ht="13.5" customHeight="1">
      <c r="A235" s="68"/>
      <c r="B235" s="65" t="s">
        <v>42</v>
      </c>
      <c r="C235" s="53" t="s">
        <v>34</v>
      </c>
      <c r="D235" s="54"/>
      <c r="E235" s="66"/>
      <c r="F235" s="76"/>
      <c r="G235" s="66"/>
      <c r="H235" s="66"/>
      <c r="I235" s="76"/>
      <c r="J235" s="76"/>
      <c r="K235" s="67" t="s">
        <v>35</v>
      </c>
      <c r="L235" s="62">
        <f>(E235*E227)+(F235*F227)+(G235*G227)+(H235*H227)+(I235*I227)+(J235*J227)</f>
        <v>0</v>
      </c>
      <c r="M235" s="57" t="s">
        <v>36</v>
      </c>
      <c r="N235" s="63" t="b">
        <v>0</v>
      </c>
    </row>
    <row r="236" ht="13.5" customHeight="1">
      <c r="A236" s="46" t="s">
        <v>43</v>
      </c>
      <c r="B236" s="69" t="str">
        <f>IFS(L236=0,"",B236&lt;&gt;"",B236,TRUE,NOW())</f>
        <v/>
      </c>
      <c r="C236" s="70" t="s">
        <v>37</v>
      </c>
      <c r="D236" s="33"/>
      <c r="E236" s="71"/>
      <c r="F236" s="71"/>
      <c r="G236" s="71"/>
      <c r="H236" s="71"/>
      <c r="I236" s="71"/>
      <c r="J236" s="71"/>
      <c r="K236" s="72" t="s">
        <v>38</v>
      </c>
      <c r="L236" s="73">
        <f>L235-L234</f>
        <v>0</v>
      </c>
      <c r="M236" s="74" t="s">
        <v>39</v>
      </c>
      <c r="N236" s="75" t="b">
        <v>0</v>
      </c>
    </row>
    <row r="237" ht="13.5" customHeight="1">
      <c r="A237" s="64"/>
      <c r="B237" s="52" t="s">
        <v>90</v>
      </c>
      <c r="C237" s="53" t="s">
        <v>27</v>
      </c>
      <c r="D237" s="54"/>
      <c r="E237" s="55">
        <f t="shared" ref="E237:J237" si="64">E235-E238</f>
        <v>0</v>
      </c>
      <c r="F237" s="55">
        <f t="shared" si="64"/>
        <v>0</v>
      </c>
      <c r="G237" s="55">
        <f t="shared" si="64"/>
        <v>0</v>
      </c>
      <c r="H237" s="55">
        <f t="shared" si="64"/>
        <v>-1</v>
      </c>
      <c r="I237" s="55">
        <f t="shared" si="64"/>
        <v>-1</v>
      </c>
      <c r="J237" s="55">
        <f t="shared" si="64"/>
        <v>-1</v>
      </c>
      <c r="K237" s="56"/>
      <c r="L237" s="30"/>
      <c r="M237" s="57" t="s">
        <v>28</v>
      </c>
      <c r="N237" s="58" t="b">
        <v>0</v>
      </c>
    </row>
    <row r="238" ht="13.5" customHeight="1">
      <c r="A238" s="46" t="s">
        <v>45</v>
      </c>
      <c r="B238" s="59"/>
      <c r="C238" s="53" t="s">
        <v>30</v>
      </c>
      <c r="D238" s="54"/>
      <c r="E238" s="60"/>
      <c r="F238" s="60"/>
      <c r="G238" s="60"/>
      <c r="H238" s="84">
        <v>1.0</v>
      </c>
      <c r="I238" s="84">
        <v>1.0</v>
      </c>
      <c r="J238" s="84">
        <v>1.0</v>
      </c>
      <c r="K238" s="61" t="s">
        <v>30</v>
      </c>
      <c r="L238" s="62">
        <f>(E238*E227)+(F238*F227)+(G238*G227)+(H238*H227)+(I238*I227)+(J238*J227)</f>
        <v>96</v>
      </c>
      <c r="M238" s="57" t="s">
        <v>31</v>
      </c>
      <c r="N238" s="63" t="b">
        <v>0</v>
      </c>
    </row>
    <row r="239" ht="15.0" customHeight="1">
      <c r="A239" s="77"/>
      <c r="B239" s="65" t="s">
        <v>47</v>
      </c>
      <c r="C239" s="53" t="s">
        <v>34</v>
      </c>
      <c r="D239" s="54"/>
      <c r="E239" s="66"/>
      <c r="F239" s="66"/>
      <c r="G239" s="76">
        <v>2.0</v>
      </c>
      <c r="H239" s="76">
        <v>2.0</v>
      </c>
      <c r="I239" s="76">
        <v>2.0</v>
      </c>
      <c r="J239" s="76">
        <v>2.0</v>
      </c>
      <c r="K239" s="67" t="s">
        <v>35</v>
      </c>
      <c r="L239" s="62">
        <f>(E239*E227)+(F239*F227)+(G239*G227)+(H239*H227)+(I239*I227)+(J239*J227)</f>
        <v>246</v>
      </c>
      <c r="M239" s="57" t="s">
        <v>36</v>
      </c>
      <c r="N239" s="63" t="b">
        <v>0</v>
      </c>
    </row>
    <row r="240" ht="13.5" customHeight="1">
      <c r="A240" s="68"/>
      <c r="B240" s="69">
        <f>IFS(L240=0,"",B240&lt;&gt;"",B240,TRUE,NOW())</f>
        <v>46153.6718</v>
      </c>
      <c r="C240" s="70" t="s">
        <v>37</v>
      </c>
      <c r="D240" s="33"/>
      <c r="E240" s="71"/>
      <c r="F240" s="71"/>
      <c r="G240" s="71"/>
      <c r="H240" s="71"/>
      <c r="I240" s="71"/>
      <c r="J240" s="71"/>
      <c r="K240" s="72" t="s">
        <v>38</v>
      </c>
      <c r="L240" s="73">
        <f>L239-L238</f>
        <v>150</v>
      </c>
      <c r="M240" s="74" t="s">
        <v>39</v>
      </c>
      <c r="N240" s="75" t="b">
        <v>0</v>
      </c>
    </row>
    <row r="241" ht="13.5" customHeight="1">
      <c r="A241" s="78" t="s">
        <v>48</v>
      </c>
      <c r="B241" s="52" t="s">
        <v>90</v>
      </c>
      <c r="C241" s="53" t="s">
        <v>27</v>
      </c>
      <c r="D241" s="54"/>
      <c r="E241" s="55">
        <f t="shared" ref="E241:J241" si="65">E239-E242</f>
        <v>0</v>
      </c>
      <c r="F241" s="55">
        <f t="shared" si="65"/>
        <v>0</v>
      </c>
      <c r="G241" s="55">
        <f t="shared" si="65"/>
        <v>2</v>
      </c>
      <c r="H241" s="55">
        <f t="shared" si="65"/>
        <v>2</v>
      </c>
      <c r="I241" s="55">
        <f t="shared" si="65"/>
        <v>2</v>
      </c>
      <c r="J241" s="55">
        <f t="shared" si="65"/>
        <v>2</v>
      </c>
      <c r="K241" s="56"/>
      <c r="L241" s="30"/>
      <c r="M241" s="57" t="s">
        <v>28</v>
      </c>
      <c r="N241" s="58" t="b">
        <v>0</v>
      </c>
    </row>
    <row r="242" ht="13.5" customHeight="1">
      <c r="A242" s="87"/>
      <c r="B242" s="59"/>
      <c r="C242" s="53" t="s">
        <v>30</v>
      </c>
      <c r="D242" s="54"/>
      <c r="E242" s="60"/>
      <c r="F242" s="60"/>
      <c r="G242" s="60"/>
      <c r="H242" s="60"/>
      <c r="I242" s="60"/>
      <c r="J242" s="60"/>
      <c r="K242" s="61" t="s">
        <v>30</v>
      </c>
      <c r="L242" s="62">
        <f>(E242*E227)+(F242*F227)+(G242*G227)+(H242*H227)+(I242*I227)+(J242*J227)</f>
        <v>0</v>
      </c>
      <c r="M242" s="57" t="s">
        <v>31</v>
      </c>
      <c r="N242" s="63" t="b">
        <v>0</v>
      </c>
    </row>
    <row r="243" ht="13.5" customHeight="1">
      <c r="A243" s="68"/>
      <c r="B243" s="65" t="s">
        <v>49</v>
      </c>
      <c r="C243" s="53" t="s">
        <v>34</v>
      </c>
      <c r="D243" s="54"/>
      <c r="E243" s="66"/>
      <c r="F243" s="66"/>
      <c r="G243" s="66"/>
      <c r="H243" s="66"/>
      <c r="I243" s="66"/>
      <c r="J243" s="66"/>
      <c r="K243" s="67" t="s">
        <v>35</v>
      </c>
      <c r="L243" s="62">
        <f>(E243*E227)+(F243*F227)+(G243*G227)+(H243*H227)+(I243*I227)+(J243*J227)</f>
        <v>0</v>
      </c>
      <c r="M243" s="57" t="s">
        <v>36</v>
      </c>
      <c r="N243" s="63" t="b">
        <v>0</v>
      </c>
    </row>
    <row r="244" ht="15.0" customHeight="1">
      <c r="A244" s="80"/>
      <c r="B244" s="69" t="str">
        <f>IFS(L244=0,"",B244&lt;&gt;"",B244,TRUE,NOW())</f>
        <v/>
      </c>
      <c r="C244" s="53" t="s">
        <v>37</v>
      </c>
      <c r="D244" s="54"/>
      <c r="E244" s="81"/>
      <c r="F244" s="81"/>
      <c r="G244" s="81"/>
      <c r="H244" s="82"/>
      <c r="I244" s="81"/>
      <c r="J244" s="81"/>
      <c r="K244" s="72" t="s">
        <v>38</v>
      </c>
      <c r="L244" s="73">
        <f>L243-L242</f>
        <v>0</v>
      </c>
      <c r="M244" s="74" t="s">
        <v>39</v>
      </c>
      <c r="N244" s="75" t="b">
        <v>0</v>
      </c>
    </row>
    <row r="245" ht="13.5" customHeight="1">
      <c r="A245" s="83" t="s">
        <v>92</v>
      </c>
      <c r="B245" s="42" t="s">
        <v>20</v>
      </c>
      <c r="C245" s="24"/>
      <c r="D245" s="33"/>
      <c r="E245" s="43">
        <f t="shared" ref="E245:J245" si="66">E6</f>
        <v>17</v>
      </c>
      <c r="F245" s="43">
        <f t="shared" si="66"/>
        <v>27</v>
      </c>
      <c r="G245" s="43">
        <f t="shared" si="66"/>
        <v>27</v>
      </c>
      <c r="H245" s="43">
        <f t="shared" si="66"/>
        <v>27</v>
      </c>
      <c r="I245" s="43">
        <f t="shared" si="66"/>
        <v>32</v>
      </c>
      <c r="J245" s="44">
        <f t="shared" si="66"/>
        <v>37</v>
      </c>
      <c r="K245" s="42" t="s">
        <v>21</v>
      </c>
      <c r="L245" s="25"/>
      <c r="M245" s="45" t="s">
        <v>22</v>
      </c>
      <c r="N245" s="25"/>
    </row>
    <row r="246" ht="13.5" customHeight="1">
      <c r="A246" s="46" t="s">
        <v>23</v>
      </c>
      <c r="B246" s="47" t="s">
        <v>24</v>
      </c>
      <c r="C246" s="32" t="s">
        <v>25</v>
      </c>
      <c r="D246" s="33"/>
      <c r="E246" s="48"/>
      <c r="F246" s="48"/>
      <c r="G246" s="48"/>
      <c r="H246" s="48"/>
      <c r="I246" s="48"/>
      <c r="J246" s="48"/>
      <c r="K246" s="49"/>
      <c r="L246" s="25"/>
      <c r="M246" s="50"/>
      <c r="N246" s="10"/>
    </row>
    <row r="247" ht="13.5" customHeight="1">
      <c r="A247" s="92"/>
      <c r="B247" s="52" t="s">
        <v>93</v>
      </c>
      <c r="C247" s="53" t="s">
        <v>27</v>
      </c>
      <c r="D247" s="54"/>
      <c r="E247" s="55">
        <f t="shared" ref="E247:J247" si="67">E246-E248</f>
        <v>0</v>
      </c>
      <c r="F247" s="55">
        <f t="shared" si="67"/>
        <v>0</v>
      </c>
      <c r="G247" s="55">
        <f t="shared" si="67"/>
        <v>0</v>
      </c>
      <c r="H247" s="55">
        <f t="shared" si="67"/>
        <v>0</v>
      </c>
      <c r="I247" s="55">
        <f t="shared" si="67"/>
        <v>0</v>
      </c>
      <c r="J247" s="55">
        <f t="shared" si="67"/>
        <v>0</v>
      </c>
      <c r="K247" s="56"/>
      <c r="L247" s="30"/>
      <c r="M247" s="57" t="s">
        <v>28</v>
      </c>
      <c r="N247" s="58" t="b">
        <v>0</v>
      </c>
    </row>
    <row r="248" ht="13.5" customHeight="1">
      <c r="A248" s="46" t="s">
        <v>29</v>
      </c>
      <c r="B248" s="59"/>
      <c r="C248" s="53" t="s">
        <v>30</v>
      </c>
      <c r="D248" s="54"/>
      <c r="E248" s="60"/>
      <c r="F248" s="60"/>
      <c r="G248" s="60"/>
      <c r="H248" s="60"/>
      <c r="I248" s="60"/>
      <c r="J248" s="60"/>
      <c r="K248" s="61" t="s">
        <v>30</v>
      </c>
      <c r="L248" s="62">
        <f>(E248*E245)+(F248*F245)+(G248*G245)+(H248*H245)+(I248*I245)+(J248*J245)</f>
        <v>0</v>
      </c>
      <c r="M248" s="57" t="s">
        <v>31</v>
      </c>
      <c r="N248" s="63" t="b">
        <v>0</v>
      </c>
    </row>
    <row r="249" ht="13.5" customHeight="1">
      <c r="A249" s="64" t="s">
        <v>94</v>
      </c>
      <c r="B249" s="65" t="s">
        <v>33</v>
      </c>
      <c r="C249" s="53" t="s">
        <v>34</v>
      </c>
      <c r="D249" s="54"/>
      <c r="E249" s="66"/>
      <c r="F249" s="66"/>
      <c r="G249" s="66"/>
      <c r="H249" s="66"/>
      <c r="I249" s="66"/>
      <c r="J249" s="66"/>
      <c r="K249" s="67" t="s">
        <v>35</v>
      </c>
      <c r="L249" s="62">
        <f>(E249*E245)+(F249*F245)+(G249*G245)+(H249*H245)+(I249*I245)+(J249*J245)</f>
        <v>0</v>
      </c>
      <c r="M249" s="57" t="s">
        <v>36</v>
      </c>
      <c r="N249" s="63" t="b">
        <v>0</v>
      </c>
    </row>
    <row r="250" ht="13.5" customHeight="1">
      <c r="A250" s="68"/>
      <c r="B250" s="69" t="str">
        <f>IFS(L250=0,"",B250&lt;&gt;"",B250,TRUE,NOW())</f>
        <v/>
      </c>
      <c r="C250" s="70" t="s">
        <v>37</v>
      </c>
      <c r="D250" s="33"/>
      <c r="E250" s="71"/>
      <c r="F250" s="71"/>
      <c r="G250" s="71"/>
      <c r="H250" s="71"/>
      <c r="I250" s="71"/>
      <c r="J250" s="71"/>
      <c r="K250" s="72" t="s">
        <v>38</v>
      </c>
      <c r="L250" s="73">
        <f>L249-L248</f>
        <v>0</v>
      </c>
      <c r="M250" s="74" t="s">
        <v>39</v>
      </c>
      <c r="N250" s="75" t="b">
        <v>0</v>
      </c>
    </row>
    <row r="251" ht="15.0" customHeight="1">
      <c r="A251" s="46" t="s">
        <v>40</v>
      </c>
      <c r="B251" s="52" t="s">
        <v>93</v>
      </c>
      <c r="C251" s="53" t="s">
        <v>27</v>
      </c>
      <c r="D251" s="54"/>
      <c r="E251" s="55">
        <f t="shared" ref="E251:J251" si="68">E249-E252</f>
        <v>0</v>
      </c>
      <c r="F251" s="55">
        <f t="shared" si="68"/>
        <v>0</v>
      </c>
      <c r="G251" s="55">
        <f t="shared" si="68"/>
        <v>0</v>
      </c>
      <c r="H251" s="55">
        <f t="shared" si="68"/>
        <v>0</v>
      </c>
      <c r="I251" s="55">
        <f t="shared" si="68"/>
        <v>0</v>
      </c>
      <c r="J251" s="55">
        <f t="shared" si="68"/>
        <v>0</v>
      </c>
      <c r="K251" s="56"/>
      <c r="L251" s="30"/>
      <c r="M251" s="57" t="s">
        <v>28</v>
      </c>
      <c r="N251" s="58" t="b">
        <v>0</v>
      </c>
    </row>
    <row r="252" ht="13.5" customHeight="1">
      <c r="A252" s="64"/>
      <c r="B252" s="59"/>
      <c r="C252" s="53" t="s">
        <v>30</v>
      </c>
      <c r="D252" s="54"/>
      <c r="E252" s="60"/>
      <c r="F252" s="60"/>
      <c r="G252" s="60"/>
      <c r="H252" s="60"/>
      <c r="I252" s="60"/>
      <c r="J252" s="60"/>
      <c r="K252" s="61" t="s">
        <v>30</v>
      </c>
      <c r="L252" s="62">
        <f>(E252*E245)+(F252*F245)+(G252*G245)+(H252*H245)+(I252*I245)+(J252*J245)</f>
        <v>0</v>
      </c>
      <c r="M252" s="57" t="s">
        <v>31</v>
      </c>
      <c r="N252" s="63" t="b">
        <v>0</v>
      </c>
    </row>
    <row r="253" ht="13.5" customHeight="1">
      <c r="A253" s="68"/>
      <c r="B253" s="65" t="s">
        <v>42</v>
      </c>
      <c r="C253" s="53" t="s">
        <v>34</v>
      </c>
      <c r="D253" s="54"/>
      <c r="E253" s="66"/>
      <c r="F253" s="76"/>
      <c r="G253" s="76"/>
      <c r="H253" s="76"/>
      <c r="I253" s="76"/>
      <c r="J253" s="76"/>
      <c r="K253" s="67" t="s">
        <v>35</v>
      </c>
      <c r="L253" s="62">
        <f>(E253*E245)+(F253*F245)+(G253*G245)+(H253*H245)+(I253*I245)+(J253*J245)</f>
        <v>0</v>
      </c>
      <c r="M253" s="57" t="s">
        <v>36</v>
      </c>
      <c r="N253" s="63" t="b">
        <v>0</v>
      </c>
    </row>
    <row r="254" ht="13.5" customHeight="1">
      <c r="A254" s="46" t="s">
        <v>43</v>
      </c>
      <c r="B254" s="69" t="str">
        <f>IFS(L254=0,"",B254&lt;&gt;"",B254,TRUE,NOW())</f>
        <v/>
      </c>
      <c r="C254" s="70" t="s">
        <v>37</v>
      </c>
      <c r="D254" s="33"/>
      <c r="E254" s="71"/>
      <c r="F254" s="71"/>
      <c r="G254" s="71"/>
      <c r="H254" s="71"/>
      <c r="I254" s="71"/>
      <c r="J254" s="71"/>
      <c r="K254" s="72" t="s">
        <v>38</v>
      </c>
      <c r="L254" s="73">
        <f>L253-L252</f>
        <v>0</v>
      </c>
      <c r="M254" s="74" t="s">
        <v>39</v>
      </c>
      <c r="N254" s="75" t="b">
        <v>0</v>
      </c>
    </row>
    <row r="255" ht="13.5" customHeight="1">
      <c r="A255" s="64"/>
      <c r="B255" s="52" t="s">
        <v>93</v>
      </c>
      <c r="C255" s="53" t="s">
        <v>27</v>
      </c>
      <c r="D255" s="54"/>
      <c r="E255" s="55">
        <f t="shared" ref="E255:J255" si="69">E253-E256</f>
        <v>0</v>
      </c>
      <c r="F255" s="55">
        <f t="shared" si="69"/>
        <v>0</v>
      </c>
      <c r="G255" s="55">
        <f t="shared" si="69"/>
        <v>0</v>
      </c>
      <c r="H255" s="55">
        <f t="shared" si="69"/>
        <v>0</v>
      </c>
      <c r="I255" s="55">
        <f t="shared" si="69"/>
        <v>0</v>
      </c>
      <c r="J255" s="55">
        <f t="shared" si="69"/>
        <v>0</v>
      </c>
      <c r="K255" s="56"/>
      <c r="L255" s="30"/>
      <c r="M255" s="57" t="s">
        <v>28</v>
      </c>
      <c r="N255" s="58" t="b">
        <v>0</v>
      </c>
    </row>
    <row r="256" ht="15.0" customHeight="1">
      <c r="A256" s="46" t="s">
        <v>45</v>
      </c>
      <c r="B256" s="59"/>
      <c r="C256" s="53" t="s">
        <v>30</v>
      </c>
      <c r="D256" s="54"/>
      <c r="E256" s="60"/>
      <c r="F256" s="60"/>
      <c r="G256" s="60"/>
      <c r="H256" s="60"/>
      <c r="I256" s="60"/>
      <c r="J256" s="60"/>
      <c r="K256" s="61" t="s">
        <v>30</v>
      </c>
      <c r="L256" s="62">
        <f>(E256*E245)+(F256*F245)+(G256*G245)+(H256*H245)+(I256*I245)+(J256*J245)</f>
        <v>0</v>
      </c>
      <c r="M256" s="57" t="s">
        <v>31</v>
      </c>
      <c r="N256" s="63" t="b">
        <v>0</v>
      </c>
    </row>
    <row r="257" ht="13.5" customHeight="1">
      <c r="A257" s="77"/>
      <c r="B257" s="65" t="s">
        <v>47</v>
      </c>
      <c r="C257" s="53" t="s">
        <v>34</v>
      </c>
      <c r="D257" s="54"/>
      <c r="E257" s="66"/>
      <c r="F257" s="76">
        <v>4.0</v>
      </c>
      <c r="G257" s="76">
        <v>4.0</v>
      </c>
      <c r="H257" s="76">
        <v>1.0</v>
      </c>
      <c r="I257" s="76">
        <v>1.0</v>
      </c>
      <c r="J257" s="76">
        <v>5.0</v>
      </c>
      <c r="K257" s="67" t="s">
        <v>35</v>
      </c>
      <c r="L257" s="62">
        <f>(E257*E245)+(F257*F245)+(G257*G245)+(H257*H245)+(I257*I245)+(J257*J245)</f>
        <v>460</v>
      </c>
      <c r="M257" s="57" t="s">
        <v>36</v>
      </c>
      <c r="N257" s="63" t="b">
        <v>0</v>
      </c>
    </row>
    <row r="258" ht="13.5" customHeight="1">
      <c r="A258" s="68"/>
      <c r="B258" s="69">
        <f>IFS(L258=0,"",B258&lt;&gt;"",B258,TRUE,NOW())</f>
        <v>46153.50393</v>
      </c>
      <c r="C258" s="70" t="s">
        <v>37</v>
      </c>
      <c r="D258" s="33"/>
      <c r="E258" s="71"/>
      <c r="F258" s="71"/>
      <c r="G258" s="71"/>
      <c r="H258" s="71"/>
      <c r="I258" s="71"/>
      <c r="J258" s="71"/>
      <c r="K258" s="72" t="s">
        <v>38</v>
      </c>
      <c r="L258" s="73">
        <f>L257-L256</f>
        <v>460</v>
      </c>
      <c r="M258" s="74" t="s">
        <v>39</v>
      </c>
      <c r="N258" s="75" t="b">
        <v>0</v>
      </c>
    </row>
    <row r="259" ht="13.5" customHeight="1">
      <c r="A259" s="78" t="s">
        <v>48</v>
      </c>
      <c r="B259" s="52" t="s">
        <v>93</v>
      </c>
      <c r="C259" s="53" t="s">
        <v>27</v>
      </c>
      <c r="D259" s="54"/>
      <c r="E259" s="55">
        <f t="shared" ref="E259:J259" si="70">E257-E260</f>
        <v>0</v>
      </c>
      <c r="F259" s="55">
        <f t="shared" si="70"/>
        <v>4</v>
      </c>
      <c r="G259" s="55">
        <f t="shared" si="70"/>
        <v>4</v>
      </c>
      <c r="H259" s="55">
        <f t="shared" si="70"/>
        <v>1</v>
      </c>
      <c r="I259" s="55">
        <f t="shared" si="70"/>
        <v>1</v>
      </c>
      <c r="J259" s="55">
        <f t="shared" si="70"/>
        <v>5</v>
      </c>
      <c r="K259" s="56"/>
      <c r="L259" s="30"/>
      <c r="M259" s="57" t="s">
        <v>28</v>
      </c>
      <c r="N259" s="58" t="b">
        <v>0</v>
      </c>
    </row>
    <row r="260" ht="13.5" customHeight="1">
      <c r="A260" s="87"/>
      <c r="B260" s="59"/>
      <c r="C260" s="53" t="s">
        <v>30</v>
      </c>
      <c r="D260" s="54"/>
      <c r="E260" s="60"/>
      <c r="F260" s="60"/>
      <c r="G260" s="60"/>
      <c r="H260" s="60"/>
      <c r="I260" s="60"/>
      <c r="J260" s="60"/>
      <c r="K260" s="61" t="s">
        <v>30</v>
      </c>
      <c r="L260" s="62">
        <f>(E260*E245)+(F260*F245)+(G260*G245)+(H260*H245)+(I260*I245)+(J260*J245)</f>
        <v>0</v>
      </c>
      <c r="M260" s="57" t="s">
        <v>31</v>
      </c>
      <c r="N260" s="63" t="b">
        <v>0</v>
      </c>
    </row>
    <row r="261" ht="15.0" customHeight="1">
      <c r="A261" s="68"/>
      <c r="B261" s="65" t="s">
        <v>49</v>
      </c>
      <c r="C261" s="53" t="s">
        <v>34</v>
      </c>
      <c r="D261" s="54"/>
      <c r="E261" s="66"/>
      <c r="F261" s="66"/>
      <c r="G261" s="66"/>
      <c r="H261" s="66"/>
      <c r="I261" s="66"/>
      <c r="J261" s="66"/>
      <c r="K261" s="67" t="s">
        <v>35</v>
      </c>
      <c r="L261" s="62">
        <f>(E261*E245)+(F261*F245)+(G261*G245)+(H261*H245)+(I261*I245)+(J261*J245)</f>
        <v>0</v>
      </c>
      <c r="M261" s="57" t="s">
        <v>36</v>
      </c>
      <c r="N261" s="63" t="b">
        <v>0</v>
      </c>
    </row>
    <row r="262" ht="13.5" customHeight="1">
      <c r="A262" s="80"/>
      <c r="B262" s="69" t="str">
        <f>IFS(L262=0,"",B262&lt;&gt;"",B262,TRUE,NOW())</f>
        <v/>
      </c>
      <c r="C262" s="86" t="s">
        <v>37</v>
      </c>
      <c r="D262" s="59"/>
      <c r="E262" s="81"/>
      <c r="F262" s="81"/>
      <c r="G262" s="81"/>
      <c r="H262" s="82"/>
      <c r="I262" s="81"/>
      <c r="J262" s="81"/>
      <c r="K262" s="72" t="s">
        <v>38</v>
      </c>
      <c r="L262" s="73">
        <f>L261-L260</f>
        <v>0</v>
      </c>
      <c r="M262" s="74" t="s">
        <v>39</v>
      </c>
      <c r="N262" s="75" t="b">
        <v>0</v>
      </c>
    </row>
    <row r="263" ht="13.5" customHeight="1">
      <c r="A263" s="83" t="s">
        <v>95</v>
      </c>
      <c r="B263" s="42" t="s">
        <v>20</v>
      </c>
      <c r="C263" s="24"/>
      <c r="D263" s="33"/>
      <c r="E263" s="43">
        <f t="shared" ref="E263:J263" si="71">E6</f>
        <v>17</v>
      </c>
      <c r="F263" s="43">
        <f t="shared" si="71"/>
        <v>27</v>
      </c>
      <c r="G263" s="43">
        <f t="shared" si="71"/>
        <v>27</v>
      </c>
      <c r="H263" s="43">
        <f t="shared" si="71"/>
        <v>27</v>
      </c>
      <c r="I263" s="43">
        <f t="shared" si="71"/>
        <v>32</v>
      </c>
      <c r="J263" s="44">
        <f t="shared" si="71"/>
        <v>37</v>
      </c>
      <c r="K263" s="42" t="s">
        <v>21</v>
      </c>
      <c r="L263" s="25"/>
      <c r="M263" s="45" t="s">
        <v>22</v>
      </c>
      <c r="N263" s="25"/>
    </row>
    <row r="264" ht="13.5" customHeight="1">
      <c r="A264" s="46" t="s">
        <v>23</v>
      </c>
      <c r="B264" s="47" t="s">
        <v>24</v>
      </c>
      <c r="C264" s="32" t="s">
        <v>25</v>
      </c>
      <c r="D264" s="33"/>
      <c r="E264" s="48"/>
      <c r="F264" s="48"/>
      <c r="G264" s="48"/>
      <c r="H264" s="48"/>
      <c r="I264" s="48"/>
      <c r="J264" s="48"/>
      <c r="K264" s="49"/>
      <c r="L264" s="25"/>
      <c r="M264" s="50"/>
      <c r="N264" s="10"/>
    </row>
    <row r="265" ht="13.5" customHeight="1">
      <c r="A265" s="92"/>
      <c r="B265" s="52" t="s">
        <v>96</v>
      </c>
      <c r="C265" s="53" t="s">
        <v>27</v>
      </c>
      <c r="D265" s="54"/>
      <c r="E265" s="55">
        <f t="shared" ref="E265:J265" si="72">E264-E266</f>
        <v>0</v>
      </c>
      <c r="F265" s="55">
        <f t="shared" si="72"/>
        <v>0</v>
      </c>
      <c r="G265" s="55">
        <f t="shared" si="72"/>
        <v>0</v>
      </c>
      <c r="H265" s="55">
        <f t="shared" si="72"/>
        <v>0</v>
      </c>
      <c r="I265" s="55">
        <f t="shared" si="72"/>
        <v>0</v>
      </c>
      <c r="J265" s="55">
        <f t="shared" si="72"/>
        <v>0</v>
      </c>
      <c r="K265" s="56"/>
      <c r="L265" s="30"/>
      <c r="M265" s="57" t="s">
        <v>28</v>
      </c>
      <c r="N265" s="58" t="b">
        <v>0</v>
      </c>
    </row>
    <row r="266" ht="15.0" customHeight="1">
      <c r="A266" s="46" t="s">
        <v>29</v>
      </c>
      <c r="B266" s="59"/>
      <c r="C266" s="53" t="s">
        <v>30</v>
      </c>
      <c r="D266" s="54"/>
      <c r="E266" s="60"/>
      <c r="F266" s="60"/>
      <c r="G266" s="60"/>
      <c r="H266" s="60"/>
      <c r="I266" s="60"/>
      <c r="J266" s="60"/>
      <c r="K266" s="61" t="s">
        <v>30</v>
      </c>
      <c r="L266" s="62">
        <f>(E266*E263)+(F266*F263)+(G266*G263)+(H266*H263)+(I266*I263)+(J266*J263)</f>
        <v>0</v>
      </c>
      <c r="M266" s="57" t="s">
        <v>31</v>
      </c>
      <c r="N266" s="63" t="b">
        <v>0</v>
      </c>
    </row>
    <row r="267" ht="13.5" customHeight="1">
      <c r="A267" s="64"/>
      <c r="B267" s="65" t="s">
        <v>33</v>
      </c>
      <c r="C267" s="53" t="s">
        <v>34</v>
      </c>
      <c r="D267" s="54"/>
      <c r="E267" s="66"/>
      <c r="F267" s="66"/>
      <c r="G267" s="66"/>
      <c r="H267" s="66"/>
      <c r="I267" s="66"/>
      <c r="J267" s="66"/>
      <c r="K267" s="67" t="s">
        <v>35</v>
      </c>
      <c r="L267" s="62">
        <f>(E267*E263)+(F267*F263)+(G267*G263)+(H267*H263)+(I267*I263)+(J267*J263)</f>
        <v>0</v>
      </c>
      <c r="M267" s="57" t="s">
        <v>36</v>
      </c>
      <c r="N267" s="63" t="b">
        <v>0</v>
      </c>
    </row>
    <row r="268" ht="13.5" customHeight="1">
      <c r="A268" s="68"/>
      <c r="B268" s="69" t="str">
        <f>IFS(L268=0,"",B268&lt;&gt;"",B268,TRUE,NOW())</f>
        <v/>
      </c>
      <c r="C268" s="70" t="s">
        <v>37</v>
      </c>
      <c r="D268" s="33"/>
      <c r="E268" s="71"/>
      <c r="F268" s="71"/>
      <c r="G268" s="71"/>
      <c r="H268" s="71"/>
      <c r="I268" s="71"/>
      <c r="J268" s="71"/>
      <c r="K268" s="72" t="s">
        <v>38</v>
      </c>
      <c r="L268" s="73">
        <f>L267-L266</f>
        <v>0</v>
      </c>
      <c r="M268" s="74" t="s">
        <v>39</v>
      </c>
      <c r="N268" s="75" t="b">
        <v>0</v>
      </c>
    </row>
    <row r="269" ht="13.5" customHeight="1">
      <c r="A269" s="46" t="s">
        <v>40</v>
      </c>
      <c r="B269" s="52" t="s">
        <v>96</v>
      </c>
      <c r="C269" s="53" t="s">
        <v>27</v>
      </c>
      <c r="D269" s="54"/>
      <c r="E269" s="55">
        <f t="shared" ref="E269:J269" si="73">E267-E270</f>
        <v>0</v>
      </c>
      <c r="F269" s="55">
        <f t="shared" si="73"/>
        <v>0</v>
      </c>
      <c r="G269" s="55">
        <f t="shared" si="73"/>
        <v>0</v>
      </c>
      <c r="H269" s="55">
        <f t="shared" si="73"/>
        <v>0</v>
      </c>
      <c r="I269" s="55">
        <f t="shared" si="73"/>
        <v>0</v>
      </c>
      <c r="J269" s="55">
        <f t="shared" si="73"/>
        <v>0</v>
      </c>
      <c r="K269" s="56"/>
      <c r="L269" s="30"/>
      <c r="M269" s="57" t="s">
        <v>28</v>
      </c>
      <c r="N269" s="58" t="b">
        <v>0</v>
      </c>
    </row>
    <row r="270" ht="13.5" customHeight="1">
      <c r="A270" s="64"/>
      <c r="B270" s="59"/>
      <c r="C270" s="53" t="s">
        <v>30</v>
      </c>
      <c r="D270" s="54"/>
      <c r="E270" s="60"/>
      <c r="F270" s="60"/>
      <c r="G270" s="60"/>
      <c r="H270" s="60"/>
      <c r="I270" s="60"/>
      <c r="J270" s="60"/>
      <c r="K270" s="61" t="s">
        <v>30</v>
      </c>
      <c r="L270" s="62">
        <f>(E270*E263)+(F270*F263)+(G270*G263)+(H270*H263)+(I270*I263)+(J270*J263)</f>
        <v>0</v>
      </c>
      <c r="M270" s="57" t="s">
        <v>31</v>
      </c>
      <c r="N270" s="63" t="b">
        <v>0</v>
      </c>
    </row>
    <row r="271" ht="13.5" customHeight="1">
      <c r="A271" s="68"/>
      <c r="B271" s="65" t="s">
        <v>42</v>
      </c>
      <c r="C271" s="53" t="s">
        <v>34</v>
      </c>
      <c r="D271" s="54"/>
      <c r="E271" s="66"/>
      <c r="F271" s="76"/>
      <c r="G271" s="76"/>
      <c r="H271" s="76"/>
      <c r="I271" s="76"/>
      <c r="J271" s="76"/>
      <c r="K271" s="67" t="s">
        <v>35</v>
      </c>
      <c r="L271" s="62">
        <f>(E271*E263)+(F271*F263)+(G271*G263)+(H271*H263)+(I271*I263)+(J271*J263)</f>
        <v>0</v>
      </c>
      <c r="M271" s="57" t="s">
        <v>36</v>
      </c>
      <c r="N271" s="63" t="b">
        <v>0</v>
      </c>
    </row>
    <row r="272" ht="13.5" customHeight="1">
      <c r="A272" s="46" t="s">
        <v>43</v>
      </c>
      <c r="B272" s="69" t="str">
        <f>IFS(L272=0,"",B272&lt;&gt;"",B272,TRUE,NOW())</f>
        <v/>
      </c>
      <c r="C272" s="70" t="s">
        <v>37</v>
      </c>
      <c r="D272" s="33"/>
      <c r="E272" s="71"/>
      <c r="F272" s="71"/>
      <c r="G272" s="71"/>
      <c r="H272" s="71"/>
      <c r="I272" s="71"/>
      <c r="J272" s="71"/>
      <c r="K272" s="72" t="s">
        <v>38</v>
      </c>
      <c r="L272" s="73">
        <f>L271-L270</f>
        <v>0</v>
      </c>
      <c r="M272" s="74" t="s">
        <v>39</v>
      </c>
      <c r="N272" s="75" t="b">
        <v>0</v>
      </c>
    </row>
    <row r="273" ht="18.0" customHeight="1">
      <c r="A273" s="64"/>
      <c r="B273" s="52" t="s">
        <v>96</v>
      </c>
      <c r="C273" s="53" t="s">
        <v>27</v>
      </c>
      <c r="D273" s="54"/>
      <c r="E273" s="55">
        <f t="shared" ref="E273:J273" si="74">E271-E274</f>
        <v>0</v>
      </c>
      <c r="F273" s="55">
        <f t="shared" si="74"/>
        <v>0</v>
      </c>
      <c r="G273" s="55">
        <f t="shared" si="74"/>
        <v>0</v>
      </c>
      <c r="H273" s="55">
        <f t="shared" si="74"/>
        <v>0</v>
      </c>
      <c r="I273" s="55">
        <f t="shared" si="74"/>
        <v>0</v>
      </c>
      <c r="J273" s="55">
        <f t="shared" si="74"/>
        <v>0</v>
      </c>
      <c r="K273" s="56"/>
      <c r="L273" s="30"/>
      <c r="M273" s="57" t="s">
        <v>28</v>
      </c>
      <c r="N273" s="58" t="b">
        <v>0</v>
      </c>
    </row>
    <row r="274" ht="13.5" customHeight="1">
      <c r="A274" s="46" t="s">
        <v>45</v>
      </c>
      <c r="B274" s="59"/>
      <c r="C274" s="53" t="s">
        <v>30</v>
      </c>
      <c r="D274" s="54"/>
      <c r="E274" s="60"/>
      <c r="F274" s="60"/>
      <c r="G274" s="60"/>
      <c r="H274" s="60"/>
      <c r="I274" s="60"/>
      <c r="J274" s="60"/>
      <c r="K274" s="61" t="s">
        <v>30</v>
      </c>
      <c r="L274" s="62">
        <f>(E274*E263)+(F274*F263)+(G274*G263)+(H274*H263)+(I274*I263)+(J274*J263)</f>
        <v>0</v>
      </c>
      <c r="M274" s="57" t="s">
        <v>31</v>
      </c>
      <c r="N274" s="63" t="b">
        <v>0</v>
      </c>
    </row>
    <row r="275" ht="13.5" customHeight="1">
      <c r="A275" s="77"/>
      <c r="B275" s="65" t="s">
        <v>47</v>
      </c>
      <c r="C275" s="53" t="s">
        <v>34</v>
      </c>
      <c r="D275" s="54"/>
      <c r="E275" s="66"/>
      <c r="F275" s="66"/>
      <c r="G275" s="66"/>
      <c r="H275" s="66"/>
      <c r="I275" s="66"/>
      <c r="J275" s="66"/>
      <c r="K275" s="67" t="s">
        <v>35</v>
      </c>
      <c r="L275" s="62">
        <f>(E275*E263)+(F275*F263)+(G275*G263)+(H275*H263)+(I275*I263)+(J275*J263)</f>
        <v>0</v>
      </c>
      <c r="M275" s="57" t="s">
        <v>36</v>
      </c>
      <c r="N275" s="63" t="b">
        <v>0</v>
      </c>
    </row>
    <row r="276" ht="13.5" customHeight="1">
      <c r="A276" s="68"/>
      <c r="B276" s="69" t="str">
        <f>IFS(L276=0,"",B276&lt;&gt;"",B276,TRUE,NOW())</f>
        <v/>
      </c>
      <c r="C276" s="70" t="s">
        <v>37</v>
      </c>
      <c r="D276" s="33"/>
      <c r="E276" s="71"/>
      <c r="F276" s="71"/>
      <c r="G276" s="71"/>
      <c r="H276" s="71"/>
      <c r="I276" s="71"/>
      <c r="J276" s="71"/>
      <c r="K276" s="72" t="s">
        <v>38</v>
      </c>
      <c r="L276" s="73">
        <f>L275-L274</f>
        <v>0</v>
      </c>
      <c r="M276" s="74" t="s">
        <v>39</v>
      </c>
      <c r="N276" s="75" t="b">
        <v>0</v>
      </c>
    </row>
    <row r="277" ht="13.5" customHeight="1">
      <c r="A277" s="78" t="s">
        <v>48</v>
      </c>
      <c r="B277" s="52" t="s">
        <v>96</v>
      </c>
      <c r="C277" s="53" t="s">
        <v>27</v>
      </c>
      <c r="D277" s="54"/>
      <c r="E277" s="55">
        <f t="shared" ref="E277:J277" si="75">E275-E278</f>
        <v>0</v>
      </c>
      <c r="F277" s="55">
        <f t="shared" si="75"/>
        <v>0</v>
      </c>
      <c r="G277" s="55">
        <f t="shared" si="75"/>
        <v>0</v>
      </c>
      <c r="H277" s="55">
        <f t="shared" si="75"/>
        <v>0</v>
      </c>
      <c r="I277" s="55">
        <f t="shared" si="75"/>
        <v>0</v>
      </c>
      <c r="J277" s="55">
        <f t="shared" si="75"/>
        <v>0</v>
      </c>
      <c r="K277" s="56"/>
      <c r="L277" s="30"/>
      <c r="M277" s="57" t="s">
        <v>28</v>
      </c>
      <c r="N277" s="58" t="b">
        <v>0</v>
      </c>
    </row>
    <row r="278" ht="15.0" customHeight="1">
      <c r="A278" s="87"/>
      <c r="B278" s="59"/>
      <c r="C278" s="53" t="s">
        <v>30</v>
      </c>
      <c r="D278" s="54"/>
      <c r="E278" s="60"/>
      <c r="F278" s="60"/>
      <c r="G278" s="60"/>
      <c r="H278" s="60"/>
      <c r="I278" s="60"/>
      <c r="J278" s="60"/>
      <c r="K278" s="61" t="s">
        <v>30</v>
      </c>
      <c r="L278" s="62">
        <f>(E278*E263)+(F278*F263)+(G278*G263)+(H278*H263)+(I278*I263)+(J278*J263)</f>
        <v>0</v>
      </c>
      <c r="M278" s="57" t="s">
        <v>31</v>
      </c>
      <c r="N278" s="63" t="b">
        <v>0</v>
      </c>
    </row>
    <row r="279" ht="13.5" customHeight="1">
      <c r="A279" s="68"/>
      <c r="B279" s="65" t="s">
        <v>49</v>
      </c>
      <c r="C279" s="53" t="s">
        <v>34</v>
      </c>
      <c r="D279" s="54"/>
      <c r="E279" s="66"/>
      <c r="F279" s="66"/>
      <c r="G279" s="66"/>
      <c r="H279" s="66"/>
      <c r="I279" s="66"/>
      <c r="J279" s="66"/>
      <c r="K279" s="67" t="s">
        <v>35</v>
      </c>
      <c r="L279" s="62">
        <f>(E279*E263)+(F279*F263)+(G279*G263)+(H279*H263)+(I279*I263)+(J279*J263)</f>
        <v>0</v>
      </c>
      <c r="M279" s="57" t="s">
        <v>36</v>
      </c>
      <c r="N279" s="63" t="b">
        <v>0</v>
      </c>
    </row>
    <row r="280" ht="13.5" customHeight="1">
      <c r="A280" s="80"/>
      <c r="B280" s="69" t="str">
        <f>IFS(L280=0,"",B280&lt;&gt;"",B280,TRUE,NOW())</f>
        <v/>
      </c>
      <c r="C280" s="86" t="s">
        <v>37</v>
      </c>
      <c r="D280" s="59"/>
      <c r="E280" s="81"/>
      <c r="F280" s="81"/>
      <c r="G280" s="81"/>
      <c r="H280" s="82"/>
      <c r="I280" s="81"/>
      <c r="J280" s="81"/>
      <c r="K280" s="72" t="s">
        <v>38</v>
      </c>
      <c r="L280" s="73">
        <f>L279-L278</f>
        <v>0</v>
      </c>
      <c r="M280" s="74" t="s">
        <v>39</v>
      </c>
      <c r="N280" s="75" t="b">
        <v>0</v>
      </c>
    </row>
    <row r="281" ht="13.5" customHeight="1">
      <c r="A281" s="83" t="s">
        <v>97</v>
      </c>
      <c r="B281" s="42" t="s">
        <v>20</v>
      </c>
      <c r="C281" s="24"/>
      <c r="D281" s="33"/>
      <c r="E281" s="43">
        <f t="shared" ref="E281:J281" si="76">E6</f>
        <v>17</v>
      </c>
      <c r="F281" s="43">
        <f t="shared" si="76"/>
        <v>27</v>
      </c>
      <c r="G281" s="43">
        <f t="shared" si="76"/>
        <v>27</v>
      </c>
      <c r="H281" s="43">
        <f t="shared" si="76"/>
        <v>27</v>
      </c>
      <c r="I281" s="43">
        <f t="shared" si="76"/>
        <v>32</v>
      </c>
      <c r="J281" s="44">
        <f t="shared" si="76"/>
        <v>37</v>
      </c>
      <c r="K281" s="42" t="s">
        <v>21</v>
      </c>
      <c r="L281" s="25"/>
      <c r="M281" s="45" t="s">
        <v>22</v>
      </c>
      <c r="N281" s="25"/>
    </row>
    <row r="282" ht="13.5" customHeight="1">
      <c r="A282" s="46" t="s">
        <v>23</v>
      </c>
      <c r="B282" s="47" t="s">
        <v>24</v>
      </c>
      <c r="C282" s="32" t="s">
        <v>25</v>
      </c>
      <c r="D282" s="33"/>
      <c r="E282" s="48"/>
      <c r="F282" s="48"/>
      <c r="G282" s="48"/>
      <c r="H282" s="48"/>
      <c r="I282" s="48"/>
      <c r="J282" s="48"/>
      <c r="K282" s="49"/>
      <c r="L282" s="25"/>
      <c r="M282" s="50"/>
      <c r="N282" s="10"/>
    </row>
    <row r="283" ht="15.0" customHeight="1">
      <c r="A283" s="92"/>
      <c r="B283" s="52" t="s">
        <v>98</v>
      </c>
      <c r="C283" s="53" t="s">
        <v>27</v>
      </c>
      <c r="D283" s="54"/>
      <c r="E283" s="55">
        <f t="shared" ref="E283:J283" si="77">E282-E284</f>
        <v>0</v>
      </c>
      <c r="F283" s="55">
        <f t="shared" si="77"/>
        <v>0</v>
      </c>
      <c r="G283" s="55">
        <f t="shared" si="77"/>
        <v>0</v>
      </c>
      <c r="H283" s="55">
        <f t="shared" si="77"/>
        <v>0</v>
      </c>
      <c r="I283" s="55">
        <f t="shared" si="77"/>
        <v>0</v>
      </c>
      <c r="J283" s="55">
        <f t="shared" si="77"/>
        <v>0</v>
      </c>
      <c r="K283" s="56"/>
      <c r="L283" s="30"/>
      <c r="M283" s="57" t="s">
        <v>28</v>
      </c>
      <c r="N283" s="58" t="b">
        <v>0</v>
      </c>
    </row>
    <row r="284" ht="13.5" customHeight="1">
      <c r="A284" s="46" t="s">
        <v>29</v>
      </c>
      <c r="B284" s="59"/>
      <c r="C284" s="53" t="s">
        <v>30</v>
      </c>
      <c r="D284" s="54"/>
      <c r="E284" s="60"/>
      <c r="F284" s="60"/>
      <c r="G284" s="60"/>
      <c r="H284" s="60"/>
      <c r="I284" s="60"/>
      <c r="J284" s="60"/>
      <c r="K284" s="61" t="s">
        <v>30</v>
      </c>
      <c r="L284" s="62">
        <f>(E284*E281)+(F284*F281)+(G284*G281)+(H284*H281)+(I284*I281)+(J284*J281)</f>
        <v>0</v>
      </c>
      <c r="M284" s="57" t="s">
        <v>31</v>
      </c>
      <c r="N284" s="63" t="b">
        <v>0</v>
      </c>
    </row>
    <row r="285" ht="13.5" customHeight="1">
      <c r="A285" s="64"/>
      <c r="B285" s="65" t="s">
        <v>33</v>
      </c>
      <c r="C285" s="53" t="s">
        <v>34</v>
      </c>
      <c r="D285" s="54"/>
      <c r="E285" s="66"/>
      <c r="F285" s="66"/>
      <c r="G285" s="66"/>
      <c r="H285" s="66"/>
      <c r="I285" s="66"/>
      <c r="J285" s="66"/>
      <c r="K285" s="67" t="s">
        <v>35</v>
      </c>
      <c r="L285" s="62">
        <f>(E285*E281)+(F285*F281)+(G285*G281)+(H285*H281)+(I285*I281)+(J285*J281)</f>
        <v>0</v>
      </c>
      <c r="M285" s="57" t="s">
        <v>36</v>
      </c>
      <c r="N285" s="63" t="b">
        <v>0</v>
      </c>
    </row>
    <row r="286" ht="13.5" customHeight="1">
      <c r="A286" s="68"/>
      <c r="B286" s="69" t="str">
        <f>IFS(L286=0,"",B286&lt;&gt;"",B286,TRUE,NOW())</f>
        <v/>
      </c>
      <c r="C286" s="70" t="s">
        <v>37</v>
      </c>
      <c r="D286" s="33"/>
      <c r="E286" s="71"/>
      <c r="F286" s="71"/>
      <c r="G286" s="71"/>
      <c r="H286" s="71"/>
      <c r="I286" s="71"/>
      <c r="J286" s="71"/>
      <c r="K286" s="72" t="s">
        <v>38</v>
      </c>
      <c r="L286" s="73">
        <f>L285-L284</f>
        <v>0</v>
      </c>
      <c r="M286" s="74" t="s">
        <v>39</v>
      </c>
      <c r="N286" s="75" t="b">
        <v>0</v>
      </c>
    </row>
    <row r="287" ht="13.5" customHeight="1">
      <c r="A287" s="46" t="s">
        <v>40</v>
      </c>
      <c r="B287" s="52" t="s">
        <v>98</v>
      </c>
      <c r="C287" s="53" t="s">
        <v>27</v>
      </c>
      <c r="D287" s="54"/>
      <c r="E287" s="55">
        <f t="shared" ref="E287:J287" si="78">E285-E288</f>
        <v>0</v>
      </c>
      <c r="F287" s="55">
        <f t="shared" si="78"/>
        <v>0</v>
      </c>
      <c r="G287" s="55">
        <f t="shared" si="78"/>
        <v>0</v>
      </c>
      <c r="H287" s="55">
        <f t="shared" si="78"/>
        <v>0</v>
      </c>
      <c r="I287" s="55">
        <f t="shared" si="78"/>
        <v>0</v>
      </c>
      <c r="J287" s="55">
        <f t="shared" si="78"/>
        <v>0</v>
      </c>
      <c r="K287" s="56"/>
      <c r="L287" s="30"/>
      <c r="M287" s="57" t="s">
        <v>28</v>
      </c>
      <c r="N287" s="58" t="b">
        <v>0</v>
      </c>
    </row>
    <row r="288" ht="15.0" customHeight="1">
      <c r="A288" s="64"/>
      <c r="B288" s="59"/>
      <c r="C288" s="53" t="s">
        <v>30</v>
      </c>
      <c r="D288" s="54"/>
      <c r="E288" s="60"/>
      <c r="F288" s="60"/>
      <c r="G288" s="60"/>
      <c r="H288" s="60"/>
      <c r="I288" s="60"/>
      <c r="J288" s="60"/>
      <c r="K288" s="61" t="s">
        <v>30</v>
      </c>
      <c r="L288" s="62">
        <f>(E288*E281)+(F288*F281)+(G288*G281)+(H288*H281)+(I288*I281)+(J288*J281)</f>
        <v>0</v>
      </c>
      <c r="M288" s="57" t="s">
        <v>31</v>
      </c>
      <c r="N288" s="63" t="b">
        <v>0</v>
      </c>
    </row>
    <row r="289" ht="13.5" customHeight="1">
      <c r="A289" s="68"/>
      <c r="B289" s="65" t="s">
        <v>42</v>
      </c>
      <c r="C289" s="53" t="s">
        <v>34</v>
      </c>
      <c r="D289" s="54"/>
      <c r="E289" s="66"/>
      <c r="F289" s="66"/>
      <c r="G289" s="66"/>
      <c r="H289" s="66"/>
      <c r="I289" s="66"/>
      <c r="J289" s="66"/>
      <c r="K289" s="67" t="s">
        <v>35</v>
      </c>
      <c r="L289" s="62">
        <f>(E289*E281)+(F289*F281)+(G289*G281)+(H289*H281)+(I289*I281)+(J289*J281)</f>
        <v>0</v>
      </c>
      <c r="M289" s="57" t="s">
        <v>36</v>
      </c>
      <c r="N289" s="63" t="b">
        <v>0</v>
      </c>
    </row>
    <row r="290" ht="13.5" customHeight="1">
      <c r="A290" s="46" t="s">
        <v>43</v>
      </c>
      <c r="B290" s="69" t="str">
        <f>IFS(L290=0,"",B290&lt;&gt;"",B290,TRUE,NOW())</f>
        <v/>
      </c>
      <c r="C290" s="70" t="s">
        <v>37</v>
      </c>
      <c r="D290" s="33"/>
      <c r="E290" s="71"/>
      <c r="F290" s="71"/>
      <c r="G290" s="71"/>
      <c r="H290" s="71"/>
      <c r="I290" s="71"/>
      <c r="J290" s="71"/>
      <c r="K290" s="72" t="s">
        <v>38</v>
      </c>
      <c r="L290" s="73">
        <f>L289-L288</f>
        <v>0</v>
      </c>
      <c r="M290" s="74" t="s">
        <v>39</v>
      </c>
      <c r="N290" s="75" t="b">
        <v>0</v>
      </c>
    </row>
    <row r="291" ht="13.5" customHeight="1">
      <c r="A291" s="64"/>
      <c r="B291" s="52" t="s">
        <v>98</v>
      </c>
      <c r="C291" s="53" t="s">
        <v>27</v>
      </c>
      <c r="D291" s="54"/>
      <c r="E291" s="55">
        <f t="shared" ref="E291:J291" si="79">E289-E292</f>
        <v>0</v>
      </c>
      <c r="F291" s="55">
        <f t="shared" si="79"/>
        <v>0</v>
      </c>
      <c r="G291" s="55">
        <f t="shared" si="79"/>
        <v>0</v>
      </c>
      <c r="H291" s="55">
        <f t="shared" si="79"/>
        <v>0</v>
      </c>
      <c r="I291" s="55">
        <f t="shared" si="79"/>
        <v>0</v>
      </c>
      <c r="J291" s="55">
        <f t="shared" si="79"/>
        <v>0</v>
      </c>
      <c r="K291" s="56"/>
      <c r="L291" s="30"/>
      <c r="M291" s="57" t="s">
        <v>28</v>
      </c>
      <c r="N291" s="58" t="b">
        <v>0</v>
      </c>
    </row>
    <row r="292" ht="13.5" customHeight="1">
      <c r="A292" s="46" t="s">
        <v>45</v>
      </c>
      <c r="B292" s="59"/>
      <c r="C292" s="53" t="s">
        <v>30</v>
      </c>
      <c r="D292" s="54"/>
      <c r="E292" s="60"/>
      <c r="F292" s="60"/>
      <c r="G292" s="60"/>
      <c r="H292" s="60"/>
      <c r="I292" s="60"/>
      <c r="J292" s="60"/>
      <c r="K292" s="61" t="s">
        <v>30</v>
      </c>
      <c r="L292" s="62">
        <f>(E292*E281)+(F292*F281)+(G292*G281)+(H292*H281)+(I292*I281)+(J292*J281)</f>
        <v>0</v>
      </c>
      <c r="M292" s="57" t="s">
        <v>31</v>
      </c>
      <c r="N292" s="63" t="b">
        <v>0</v>
      </c>
    </row>
    <row r="293" ht="13.5" customHeight="1">
      <c r="A293" s="77"/>
      <c r="B293" s="65" t="s">
        <v>47</v>
      </c>
      <c r="C293" s="53" t="s">
        <v>34</v>
      </c>
      <c r="D293" s="54"/>
      <c r="E293" s="66"/>
      <c r="F293" s="66"/>
      <c r="G293" s="66"/>
      <c r="H293" s="66"/>
      <c r="I293" s="66"/>
      <c r="J293" s="66"/>
      <c r="K293" s="67" t="s">
        <v>35</v>
      </c>
      <c r="L293" s="62">
        <f>(E293*E281)+(F293*F281)+(G293*G281)+(H293*H281)+(I293*I281)+(J293*J281)</f>
        <v>0</v>
      </c>
      <c r="M293" s="57" t="s">
        <v>36</v>
      </c>
      <c r="N293" s="63" t="b">
        <v>0</v>
      </c>
    </row>
    <row r="294" ht="13.5" customHeight="1">
      <c r="A294" s="68"/>
      <c r="B294" s="69" t="str">
        <f>IFS(L294=0,"",B294&lt;&gt;"",B294,TRUE,NOW())</f>
        <v/>
      </c>
      <c r="C294" s="70" t="s">
        <v>37</v>
      </c>
      <c r="D294" s="33"/>
      <c r="E294" s="71"/>
      <c r="F294" s="71"/>
      <c r="G294" s="71"/>
      <c r="H294" s="71"/>
      <c r="I294" s="71"/>
      <c r="J294" s="71"/>
      <c r="K294" s="72" t="s">
        <v>38</v>
      </c>
      <c r="L294" s="73">
        <f>L293-L292</f>
        <v>0</v>
      </c>
      <c r="M294" s="74" t="s">
        <v>39</v>
      </c>
      <c r="N294" s="75" t="b">
        <v>0</v>
      </c>
    </row>
    <row r="295" ht="15.0" customHeight="1">
      <c r="A295" s="78" t="s">
        <v>48</v>
      </c>
      <c r="B295" s="52" t="s">
        <v>98</v>
      </c>
      <c r="C295" s="53" t="s">
        <v>27</v>
      </c>
      <c r="D295" s="54"/>
      <c r="E295" s="55">
        <f t="shared" ref="E295:J295" si="80">E293-E296</f>
        <v>0</v>
      </c>
      <c r="F295" s="55">
        <f t="shared" si="80"/>
        <v>0</v>
      </c>
      <c r="G295" s="55">
        <f t="shared" si="80"/>
        <v>0</v>
      </c>
      <c r="H295" s="55">
        <f t="shared" si="80"/>
        <v>0</v>
      </c>
      <c r="I295" s="55">
        <f t="shared" si="80"/>
        <v>0</v>
      </c>
      <c r="J295" s="55">
        <f t="shared" si="80"/>
        <v>0</v>
      </c>
      <c r="K295" s="56"/>
      <c r="L295" s="30"/>
      <c r="M295" s="57" t="s">
        <v>28</v>
      </c>
      <c r="N295" s="58" t="b">
        <v>0</v>
      </c>
    </row>
    <row r="296" ht="13.5" customHeight="1">
      <c r="A296" s="87"/>
      <c r="B296" s="59"/>
      <c r="C296" s="53" t="s">
        <v>30</v>
      </c>
      <c r="D296" s="54"/>
      <c r="E296" s="60"/>
      <c r="F296" s="60"/>
      <c r="G296" s="60"/>
      <c r="H296" s="60"/>
      <c r="I296" s="60"/>
      <c r="J296" s="60"/>
      <c r="K296" s="61" t="s">
        <v>30</v>
      </c>
      <c r="L296" s="62">
        <f>(E296*E281)+(F296*F281)+(G296*G281)+(H296*H281)+(I296*I281)+(J296*J281)</f>
        <v>0</v>
      </c>
      <c r="M296" s="57" t="s">
        <v>31</v>
      </c>
      <c r="N296" s="63" t="b">
        <v>0</v>
      </c>
    </row>
    <row r="297" ht="13.5" customHeight="1">
      <c r="A297" s="68"/>
      <c r="B297" s="65" t="s">
        <v>49</v>
      </c>
      <c r="C297" s="53" t="s">
        <v>34</v>
      </c>
      <c r="D297" s="54"/>
      <c r="E297" s="66"/>
      <c r="F297" s="66"/>
      <c r="G297" s="66"/>
      <c r="H297" s="66"/>
      <c r="I297" s="66"/>
      <c r="J297" s="66"/>
      <c r="K297" s="67" t="s">
        <v>35</v>
      </c>
      <c r="L297" s="62">
        <f>(E297*E281)+(F297*F281)+(G297*G281)+(H297*H281)+(I297*I281)+(J297*J281)</f>
        <v>0</v>
      </c>
      <c r="M297" s="57" t="s">
        <v>36</v>
      </c>
      <c r="N297" s="63" t="b">
        <v>0</v>
      </c>
    </row>
    <row r="298" ht="13.5" customHeight="1">
      <c r="A298" s="80"/>
      <c r="B298" s="69" t="str">
        <f>IFS(L298=0,"",B298&lt;&gt;"",B298,TRUE,NOW())</f>
        <v/>
      </c>
      <c r="C298" s="53" t="s">
        <v>37</v>
      </c>
      <c r="D298" s="54"/>
      <c r="E298" s="81"/>
      <c r="F298" s="81"/>
      <c r="G298" s="81"/>
      <c r="H298" s="82"/>
      <c r="I298" s="81"/>
      <c r="J298" s="81"/>
      <c r="K298" s="72" t="s">
        <v>38</v>
      </c>
      <c r="L298" s="73">
        <f>L297-L296</f>
        <v>0</v>
      </c>
      <c r="M298" s="74" t="s">
        <v>39</v>
      </c>
      <c r="N298" s="75" t="b">
        <v>0</v>
      </c>
    </row>
    <row r="299" ht="13.5" customHeight="1">
      <c r="A299" s="83" t="s">
        <v>99</v>
      </c>
      <c r="B299" s="42" t="s">
        <v>20</v>
      </c>
      <c r="C299" s="24"/>
      <c r="D299" s="33"/>
      <c r="E299" s="43">
        <f t="shared" ref="E299:J299" si="81">E6</f>
        <v>17</v>
      </c>
      <c r="F299" s="43">
        <f t="shared" si="81"/>
        <v>27</v>
      </c>
      <c r="G299" s="43">
        <f t="shared" si="81"/>
        <v>27</v>
      </c>
      <c r="H299" s="43">
        <f t="shared" si="81"/>
        <v>27</v>
      </c>
      <c r="I299" s="43">
        <f t="shared" si="81"/>
        <v>32</v>
      </c>
      <c r="J299" s="44">
        <f t="shared" si="81"/>
        <v>37</v>
      </c>
      <c r="K299" s="42" t="s">
        <v>21</v>
      </c>
      <c r="L299" s="25"/>
      <c r="M299" s="45" t="s">
        <v>22</v>
      </c>
      <c r="N299" s="25"/>
    </row>
    <row r="300" ht="17.25" customHeight="1">
      <c r="A300" s="46" t="s">
        <v>23</v>
      </c>
      <c r="B300" s="47" t="s">
        <v>24</v>
      </c>
      <c r="C300" s="32" t="s">
        <v>25</v>
      </c>
      <c r="D300" s="33"/>
      <c r="E300" s="48"/>
      <c r="F300" s="48"/>
      <c r="G300" s="48"/>
      <c r="H300" s="48"/>
      <c r="I300" s="48"/>
      <c r="J300" s="48"/>
      <c r="K300" s="49"/>
      <c r="L300" s="25"/>
      <c r="M300" s="50"/>
      <c r="N300" s="10"/>
    </row>
    <row r="301" ht="13.5" customHeight="1">
      <c r="A301" s="92"/>
      <c r="B301" s="52" t="s">
        <v>100</v>
      </c>
      <c r="C301" s="53" t="s">
        <v>27</v>
      </c>
      <c r="D301" s="54"/>
      <c r="E301" s="55">
        <f t="shared" ref="E301:J301" si="82">E300-E302</f>
        <v>0</v>
      </c>
      <c r="F301" s="55">
        <f t="shared" si="82"/>
        <v>0</v>
      </c>
      <c r="G301" s="55">
        <f t="shared" si="82"/>
        <v>0</v>
      </c>
      <c r="H301" s="55">
        <f t="shared" si="82"/>
        <v>0</v>
      </c>
      <c r="I301" s="55">
        <f t="shared" si="82"/>
        <v>0</v>
      </c>
      <c r="J301" s="55">
        <f t="shared" si="82"/>
        <v>0</v>
      </c>
      <c r="K301" s="56"/>
      <c r="L301" s="30"/>
      <c r="M301" s="57" t="s">
        <v>28</v>
      </c>
      <c r="N301" s="58" t="b">
        <v>0</v>
      </c>
    </row>
    <row r="302" ht="13.5" customHeight="1">
      <c r="A302" s="46" t="s">
        <v>29</v>
      </c>
      <c r="B302" s="59"/>
      <c r="C302" s="53" t="s">
        <v>30</v>
      </c>
      <c r="D302" s="54"/>
      <c r="E302" s="60"/>
      <c r="F302" s="60"/>
      <c r="G302" s="60"/>
      <c r="H302" s="60"/>
      <c r="I302" s="60"/>
      <c r="J302" s="60"/>
      <c r="K302" s="61" t="s">
        <v>30</v>
      </c>
      <c r="L302" s="62">
        <f>(E302*E299)+(F302*F299)+(G302*G299)+(H302*H299)+(I302*I299)+(J302*J299)</f>
        <v>0</v>
      </c>
      <c r="M302" s="57" t="s">
        <v>31</v>
      </c>
      <c r="N302" s="63" t="b">
        <v>0</v>
      </c>
    </row>
    <row r="303" ht="13.5" customHeight="1">
      <c r="A303" s="64"/>
      <c r="B303" s="65" t="s">
        <v>33</v>
      </c>
      <c r="C303" s="53" t="s">
        <v>34</v>
      </c>
      <c r="D303" s="54"/>
      <c r="E303" s="66"/>
      <c r="F303" s="66"/>
      <c r="G303" s="66"/>
      <c r="H303" s="66"/>
      <c r="I303" s="66"/>
      <c r="J303" s="66"/>
      <c r="K303" s="67" t="s">
        <v>35</v>
      </c>
      <c r="L303" s="62">
        <f>(E303*E299)+(F303*F299)+(G303*G299)+(H303*H299)+(I303*I299)+(J303*J299)</f>
        <v>0</v>
      </c>
      <c r="M303" s="57" t="s">
        <v>36</v>
      </c>
      <c r="N303" s="63" t="b">
        <v>0</v>
      </c>
    </row>
    <row r="304" ht="13.5" customHeight="1">
      <c r="A304" s="68"/>
      <c r="B304" s="69" t="str">
        <f>IFS(L304=0,"",B304&lt;&gt;"",B304,TRUE,NOW())</f>
        <v/>
      </c>
      <c r="C304" s="70" t="s">
        <v>37</v>
      </c>
      <c r="D304" s="33"/>
      <c r="E304" s="71"/>
      <c r="F304" s="71"/>
      <c r="G304" s="71"/>
      <c r="H304" s="71"/>
      <c r="I304" s="71"/>
      <c r="J304" s="71"/>
      <c r="K304" s="72" t="s">
        <v>38</v>
      </c>
      <c r="L304" s="73">
        <f>L303-L302</f>
        <v>0</v>
      </c>
      <c r="M304" s="74" t="s">
        <v>39</v>
      </c>
      <c r="N304" s="75" t="b">
        <v>0</v>
      </c>
    </row>
    <row r="305" ht="18.75" customHeight="1">
      <c r="A305" s="46" t="s">
        <v>40</v>
      </c>
      <c r="B305" s="52" t="s">
        <v>100</v>
      </c>
      <c r="C305" s="53" t="s">
        <v>27</v>
      </c>
      <c r="D305" s="54"/>
      <c r="E305" s="55">
        <f t="shared" ref="E305:J305" si="83">E303-E306</f>
        <v>0</v>
      </c>
      <c r="F305" s="55">
        <f t="shared" si="83"/>
        <v>0</v>
      </c>
      <c r="G305" s="55">
        <f t="shared" si="83"/>
        <v>0</v>
      </c>
      <c r="H305" s="55">
        <f t="shared" si="83"/>
        <v>0</v>
      </c>
      <c r="I305" s="55">
        <f t="shared" si="83"/>
        <v>0</v>
      </c>
      <c r="J305" s="55">
        <f t="shared" si="83"/>
        <v>0</v>
      </c>
      <c r="K305" s="56"/>
      <c r="L305" s="30"/>
      <c r="M305" s="57" t="s">
        <v>28</v>
      </c>
      <c r="N305" s="58" t="b">
        <v>0</v>
      </c>
    </row>
    <row r="306" ht="13.5" customHeight="1">
      <c r="A306" s="64"/>
      <c r="B306" s="59"/>
      <c r="C306" s="53" t="s">
        <v>30</v>
      </c>
      <c r="D306" s="54"/>
      <c r="E306" s="60"/>
      <c r="F306" s="60"/>
      <c r="G306" s="60"/>
      <c r="H306" s="60"/>
      <c r="I306" s="60"/>
      <c r="J306" s="60"/>
      <c r="K306" s="61" t="s">
        <v>30</v>
      </c>
      <c r="L306" s="62">
        <f>(E306*E299)+(F306*F299)+(G306*G299)+(H306*H299)+(I306*I299)+(J306*J299)</f>
        <v>0</v>
      </c>
      <c r="M306" s="57" t="s">
        <v>31</v>
      </c>
      <c r="N306" s="63" t="b">
        <v>0</v>
      </c>
    </row>
    <row r="307" ht="13.5" customHeight="1">
      <c r="A307" s="68"/>
      <c r="B307" s="65" t="s">
        <v>42</v>
      </c>
      <c r="C307" s="53" t="s">
        <v>34</v>
      </c>
      <c r="D307" s="54"/>
      <c r="E307" s="66"/>
      <c r="F307" s="66"/>
      <c r="G307" s="66"/>
      <c r="H307" s="66"/>
      <c r="I307" s="66"/>
      <c r="J307" s="66"/>
      <c r="K307" s="67" t="s">
        <v>35</v>
      </c>
      <c r="L307" s="62">
        <f>(E307*E299)+(F307*F299)+(G307*G299)+(H307*H299)+(I307*I299)+(J307*J299)</f>
        <v>0</v>
      </c>
      <c r="M307" s="57" t="s">
        <v>36</v>
      </c>
      <c r="N307" s="63" t="b">
        <v>0</v>
      </c>
    </row>
    <row r="308" ht="13.5" customHeight="1">
      <c r="A308" s="46" t="s">
        <v>43</v>
      </c>
      <c r="B308" s="69" t="str">
        <f>IFS(L308=0,"",B308&lt;&gt;"",B308,TRUE,NOW())</f>
        <v/>
      </c>
      <c r="C308" s="70" t="s">
        <v>37</v>
      </c>
      <c r="D308" s="33"/>
      <c r="E308" s="71"/>
      <c r="F308" s="71"/>
      <c r="G308" s="71"/>
      <c r="H308" s="71"/>
      <c r="I308" s="71"/>
      <c r="J308" s="71"/>
      <c r="K308" s="72" t="s">
        <v>38</v>
      </c>
      <c r="L308" s="73">
        <f>L307-L306</f>
        <v>0</v>
      </c>
      <c r="M308" s="74" t="s">
        <v>39</v>
      </c>
      <c r="N308" s="75" t="b">
        <v>0</v>
      </c>
    </row>
    <row r="309" ht="13.5" customHeight="1">
      <c r="A309" s="64"/>
      <c r="B309" s="52" t="s">
        <v>100</v>
      </c>
      <c r="C309" s="53" t="s">
        <v>27</v>
      </c>
      <c r="D309" s="54"/>
      <c r="E309" s="55">
        <f t="shared" ref="E309:J309" si="84">E307-E310</f>
        <v>0</v>
      </c>
      <c r="F309" s="55">
        <f t="shared" si="84"/>
        <v>0</v>
      </c>
      <c r="G309" s="55">
        <f t="shared" si="84"/>
        <v>0</v>
      </c>
      <c r="H309" s="55">
        <f t="shared" si="84"/>
        <v>0</v>
      </c>
      <c r="I309" s="55">
        <f t="shared" si="84"/>
        <v>0</v>
      </c>
      <c r="J309" s="55">
        <f t="shared" si="84"/>
        <v>0</v>
      </c>
      <c r="K309" s="56"/>
      <c r="L309" s="30"/>
      <c r="M309" s="57" t="s">
        <v>28</v>
      </c>
      <c r="N309" s="58" t="b">
        <v>0</v>
      </c>
    </row>
    <row r="310" ht="15.0" customHeight="1">
      <c r="A310" s="46" t="s">
        <v>45</v>
      </c>
      <c r="B310" s="59"/>
      <c r="C310" s="53" t="s">
        <v>30</v>
      </c>
      <c r="D310" s="54"/>
      <c r="E310" s="60"/>
      <c r="F310" s="60"/>
      <c r="G310" s="60"/>
      <c r="H310" s="60"/>
      <c r="I310" s="60"/>
      <c r="J310" s="60"/>
      <c r="K310" s="61" t="s">
        <v>30</v>
      </c>
      <c r="L310" s="62">
        <f>(E310*E299)+(F310*F299)+(G310*G299)+(H310*H299)+(I310*I299)+(J310*J299)</f>
        <v>0</v>
      </c>
      <c r="M310" s="57" t="s">
        <v>31</v>
      </c>
      <c r="N310" s="63" t="b">
        <v>0</v>
      </c>
    </row>
    <row r="311" ht="13.5" customHeight="1">
      <c r="A311" s="77"/>
      <c r="B311" s="65" t="s">
        <v>47</v>
      </c>
      <c r="C311" s="53" t="s">
        <v>34</v>
      </c>
      <c r="D311" s="54"/>
      <c r="E311" s="66"/>
      <c r="F311" s="66"/>
      <c r="G311" s="66"/>
      <c r="H311" s="66"/>
      <c r="I311" s="66"/>
      <c r="J311" s="66"/>
      <c r="K311" s="67" t="s">
        <v>35</v>
      </c>
      <c r="L311" s="62">
        <f>(E311*E299)+(F311*F299)+(G311*G299)+(H311*H299)+(I311*I299)+(J311*J299)</f>
        <v>0</v>
      </c>
      <c r="M311" s="57" t="s">
        <v>36</v>
      </c>
      <c r="N311" s="63" t="b">
        <v>0</v>
      </c>
    </row>
    <row r="312" ht="13.5" customHeight="1">
      <c r="A312" s="68"/>
      <c r="B312" s="69" t="str">
        <f>IFS(L312=0,"",B312&lt;&gt;"",B312,TRUE,NOW())</f>
        <v/>
      </c>
      <c r="C312" s="70" t="s">
        <v>37</v>
      </c>
      <c r="D312" s="33"/>
      <c r="E312" s="71"/>
      <c r="F312" s="71"/>
      <c r="G312" s="71"/>
      <c r="H312" s="71"/>
      <c r="I312" s="71"/>
      <c r="J312" s="71"/>
      <c r="K312" s="72" t="s">
        <v>38</v>
      </c>
      <c r="L312" s="73">
        <f>L311-L310</f>
        <v>0</v>
      </c>
      <c r="M312" s="74" t="s">
        <v>39</v>
      </c>
      <c r="N312" s="75" t="b">
        <v>0</v>
      </c>
    </row>
    <row r="313" ht="13.5" customHeight="1">
      <c r="A313" s="78" t="s">
        <v>48</v>
      </c>
      <c r="B313" s="52" t="s">
        <v>100</v>
      </c>
      <c r="C313" s="53" t="s">
        <v>27</v>
      </c>
      <c r="D313" s="54"/>
      <c r="E313" s="55">
        <f t="shared" ref="E313:J313" si="85">E311-E314</f>
        <v>0</v>
      </c>
      <c r="F313" s="55">
        <f t="shared" si="85"/>
        <v>0</v>
      </c>
      <c r="G313" s="55">
        <f t="shared" si="85"/>
        <v>0</v>
      </c>
      <c r="H313" s="55">
        <f t="shared" si="85"/>
        <v>0</v>
      </c>
      <c r="I313" s="55">
        <f t="shared" si="85"/>
        <v>0</v>
      </c>
      <c r="J313" s="55">
        <f t="shared" si="85"/>
        <v>0</v>
      </c>
      <c r="K313" s="56"/>
      <c r="L313" s="30"/>
      <c r="M313" s="57" t="s">
        <v>28</v>
      </c>
      <c r="N313" s="58" t="b">
        <v>0</v>
      </c>
    </row>
    <row r="314" ht="13.5" customHeight="1">
      <c r="A314" s="87"/>
      <c r="B314" s="59"/>
      <c r="C314" s="53" t="s">
        <v>30</v>
      </c>
      <c r="D314" s="54"/>
      <c r="E314" s="60"/>
      <c r="F314" s="60"/>
      <c r="G314" s="60"/>
      <c r="H314" s="60"/>
      <c r="I314" s="60"/>
      <c r="J314" s="60"/>
      <c r="K314" s="61" t="s">
        <v>30</v>
      </c>
      <c r="L314" s="62">
        <f>(E314*E299)+(F314*F299)+(G314*G299)+(H314*H299)+(I314*I299)+(J314*J299)</f>
        <v>0</v>
      </c>
      <c r="M314" s="57" t="s">
        <v>31</v>
      </c>
      <c r="N314" s="63" t="b">
        <v>0</v>
      </c>
    </row>
    <row r="315" ht="13.5" customHeight="1">
      <c r="A315" s="68"/>
      <c r="B315" s="65" t="s">
        <v>49</v>
      </c>
      <c r="C315" s="53" t="s">
        <v>34</v>
      </c>
      <c r="D315" s="54"/>
      <c r="E315" s="66"/>
      <c r="F315" s="66"/>
      <c r="G315" s="66"/>
      <c r="H315" s="66"/>
      <c r="I315" s="66"/>
      <c r="J315" s="66"/>
      <c r="K315" s="67" t="s">
        <v>35</v>
      </c>
      <c r="L315" s="62">
        <f>(E315*E299)+(F315*F299)+(G315*G299)+(H315*H299)+(I315*I299)+(J315*J299)</f>
        <v>0</v>
      </c>
      <c r="M315" s="57" t="s">
        <v>36</v>
      </c>
      <c r="N315" s="63" t="b">
        <v>0</v>
      </c>
    </row>
    <row r="316" ht="13.5" customHeight="1">
      <c r="A316" s="80"/>
      <c r="B316" s="69" t="str">
        <f>IFS(L316=0,"",B316&lt;&gt;"",B316,TRUE,NOW())</f>
        <v/>
      </c>
      <c r="C316" s="53" t="s">
        <v>37</v>
      </c>
      <c r="D316" s="54"/>
      <c r="E316" s="81"/>
      <c r="F316" s="81"/>
      <c r="G316" s="81"/>
      <c r="H316" s="82"/>
      <c r="I316" s="81"/>
      <c r="J316" s="81"/>
      <c r="K316" s="72" t="s">
        <v>38</v>
      </c>
      <c r="L316" s="73">
        <f>L315-L314</f>
        <v>0</v>
      </c>
      <c r="M316" s="74" t="s">
        <v>39</v>
      </c>
      <c r="N316" s="75" t="b">
        <v>0</v>
      </c>
    </row>
    <row r="317" ht="15.0" customHeight="1">
      <c r="A317" s="83" t="s">
        <v>101</v>
      </c>
      <c r="B317" s="42" t="s">
        <v>20</v>
      </c>
      <c r="C317" s="24"/>
      <c r="D317" s="33"/>
      <c r="E317" s="43">
        <f t="shared" ref="E317:J317" si="86">E6</f>
        <v>17</v>
      </c>
      <c r="F317" s="43">
        <f t="shared" si="86"/>
        <v>27</v>
      </c>
      <c r="G317" s="43">
        <f t="shared" si="86"/>
        <v>27</v>
      </c>
      <c r="H317" s="43">
        <f t="shared" si="86"/>
        <v>27</v>
      </c>
      <c r="I317" s="43">
        <f t="shared" si="86"/>
        <v>32</v>
      </c>
      <c r="J317" s="44">
        <f t="shared" si="86"/>
        <v>37</v>
      </c>
      <c r="K317" s="42" t="s">
        <v>21</v>
      </c>
      <c r="L317" s="25"/>
      <c r="M317" s="45" t="s">
        <v>22</v>
      </c>
      <c r="N317" s="25"/>
    </row>
    <row r="318" ht="13.5" customHeight="1">
      <c r="A318" s="46" t="s">
        <v>23</v>
      </c>
      <c r="B318" s="47" t="s">
        <v>24</v>
      </c>
      <c r="C318" s="32" t="s">
        <v>25</v>
      </c>
      <c r="D318" s="33"/>
      <c r="E318" s="48"/>
      <c r="F318" s="48"/>
      <c r="G318" s="48"/>
      <c r="H318" s="48"/>
      <c r="I318" s="48"/>
      <c r="J318" s="48"/>
      <c r="K318" s="49"/>
      <c r="L318" s="25"/>
      <c r="M318" s="50"/>
      <c r="N318" s="10"/>
    </row>
    <row r="319" ht="13.5" customHeight="1">
      <c r="A319" s="92"/>
      <c r="B319" s="52" t="s">
        <v>102</v>
      </c>
      <c r="C319" s="53" t="s">
        <v>27</v>
      </c>
      <c r="D319" s="54"/>
      <c r="E319" s="55">
        <f t="shared" ref="E319:J319" si="87">E318-E320</f>
        <v>0</v>
      </c>
      <c r="F319" s="55">
        <f t="shared" si="87"/>
        <v>0</v>
      </c>
      <c r="G319" s="55">
        <f t="shared" si="87"/>
        <v>0</v>
      </c>
      <c r="H319" s="55">
        <f t="shared" si="87"/>
        <v>0</v>
      </c>
      <c r="I319" s="55">
        <f t="shared" si="87"/>
        <v>0</v>
      </c>
      <c r="J319" s="55">
        <f t="shared" si="87"/>
        <v>0</v>
      </c>
      <c r="K319" s="56"/>
      <c r="L319" s="30"/>
      <c r="M319" s="57" t="s">
        <v>28</v>
      </c>
      <c r="N319" s="58" t="b">
        <v>0</v>
      </c>
    </row>
    <row r="320" ht="13.5" customHeight="1">
      <c r="A320" s="46" t="s">
        <v>29</v>
      </c>
      <c r="B320" s="59"/>
      <c r="C320" s="53" t="s">
        <v>30</v>
      </c>
      <c r="D320" s="54"/>
      <c r="E320" s="60"/>
      <c r="F320" s="60"/>
      <c r="G320" s="60"/>
      <c r="H320" s="60"/>
      <c r="I320" s="60"/>
      <c r="J320" s="60"/>
      <c r="K320" s="61" t="s">
        <v>30</v>
      </c>
      <c r="L320" s="62">
        <f>(E320*E317)+(F320*F317)+(G320*G317)+(H320*H317)+(I320*I317)+(J320*J317)</f>
        <v>0</v>
      </c>
      <c r="M320" s="57" t="s">
        <v>31</v>
      </c>
      <c r="N320" s="63" t="b">
        <v>0</v>
      </c>
    </row>
    <row r="321" ht="13.5" customHeight="1">
      <c r="A321" s="64"/>
      <c r="B321" s="65" t="s">
        <v>33</v>
      </c>
      <c r="C321" s="53" t="s">
        <v>34</v>
      </c>
      <c r="D321" s="54"/>
      <c r="E321" s="66"/>
      <c r="F321" s="66"/>
      <c r="G321" s="66"/>
      <c r="H321" s="66"/>
      <c r="I321" s="66"/>
      <c r="J321" s="66"/>
      <c r="K321" s="67" t="s">
        <v>35</v>
      </c>
      <c r="L321" s="62">
        <f>(E321*E317)+(F321*F317)+(G321*G317)+(H321*H317)+(I321*I317)+(J321*J317)</f>
        <v>0</v>
      </c>
      <c r="M321" s="57" t="s">
        <v>36</v>
      </c>
      <c r="N321" s="63" t="b">
        <v>0</v>
      </c>
    </row>
    <row r="322" ht="15.0" customHeight="1">
      <c r="A322" s="68"/>
      <c r="B322" s="69" t="str">
        <f>IFS(L322=0,"",B322&lt;&gt;"",B322,TRUE,NOW())</f>
        <v/>
      </c>
      <c r="C322" s="70" t="s">
        <v>37</v>
      </c>
      <c r="D322" s="33"/>
      <c r="E322" s="71"/>
      <c r="F322" s="71"/>
      <c r="G322" s="71"/>
      <c r="H322" s="71"/>
      <c r="I322" s="71"/>
      <c r="J322" s="71"/>
      <c r="K322" s="72" t="s">
        <v>38</v>
      </c>
      <c r="L322" s="73">
        <f>L321-L320</f>
        <v>0</v>
      </c>
      <c r="M322" s="74" t="s">
        <v>39</v>
      </c>
      <c r="N322" s="75" t="b">
        <v>0</v>
      </c>
    </row>
    <row r="323" ht="13.5" customHeight="1">
      <c r="A323" s="46" t="s">
        <v>40</v>
      </c>
      <c r="B323" s="52" t="s">
        <v>102</v>
      </c>
      <c r="C323" s="53" t="s">
        <v>27</v>
      </c>
      <c r="D323" s="54"/>
      <c r="E323" s="55">
        <f t="shared" ref="E323:J323" si="88">E321-E324</f>
        <v>0</v>
      </c>
      <c r="F323" s="55">
        <f t="shared" si="88"/>
        <v>0</v>
      </c>
      <c r="G323" s="55">
        <f t="shared" si="88"/>
        <v>0</v>
      </c>
      <c r="H323" s="55">
        <f t="shared" si="88"/>
        <v>0</v>
      </c>
      <c r="I323" s="55">
        <f t="shared" si="88"/>
        <v>0</v>
      </c>
      <c r="J323" s="55">
        <f t="shared" si="88"/>
        <v>0</v>
      </c>
      <c r="K323" s="56"/>
      <c r="L323" s="30"/>
      <c r="M323" s="57" t="s">
        <v>28</v>
      </c>
      <c r="N323" s="58" t="b">
        <v>0</v>
      </c>
    </row>
    <row r="324" ht="13.5" customHeight="1">
      <c r="A324" s="64"/>
      <c r="B324" s="59"/>
      <c r="C324" s="53" t="s">
        <v>30</v>
      </c>
      <c r="D324" s="54"/>
      <c r="E324" s="60"/>
      <c r="F324" s="60"/>
      <c r="G324" s="60"/>
      <c r="H324" s="60"/>
      <c r="I324" s="60"/>
      <c r="J324" s="60"/>
      <c r="K324" s="61" t="s">
        <v>30</v>
      </c>
      <c r="L324" s="62">
        <f>(E324*E317)+(F324*F317)+(G324*G317)+(H324*H317)+(I324*I317)+(J324*J317)</f>
        <v>0</v>
      </c>
      <c r="M324" s="57" t="s">
        <v>31</v>
      </c>
      <c r="N324" s="63" t="b">
        <v>0</v>
      </c>
    </row>
    <row r="325" ht="13.5" customHeight="1">
      <c r="A325" s="68"/>
      <c r="B325" s="65" t="s">
        <v>42</v>
      </c>
      <c r="C325" s="53" t="s">
        <v>34</v>
      </c>
      <c r="D325" s="54"/>
      <c r="E325" s="66"/>
      <c r="F325" s="66"/>
      <c r="G325" s="66"/>
      <c r="H325" s="66"/>
      <c r="I325" s="66"/>
      <c r="J325" s="66"/>
      <c r="K325" s="67" t="s">
        <v>35</v>
      </c>
      <c r="L325" s="62">
        <f>(E325*E317)+(F325*F317)+(G325*G317)+(H325*H317)+(I325*I317)+(J325*J317)</f>
        <v>0</v>
      </c>
      <c r="M325" s="57" t="s">
        <v>36</v>
      </c>
      <c r="N325" s="63" t="b">
        <v>0</v>
      </c>
    </row>
    <row r="326" ht="13.5" customHeight="1">
      <c r="A326" s="46" t="s">
        <v>43</v>
      </c>
      <c r="B326" s="69" t="str">
        <f>IFS(L326=0,"",B326&lt;&gt;"",B326,TRUE,NOW())</f>
        <v/>
      </c>
      <c r="C326" s="70" t="s">
        <v>37</v>
      </c>
      <c r="D326" s="33"/>
      <c r="E326" s="71"/>
      <c r="F326" s="71"/>
      <c r="G326" s="71"/>
      <c r="H326" s="71"/>
      <c r="I326" s="71"/>
      <c r="J326" s="71"/>
      <c r="K326" s="72" t="s">
        <v>38</v>
      </c>
      <c r="L326" s="73">
        <f>L325-L324</f>
        <v>0</v>
      </c>
      <c r="M326" s="74" t="s">
        <v>39</v>
      </c>
      <c r="N326" s="75" t="b">
        <v>0</v>
      </c>
    </row>
    <row r="327" ht="15.0" customHeight="1">
      <c r="A327" s="64"/>
      <c r="B327" s="52" t="s">
        <v>102</v>
      </c>
      <c r="C327" s="53" t="s">
        <v>27</v>
      </c>
      <c r="D327" s="54"/>
      <c r="E327" s="55">
        <f t="shared" ref="E327:J327" si="89">E325-E328</f>
        <v>0</v>
      </c>
      <c r="F327" s="55">
        <f t="shared" si="89"/>
        <v>0</v>
      </c>
      <c r="G327" s="55">
        <f t="shared" si="89"/>
        <v>0</v>
      </c>
      <c r="H327" s="55">
        <f t="shared" si="89"/>
        <v>0</v>
      </c>
      <c r="I327" s="55">
        <f t="shared" si="89"/>
        <v>0</v>
      </c>
      <c r="J327" s="55">
        <f t="shared" si="89"/>
        <v>0</v>
      </c>
      <c r="K327" s="56"/>
      <c r="L327" s="30"/>
      <c r="M327" s="57" t="s">
        <v>28</v>
      </c>
      <c r="N327" s="58" t="b">
        <v>0</v>
      </c>
    </row>
    <row r="328" ht="13.5" customHeight="1">
      <c r="A328" s="46" t="s">
        <v>45</v>
      </c>
      <c r="B328" s="59"/>
      <c r="C328" s="53" t="s">
        <v>30</v>
      </c>
      <c r="D328" s="54"/>
      <c r="E328" s="60"/>
      <c r="F328" s="60"/>
      <c r="G328" s="60"/>
      <c r="H328" s="60"/>
      <c r="I328" s="60"/>
      <c r="J328" s="60"/>
      <c r="K328" s="61" t="s">
        <v>30</v>
      </c>
      <c r="L328" s="62">
        <f>(E328*E317)+(F328*F317)+(G328*G317)+(H328*H317)+(I328*I317)+(J328*J317)</f>
        <v>0</v>
      </c>
      <c r="M328" s="57" t="s">
        <v>31</v>
      </c>
      <c r="N328" s="63" t="b">
        <v>0</v>
      </c>
    </row>
    <row r="329" ht="13.5" customHeight="1">
      <c r="A329" s="77"/>
      <c r="B329" s="65" t="s">
        <v>47</v>
      </c>
      <c r="C329" s="53" t="s">
        <v>34</v>
      </c>
      <c r="D329" s="54"/>
      <c r="E329" s="66"/>
      <c r="F329" s="66"/>
      <c r="G329" s="66"/>
      <c r="H329" s="66"/>
      <c r="I329" s="66"/>
      <c r="J329" s="66"/>
      <c r="K329" s="67" t="s">
        <v>35</v>
      </c>
      <c r="L329" s="62">
        <f>(E329*E317)+(F329*F317)+(G329*G317)+(H329*H317)+(I329*I317)+(J329*J317)</f>
        <v>0</v>
      </c>
      <c r="M329" s="57" t="s">
        <v>36</v>
      </c>
      <c r="N329" s="63" t="b">
        <v>0</v>
      </c>
    </row>
    <row r="330" ht="13.5" customHeight="1">
      <c r="A330" s="68"/>
      <c r="B330" s="69" t="str">
        <f>IFS(L330=0,"",B330&lt;&gt;"",B330,TRUE,NOW())</f>
        <v/>
      </c>
      <c r="C330" s="70" t="s">
        <v>37</v>
      </c>
      <c r="D330" s="33"/>
      <c r="E330" s="71"/>
      <c r="F330" s="71"/>
      <c r="G330" s="71"/>
      <c r="H330" s="71"/>
      <c r="I330" s="71"/>
      <c r="J330" s="71"/>
      <c r="K330" s="72" t="s">
        <v>38</v>
      </c>
      <c r="L330" s="73">
        <f>L329-L328</f>
        <v>0</v>
      </c>
      <c r="M330" s="74" t="s">
        <v>39</v>
      </c>
      <c r="N330" s="75" t="b">
        <v>0</v>
      </c>
    </row>
    <row r="331" ht="13.5" customHeight="1">
      <c r="A331" s="78" t="s">
        <v>48</v>
      </c>
      <c r="B331" s="52" t="s">
        <v>102</v>
      </c>
      <c r="C331" s="53" t="s">
        <v>27</v>
      </c>
      <c r="D331" s="54"/>
      <c r="E331" s="55">
        <f t="shared" ref="E331:J331" si="90">E329-E332</f>
        <v>0</v>
      </c>
      <c r="F331" s="55">
        <f t="shared" si="90"/>
        <v>0</v>
      </c>
      <c r="G331" s="55">
        <f t="shared" si="90"/>
        <v>0</v>
      </c>
      <c r="H331" s="55">
        <f t="shared" si="90"/>
        <v>0</v>
      </c>
      <c r="I331" s="55">
        <f t="shared" si="90"/>
        <v>0</v>
      </c>
      <c r="J331" s="55">
        <f t="shared" si="90"/>
        <v>0</v>
      </c>
      <c r="K331" s="56"/>
      <c r="L331" s="30"/>
      <c r="M331" s="57" t="s">
        <v>28</v>
      </c>
      <c r="N331" s="58" t="b">
        <v>0</v>
      </c>
    </row>
    <row r="332" ht="15.0" customHeight="1">
      <c r="A332" s="87"/>
      <c r="B332" s="59"/>
      <c r="C332" s="53" t="s">
        <v>30</v>
      </c>
      <c r="D332" s="54"/>
      <c r="E332" s="60"/>
      <c r="F332" s="60"/>
      <c r="G332" s="60"/>
      <c r="H332" s="60"/>
      <c r="I332" s="60"/>
      <c r="J332" s="60"/>
      <c r="K332" s="61" t="s">
        <v>30</v>
      </c>
      <c r="L332" s="62">
        <f>(E332*E317)+(F332*F317)+(G332*G317)+(H332*H317)+(I332*I317)+(J332*J317)</f>
        <v>0</v>
      </c>
      <c r="M332" s="57" t="s">
        <v>31</v>
      </c>
      <c r="N332" s="63" t="b">
        <v>0</v>
      </c>
    </row>
    <row r="333" ht="13.5" customHeight="1">
      <c r="A333" s="68"/>
      <c r="B333" s="65" t="s">
        <v>49</v>
      </c>
      <c r="C333" s="53" t="s">
        <v>34</v>
      </c>
      <c r="D333" s="54"/>
      <c r="E333" s="66"/>
      <c r="F333" s="66"/>
      <c r="G333" s="66"/>
      <c r="H333" s="66"/>
      <c r="I333" s="66"/>
      <c r="J333" s="66"/>
      <c r="K333" s="67" t="s">
        <v>35</v>
      </c>
      <c r="L333" s="62">
        <f>(E333*E317)+(F333*F317)+(G333*G317)+(H333*H317)+(I333*I317)+(J333*J317)</f>
        <v>0</v>
      </c>
      <c r="M333" s="57" t="s">
        <v>36</v>
      </c>
      <c r="N333" s="63" t="b">
        <v>0</v>
      </c>
    </row>
    <row r="334" ht="13.5" customHeight="1">
      <c r="A334" s="80"/>
      <c r="B334" s="69" t="str">
        <f>IFS(L334=0,"",B334&lt;&gt;"",B334,TRUE,NOW())</f>
        <v/>
      </c>
      <c r="C334" s="53" t="s">
        <v>37</v>
      </c>
      <c r="D334" s="54"/>
      <c r="E334" s="81"/>
      <c r="F334" s="81"/>
      <c r="G334" s="81"/>
      <c r="H334" s="82"/>
      <c r="I334" s="81"/>
      <c r="J334" s="81"/>
      <c r="K334" s="72" t="s">
        <v>38</v>
      </c>
      <c r="L334" s="73">
        <f>L333-L332</f>
        <v>0</v>
      </c>
      <c r="M334" s="74" t="s">
        <v>39</v>
      </c>
      <c r="N334" s="75" t="b">
        <v>0</v>
      </c>
    </row>
    <row r="335" ht="13.5" customHeight="1">
      <c r="A335" s="83" t="s">
        <v>103</v>
      </c>
      <c r="B335" s="42" t="s">
        <v>20</v>
      </c>
      <c r="C335" s="24"/>
      <c r="D335" s="33"/>
      <c r="E335" s="43">
        <f t="shared" ref="E335:J335" si="91">E6</f>
        <v>17</v>
      </c>
      <c r="F335" s="43">
        <f t="shared" si="91"/>
        <v>27</v>
      </c>
      <c r="G335" s="43">
        <f t="shared" si="91"/>
        <v>27</v>
      </c>
      <c r="H335" s="43">
        <f t="shared" si="91"/>
        <v>27</v>
      </c>
      <c r="I335" s="43">
        <f t="shared" si="91"/>
        <v>32</v>
      </c>
      <c r="J335" s="44">
        <f t="shared" si="91"/>
        <v>37</v>
      </c>
      <c r="K335" s="42" t="s">
        <v>21</v>
      </c>
      <c r="L335" s="25"/>
      <c r="M335" s="45" t="s">
        <v>22</v>
      </c>
      <c r="N335" s="25"/>
    </row>
    <row r="336" ht="13.5" customHeight="1">
      <c r="A336" s="46" t="s">
        <v>23</v>
      </c>
      <c r="B336" s="47" t="s">
        <v>24</v>
      </c>
      <c r="C336" s="32" t="s">
        <v>25</v>
      </c>
      <c r="D336" s="33"/>
      <c r="E336" s="48"/>
      <c r="F336" s="48"/>
      <c r="G336" s="48"/>
      <c r="H336" s="48"/>
      <c r="I336" s="48"/>
      <c r="J336" s="48"/>
      <c r="K336" s="49"/>
      <c r="L336" s="25"/>
      <c r="M336" s="50"/>
      <c r="N336" s="10"/>
    </row>
    <row r="337" ht="13.5" customHeight="1">
      <c r="A337" s="92"/>
      <c r="B337" s="52" t="s">
        <v>104</v>
      </c>
      <c r="C337" s="53" t="s">
        <v>27</v>
      </c>
      <c r="D337" s="54"/>
      <c r="E337" s="55">
        <f t="shared" ref="E337:J337" si="92">E336-E338</f>
        <v>0</v>
      </c>
      <c r="F337" s="55">
        <f t="shared" si="92"/>
        <v>0</v>
      </c>
      <c r="G337" s="55">
        <f t="shared" si="92"/>
        <v>0</v>
      </c>
      <c r="H337" s="55">
        <f t="shared" si="92"/>
        <v>0</v>
      </c>
      <c r="I337" s="55">
        <f t="shared" si="92"/>
        <v>0</v>
      </c>
      <c r="J337" s="55">
        <f t="shared" si="92"/>
        <v>0</v>
      </c>
      <c r="K337" s="56"/>
      <c r="L337" s="30"/>
      <c r="M337" s="57" t="s">
        <v>28</v>
      </c>
      <c r="N337" s="58" t="b">
        <v>0</v>
      </c>
    </row>
    <row r="338" ht="13.5" customHeight="1">
      <c r="A338" s="46" t="s">
        <v>29</v>
      </c>
      <c r="B338" s="59"/>
      <c r="C338" s="53" t="s">
        <v>30</v>
      </c>
      <c r="D338" s="54"/>
      <c r="E338" s="60"/>
      <c r="F338" s="60"/>
      <c r="G338" s="60"/>
      <c r="H338" s="60"/>
      <c r="I338" s="60"/>
      <c r="J338" s="60"/>
      <c r="K338" s="61" t="s">
        <v>30</v>
      </c>
      <c r="L338" s="62">
        <f>(E338*E335)+(F338*F335)+(G338*G335)+(H338*H335)+(I338*I335)+(J338*J335)</f>
        <v>0</v>
      </c>
      <c r="M338" s="57" t="s">
        <v>31</v>
      </c>
      <c r="N338" s="63" t="b">
        <v>0</v>
      </c>
    </row>
    <row r="339" ht="15.0" customHeight="1">
      <c r="A339" s="64"/>
      <c r="B339" s="65" t="s">
        <v>33</v>
      </c>
      <c r="C339" s="53" t="s">
        <v>34</v>
      </c>
      <c r="D339" s="54"/>
      <c r="E339" s="66"/>
      <c r="F339" s="66"/>
      <c r="G339" s="66"/>
      <c r="H339" s="66"/>
      <c r="I339" s="66"/>
      <c r="J339" s="66"/>
      <c r="K339" s="67" t="s">
        <v>35</v>
      </c>
      <c r="L339" s="62">
        <f>(E339*E335)+(F339*F335)+(G339*G335)+(H339*H335)+(I339*I335)+(J339*J335)</f>
        <v>0</v>
      </c>
      <c r="M339" s="57" t="s">
        <v>36</v>
      </c>
      <c r="N339" s="63" t="b">
        <v>0</v>
      </c>
    </row>
    <row r="340" ht="13.5" customHeight="1">
      <c r="A340" s="68"/>
      <c r="B340" s="69" t="str">
        <f>IFS(L340=0,"",B340&lt;&gt;"",B340,TRUE,NOW())</f>
        <v/>
      </c>
      <c r="C340" s="70" t="s">
        <v>37</v>
      </c>
      <c r="D340" s="33"/>
      <c r="E340" s="71"/>
      <c r="F340" s="71"/>
      <c r="G340" s="71"/>
      <c r="H340" s="71"/>
      <c r="I340" s="71"/>
      <c r="J340" s="71"/>
      <c r="K340" s="72" t="s">
        <v>38</v>
      </c>
      <c r="L340" s="73">
        <f>L339-L338</f>
        <v>0</v>
      </c>
      <c r="M340" s="74" t="s">
        <v>39</v>
      </c>
      <c r="N340" s="75" t="b">
        <v>0</v>
      </c>
    </row>
    <row r="341" ht="13.5" customHeight="1">
      <c r="A341" s="46" t="s">
        <v>40</v>
      </c>
      <c r="B341" s="52" t="s">
        <v>104</v>
      </c>
      <c r="C341" s="53" t="s">
        <v>27</v>
      </c>
      <c r="D341" s="54"/>
      <c r="E341" s="55">
        <f t="shared" ref="E341:J341" si="93">E339-E342</f>
        <v>0</v>
      </c>
      <c r="F341" s="55">
        <f t="shared" si="93"/>
        <v>0</v>
      </c>
      <c r="G341" s="55">
        <f t="shared" si="93"/>
        <v>0</v>
      </c>
      <c r="H341" s="55">
        <f t="shared" si="93"/>
        <v>0</v>
      </c>
      <c r="I341" s="55">
        <f t="shared" si="93"/>
        <v>0</v>
      </c>
      <c r="J341" s="55">
        <f t="shared" si="93"/>
        <v>0</v>
      </c>
      <c r="K341" s="56"/>
      <c r="L341" s="30"/>
      <c r="M341" s="57" t="s">
        <v>28</v>
      </c>
      <c r="N341" s="58" t="b">
        <v>0</v>
      </c>
    </row>
    <row r="342" ht="13.5" customHeight="1">
      <c r="A342" s="64"/>
      <c r="B342" s="59"/>
      <c r="C342" s="53" t="s">
        <v>30</v>
      </c>
      <c r="D342" s="54"/>
      <c r="E342" s="60"/>
      <c r="F342" s="60"/>
      <c r="G342" s="60"/>
      <c r="H342" s="60"/>
      <c r="I342" s="60"/>
      <c r="J342" s="60"/>
      <c r="K342" s="61" t="s">
        <v>30</v>
      </c>
      <c r="L342" s="62">
        <f>(E342*E335)+(F342*F335)+(G342*G335)+(H342*H335)+(I342*I335)+(J342*J335)</f>
        <v>0</v>
      </c>
      <c r="M342" s="57" t="s">
        <v>31</v>
      </c>
      <c r="N342" s="63" t="b">
        <v>0</v>
      </c>
    </row>
    <row r="343" ht="13.5" customHeight="1">
      <c r="A343" s="68"/>
      <c r="B343" s="65" t="s">
        <v>42</v>
      </c>
      <c r="C343" s="53" t="s">
        <v>34</v>
      </c>
      <c r="D343" s="54"/>
      <c r="E343" s="66"/>
      <c r="F343" s="66"/>
      <c r="G343" s="66"/>
      <c r="H343" s="66"/>
      <c r="I343" s="66"/>
      <c r="J343" s="66"/>
      <c r="K343" s="67" t="s">
        <v>35</v>
      </c>
      <c r="L343" s="62">
        <f>(E343*E335)+(F343*F335)+(G343*G335)+(H343*H335)+(I343*I335)+(J343*J335)</f>
        <v>0</v>
      </c>
      <c r="M343" s="57" t="s">
        <v>36</v>
      </c>
      <c r="N343" s="63" t="b">
        <v>0</v>
      </c>
    </row>
    <row r="344" ht="15.0" customHeight="1">
      <c r="A344" s="46" t="s">
        <v>43</v>
      </c>
      <c r="B344" s="69" t="str">
        <f>IFS(L344=0,"",B344&lt;&gt;"",B344,TRUE,NOW())</f>
        <v/>
      </c>
      <c r="C344" s="70" t="s">
        <v>37</v>
      </c>
      <c r="D344" s="33"/>
      <c r="E344" s="71"/>
      <c r="F344" s="71"/>
      <c r="G344" s="71"/>
      <c r="H344" s="71"/>
      <c r="I344" s="71"/>
      <c r="J344" s="71"/>
      <c r="K344" s="72" t="s">
        <v>38</v>
      </c>
      <c r="L344" s="73">
        <f>L343-L342</f>
        <v>0</v>
      </c>
      <c r="M344" s="74" t="s">
        <v>39</v>
      </c>
      <c r="N344" s="75" t="b">
        <v>0</v>
      </c>
    </row>
    <row r="345" ht="13.5" customHeight="1">
      <c r="A345" s="64"/>
      <c r="B345" s="52" t="s">
        <v>104</v>
      </c>
      <c r="C345" s="53" t="s">
        <v>27</v>
      </c>
      <c r="D345" s="54"/>
      <c r="E345" s="55">
        <f t="shared" ref="E345:J345" si="94">E343-E346</f>
        <v>0</v>
      </c>
      <c r="F345" s="55">
        <f t="shared" si="94"/>
        <v>0</v>
      </c>
      <c r="G345" s="55">
        <f t="shared" si="94"/>
        <v>0</v>
      </c>
      <c r="H345" s="55">
        <f t="shared" si="94"/>
        <v>0</v>
      </c>
      <c r="I345" s="55">
        <f t="shared" si="94"/>
        <v>0</v>
      </c>
      <c r="J345" s="55">
        <f t="shared" si="94"/>
        <v>0</v>
      </c>
      <c r="K345" s="56"/>
      <c r="L345" s="30"/>
      <c r="M345" s="57" t="s">
        <v>28</v>
      </c>
      <c r="N345" s="58" t="b">
        <v>0</v>
      </c>
    </row>
    <row r="346" ht="13.5" customHeight="1">
      <c r="A346" s="46" t="s">
        <v>45</v>
      </c>
      <c r="B346" s="59"/>
      <c r="C346" s="53" t="s">
        <v>30</v>
      </c>
      <c r="D346" s="54"/>
      <c r="E346" s="60"/>
      <c r="F346" s="60"/>
      <c r="G346" s="60"/>
      <c r="H346" s="60"/>
      <c r="I346" s="60"/>
      <c r="J346" s="60"/>
      <c r="K346" s="61" t="s">
        <v>30</v>
      </c>
      <c r="L346" s="62">
        <f>(E346*E335)+(F346*F335)+(G346*G335)+(H346*H335)+(I346*I335)+(J346*J335)</f>
        <v>0</v>
      </c>
      <c r="M346" s="57" t="s">
        <v>31</v>
      </c>
      <c r="N346" s="63" t="b">
        <v>0</v>
      </c>
    </row>
    <row r="347" ht="13.5" customHeight="1">
      <c r="A347" s="77"/>
      <c r="B347" s="65" t="s">
        <v>47</v>
      </c>
      <c r="C347" s="53" t="s">
        <v>34</v>
      </c>
      <c r="D347" s="54"/>
      <c r="E347" s="66"/>
      <c r="F347" s="66"/>
      <c r="G347" s="66"/>
      <c r="H347" s="66"/>
      <c r="I347" s="66"/>
      <c r="J347" s="66"/>
      <c r="K347" s="67" t="s">
        <v>35</v>
      </c>
      <c r="L347" s="62">
        <f>(E347*E335)+(F347*F335)+(G347*G335)+(H347*H335)+(I347*I335)+(J347*J335)</f>
        <v>0</v>
      </c>
      <c r="M347" s="57" t="s">
        <v>36</v>
      </c>
      <c r="N347" s="63" t="b">
        <v>0</v>
      </c>
    </row>
    <row r="348" ht="13.5" customHeight="1">
      <c r="A348" s="68"/>
      <c r="B348" s="69" t="str">
        <f>IFS(L348=0,"",B348&lt;&gt;"",B348,TRUE,NOW())</f>
        <v/>
      </c>
      <c r="C348" s="70" t="s">
        <v>37</v>
      </c>
      <c r="D348" s="33"/>
      <c r="E348" s="71"/>
      <c r="F348" s="71"/>
      <c r="G348" s="71"/>
      <c r="H348" s="71"/>
      <c r="I348" s="71"/>
      <c r="J348" s="71"/>
      <c r="K348" s="72" t="s">
        <v>38</v>
      </c>
      <c r="L348" s="73">
        <f>L347-L346</f>
        <v>0</v>
      </c>
      <c r="M348" s="74" t="s">
        <v>39</v>
      </c>
      <c r="N348" s="75" t="b">
        <v>0</v>
      </c>
    </row>
    <row r="349" ht="15.0" customHeight="1">
      <c r="A349" s="78" t="s">
        <v>48</v>
      </c>
      <c r="B349" s="52" t="s">
        <v>104</v>
      </c>
      <c r="C349" s="53" t="s">
        <v>27</v>
      </c>
      <c r="D349" s="54"/>
      <c r="E349" s="55">
        <f t="shared" ref="E349:J349" si="95">E347-E350</f>
        <v>0</v>
      </c>
      <c r="F349" s="55">
        <f t="shared" si="95"/>
        <v>0</v>
      </c>
      <c r="G349" s="55">
        <f t="shared" si="95"/>
        <v>0</v>
      </c>
      <c r="H349" s="55">
        <f t="shared" si="95"/>
        <v>0</v>
      </c>
      <c r="I349" s="55">
        <f t="shared" si="95"/>
        <v>0</v>
      </c>
      <c r="J349" s="55">
        <f t="shared" si="95"/>
        <v>0</v>
      </c>
      <c r="K349" s="56"/>
      <c r="L349" s="30"/>
      <c r="M349" s="57" t="s">
        <v>28</v>
      </c>
      <c r="N349" s="58" t="b">
        <v>0</v>
      </c>
    </row>
    <row r="350" ht="13.5" customHeight="1">
      <c r="A350" s="87"/>
      <c r="B350" s="59"/>
      <c r="C350" s="53" t="s">
        <v>30</v>
      </c>
      <c r="D350" s="54"/>
      <c r="E350" s="60"/>
      <c r="F350" s="60"/>
      <c r="G350" s="60"/>
      <c r="H350" s="60"/>
      <c r="I350" s="60"/>
      <c r="J350" s="60"/>
      <c r="K350" s="61" t="s">
        <v>30</v>
      </c>
      <c r="L350" s="62">
        <f>(E350*E335)+(F350*F335)+(G350*G335)+(H350*H335)+(I350*I335)+(J350*J335)</f>
        <v>0</v>
      </c>
      <c r="M350" s="57" t="s">
        <v>31</v>
      </c>
      <c r="N350" s="63" t="b">
        <v>0</v>
      </c>
    </row>
    <row r="351" ht="13.5" customHeight="1">
      <c r="A351" s="68"/>
      <c r="B351" s="65" t="s">
        <v>49</v>
      </c>
      <c r="C351" s="53" t="s">
        <v>34</v>
      </c>
      <c r="D351" s="54"/>
      <c r="E351" s="66"/>
      <c r="F351" s="66"/>
      <c r="G351" s="66"/>
      <c r="H351" s="66"/>
      <c r="I351" s="66"/>
      <c r="J351" s="66"/>
      <c r="K351" s="67" t="s">
        <v>35</v>
      </c>
      <c r="L351" s="62">
        <f>(E351*E335)+(F351*F335)+(G351*G335)+(H351*H335)+(I351*I335)+(J351*J335)</f>
        <v>0</v>
      </c>
      <c r="M351" s="57" t="s">
        <v>36</v>
      </c>
      <c r="N351" s="63" t="b">
        <v>0</v>
      </c>
    </row>
    <row r="352" ht="13.5" customHeight="1">
      <c r="A352" s="80"/>
      <c r="B352" s="69" t="str">
        <f>IFS(L352=0,"",B352&lt;&gt;"",B352,TRUE,NOW())</f>
        <v/>
      </c>
      <c r="C352" s="86" t="s">
        <v>37</v>
      </c>
      <c r="D352" s="59"/>
      <c r="E352" s="81"/>
      <c r="F352" s="81"/>
      <c r="G352" s="81"/>
      <c r="H352" s="82"/>
      <c r="I352" s="81"/>
      <c r="J352" s="81"/>
      <c r="K352" s="72" t="s">
        <v>38</v>
      </c>
      <c r="L352" s="73">
        <f>L351-L350</f>
        <v>0</v>
      </c>
      <c r="M352" s="74" t="s">
        <v>39</v>
      </c>
      <c r="N352" s="75" t="b">
        <v>0</v>
      </c>
    </row>
    <row r="353" ht="13.5" customHeight="1">
      <c r="A353" s="83" t="s">
        <v>105</v>
      </c>
      <c r="B353" s="42" t="s">
        <v>20</v>
      </c>
      <c r="C353" s="24"/>
      <c r="D353" s="33"/>
      <c r="E353" s="43">
        <f t="shared" ref="E353:J353" si="96">E6</f>
        <v>17</v>
      </c>
      <c r="F353" s="43">
        <f t="shared" si="96"/>
        <v>27</v>
      </c>
      <c r="G353" s="43">
        <f t="shared" si="96"/>
        <v>27</v>
      </c>
      <c r="H353" s="43">
        <f t="shared" si="96"/>
        <v>27</v>
      </c>
      <c r="I353" s="43">
        <f t="shared" si="96"/>
        <v>32</v>
      </c>
      <c r="J353" s="44">
        <f t="shared" si="96"/>
        <v>37</v>
      </c>
      <c r="K353" s="42" t="s">
        <v>21</v>
      </c>
      <c r="L353" s="25"/>
      <c r="M353" s="45" t="s">
        <v>22</v>
      </c>
      <c r="N353" s="25"/>
    </row>
    <row r="354" ht="18.0" customHeight="1">
      <c r="A354" s="46" t="s">
        <v>23</v>
      </c>
      <c r="B354" s="47" t="s">
        <v>24</v>
      </c>
      <c r="C354" s="32" t="s">
        <v>25</v>
      </c>
      <c r="D354" s="33"/>
      <c r="E354" s="48"/>
      <c r="F354" s="48"/>
      <c r="G354" s="48"/>
      <c r="H354" s="48"/>
      <c r="I354" s="48"/>
      <c r="J354" s="48"/>
      <c r="K354" s="49"/>
      <c r="L354" s="25"/>
      <c r="M354" s="50"/>
      <c r="N354" s="10"/>
    </row>
    <row r="355" ht="13.5" customHeight="1">
      <c r="A355" s="92"/>
      <c r="B355" s="52" t="s">
        <v>106</v>
      </c>
      <c r="C355" s="53" t="s">
        <v>27</v>
      </c>
      <c r="D355" s="54"/>
      <c r="E355" s="55">
        <f t="shared" ref="E355:J355" si="97">E354-E356</f>
        <v>0</v>
      </c>
      <c r="F355" s="55">
        <f t="shared" si="97"/>
        <v>0</v>
      </c>
      <c r="G355" s="55">
        <f t="shared" si="97"/>
        <v>0</v>
      </c>
      <c r="H355" s="55">
        <f t="shared" si="97"/>
        <v>0</v>
      </c>
      <c r="I355" s="55">
        <f t="shared" si="97"/>
        <v>0</v>
      </c>
      <c r="J355" s="55">
        <f t="shared" si="97"/>
        <v>0</v>
      </c>
      <c r="K355" s="56"/>
      <c r="L355" s="30"/>
      <c r="M355" s="57" t="s">
        <v>28</v>
      </c>
      <c r="N355" s="58" t="b">
        <v>0</v>
      </c>
    </row>
    <row r="356" ht="13.5" customHeight="1">
      <c r="A356" s="46" t="s">
        <v>29</v>
      </c>
      <c r="B356" s="59"/>
      <c r="C356" s="53" t="s">
        <v>30</v>
      </c>
      <c r="D356" s="54"/>
      <c r="E356" s="60"/>
      <c r="F356" s="60"/>
      <c r="G356" s="60"/>
      <c r="H356" s="60"/>
      <c r="I356" s="60"/>
      <c r="J356" s="60"/>
      <c r="K356" s="61" t="s">
        <v>30</v>
      </c>
      <c r="L356" s="62">
        <f>(E356*E353)+(F356*F353)+(G356*G353)+(H356*H353)+(I356*I353)+(J356*J353)</f>
        <v>0</v>
      </c>
      <c r="M356" s="57" t="s">
        <v>31</v>
      </c>
      <c r="N356" s="63" t="b">
        <v>0</v>
      </c>
    </row>
    <row r="357" ht="13.5" customHeight="1">
      <c r="A357" s="64"/>
      <c r="B357" s="65" t="s">
        <v>33</v>
      </c>
      <c r="C357" s="53" t="s">
        <v>34</v>
      </c>
      <c r="D357" s="54"/>
      <c r="E357" s="66"/>
      <c r="F357" s="66"/>
      <c r="G357" s="66"/>
      <c r="H357" s="66"/>
      <c r="I357" s="66"/>
      <c r="J357" s="66"/>
      <c r="K357" s="67" t="s">
        <v>35</v>
      </c>
      <c r="L357" s="62">
        <f>(E357*E353)+(F357*F353)+(G357*G353)+(H357*H353)+(I357*I353)+(J357*J353)</f>
        <v>0</v>
      </c>
      <c r="M357" s="57" t="s">
        <v>36</v>
      </c>
      <c r="N357" s="63" t="b">
        <v>0</v>
      </c>
    </row>
    <row r="358" ht="13.5" customHeight="1">
      <c r="A358" s="68"/>
      <c r="B358" s="69" t="str">
        <f>IFS(L358=0,"",B358&lt;&gt;"",B358,TRUE,NOW())</f>
        <v/>
      </c>
      <c r="C358" s="70" t="s">
        <v>37</v>
      </c>
      <c r="D358" s="33"/>
      <c r="E358" s="71"/>
      <c r="F358" s="71"/>
      <c r="G358" s="71"/>
      <c r="H358" s="71"/>
      <c r="I358" s="71"/>
      <c r="J358" s="71"/>
      <c r="K358" s="72" t="s">
        <v>38</v>
      </c>
      <c r="L358" s="73">
        <f>L357-L356</f>
        <v>0</v>
      </c>
      <c r="M358" s="74" t="s">
        <v>39</v>
      </c>
      <c r="N358" s="75" t="b">
        <v>0</v>
      </c>
    </row>
    <row r="359" ht="13.5" customHeight="1">
      <c r="A359" s="46" t="s">
        <v>40</v>
      </c>
      <c r="B359" s="52" t="s">
        <v>106</v>
      </c>
      <c r="C359" s="53" t="s">
        <v>27</v>
      </c>
      <c r="D359" s="54"/>
      <c r="E359" s="55">
        <f t="shared" ref="E359:J359" si="98">E357-E360</f>
        <v>0</v>
      </c>
      <c r="F359" s="55">
        <f t="shared" si="98"/>
        <v>0</v>
      </c>
      <c r="G359" s="55">
        <f t="shared" si="98"/>
        <v>0</v>
      </c>
      <c r="H359" s="55">
        <f t="shared" si="98"/>
        <v>0</v>
      </c>
      <c r="I359" s="55">
        <f t="shared" si="98"/>
        <v>0</v>
      </c>
      <c r="J359" s="55">
        <f t="shared" si="98"/>
        <v>0</v>
      </c>
      <c r="K359" s="56"/>
      <c r="L359" s="30"/>
      <c r="M359" s="57" t="s">
        <v>28</v>
      </c>
      <c r="N359" s="58" t="b">
        <v>0</v>
      </c>
    </row>
    <row r="360" ht="13.5" customHeight="1">
      <c r="A360" s="64"/>
      <c r="B360" s="59"/>
      <c r="C360" s="53" t="s">
        <v>30</v>
      </c>
      <c r="D360" s="54"/>
      <c r="E360" s="60"/>
      <c r="F360" s="60"/>
      <c r="G360" s="60"/>
      <c r="H360" s="60"/>
      <c r="I360" s="60"/>
      <c r="J360" s="60"/>
      <c r="K360" s="61" t="s">
        <v>30</v>
      </c>
      <c r="L360" s="62">
        <f>(E360*E353)+(F360*F353)+(G360*G353)+(H360*H353)+(I360*I353)+(J360*J353)</f>
        <v>0</v>
      </c>
      <c r="M360" s="57" t="s">
        <v>31</v>
      </c>
      <c r="N360" s="63" t="b">
        <v>0</v>
      </c>
    </row>
    <row r="361" ht="15.0" customHeight="1">
      <c r="A361" s="68"/>
      <c r="B361" s="65" t="s">
        <v>42</v>
      </c>
      <c r="C361" s="53" t="s">
        <v>34</v>
      </c>
      <c r="D361" s="54"/>
      <c r="E361" s="66"/>
      <c r="F361" s="66"/>
      <c r="G361" s="66"/>
      <c r="H361" s="66"/>
      <c r="I361" s="66"/>
      <c r="J361" s="66"/>
      <c r="K361" s="67" t="s">
        <v>35</v>
      </c>
      <c r="L361" s="62">
        <f>(E361*E353)+(F361*F353)+(G361*G353)+(H361*H353)+(I361*I353)+(J361*J353)</f>
        <v>0</v>
      </c>
      <c r="M361" s="57" t="s">
        <v>36</v>
      </c>
      <c r="N361" s="63" t="b">
        <v>0</v>
      </c>
    </row>
    <row r="362" ht="13.5" customHeight="1">
      <c r="A362" s="46" t="s">
        <v>43</v>
      </c>
      <c r="B362" s="69" t="str">
        <f>IFS(L362=0,"",B362&lt;&gt;"",B362,TRUE,NOW())</f>
        <v/>
      </c>
      <c r="C362" s="70" t="s">
        <v>37</v>
      </c>
      <c r="D362" s="33"/>
      <c r="E362" s="71"/>
      <c r="F362" s="71"/>
      <c r="G362" s="71"/>
      <c r="H362" s="71"/>
      <c r="I362" s="71"/>
      <c r="J362" s="71"/>
      <c r="K362" s="72" t="s">
        <v>38</v>
      </c>
      <c r="L362" s="73">
        <f>L361-L360</f>
        <v>0</v>
      </c>
      <c r="M362" s="74" t="s">
        <v>39</v>
      </c>
      <c r="N362" s="75" t="b">
        <v>0</v>
      </c>
    </row>
    <row r="363" ht="13.5" customHeight="1">
      <c r="A363" s="64"/>
      <c r="B363" s="52" t="s">
        <v>106</v>
      </c>
      <c r="C363" s="53" t="s">
        <v>27</v>
      </c>
      <c r="D363" s="54"/>
      <c r="E363" s="55">
        <f t="shared" ref="E363:J363" si="99">E361-E364</f>
        <v>0</v>
      </c>
      <c r="F363" s="55">
        <f t="shared" si="99"/>
        <v>0</v>
      </c>
      <c r="G363" s="55">
        <f t="shared" si="99"/>
        <v>0</v>
      </c>
      <c r="H363" s="55">
        <f t="shared" si="99"/>
        <v>0</v>
      </c>
      <c r="I363" s="55">
        <f t="shared" si="99"/>
        <v>0</v>
      </c>
      <c r="J363" s="55">
        <f t="shared" si="99"/>
        <v>0</v>
      </c>
      <c r="K363" s="56"/>
      <c r="L363" s="30"/>
      <c r="M363" s="57" t="s">
        <v>28</v>
      </c>
      <c r="N363" s="58" t="b">
        <v>0</v>
      </c>
    </row>
    <row r="364" ht="13.5" customHeight="1">
      <c r="A364" s="46" t="s">
        <v>45</v>
      </c>
      <c r="B364" s="59"/>
      <c r="C364" s="53" t="s">
        <v>30</v>
      </c>
      <c r="D364" s="54"/>
      <c r="E364" s="60"/>
      <c r="F364" s="60"/>
      <c r="G364" s="60"/>
      <c r="H364" s="60"/>
      <c r="I364" s="60"/>
      <c r="J364" s="60"/>
      <c r="K364" s="61" t="s">
        <v>30</v>
      </c>
      <c r="L364" s="62">
        <f>(E364*E353)+(F364*F353)+(G364*G353)+(H364*H353)+(I364*I353)+(J364*J353)</f>
        <v>0</v>
      </c>
      <c r="M364" s="57" t="s">
        <v>31</v>
      </c>
      <c r="N364" s="63" t="b">
        <v>0</v>
      </c>
    </row>
    <row r="365" ht="13.5" customHeight="1">
      <c r="A365" s="77"/>
      <c r="B365" s="65" t="s">
        <v>47</v>
      </c>
      <c r="C365" s="53" t="s">
        <v>34</v>
      </c>
      <c r="D365" s="54"/>
      <c r="E365" s="66"/>
      <c r="F365" s="66"/>
      <c r="G365" s="66"/>
      <c r="H365" s="66"/>
      <c r="I365" s="66"/>
      <c r="J365" s="66"/>
      <c r="K365" s="67" t="s">
        <v>35</v>
      </c>
      <c r="L365" s="62">
        <f>(E365*E353)+(F365*F353)+(G365*G353)+(H365*H353)+(I365*I353)+(J365*J353)</f>
        <v>0</v>
      </c>
      <c r="M365" s="57" t="s">
        <v>36</v>
      </c>
      <c r="N365" s="63" t="b">
        <v>0</v>
      </c>
    </row>
    <row r="366" ht="15.0" customHeight="1">
      <c r="A366" s="68"/>
      <c r="B366" s="69" t="str">
        <f>IFS(L366=0,"",B366&lt;&gt;"",B366,TRUE,NOW())</f>
        <v/>
      </c>
      <c r="C366" s="70" t="s">
        <v>37</v>
      </c>
      <c r="D366" s="33"/>
      <c r="E366" s="71"/>
      <c r="F366" s="71"/>
      <c r="G366" s="71"/>
      <c r="H366" s="71"/>
      <c r="I366" s="71"/>
      <c r="J366" s="71"/>
      <c r="K366" s="72" t="s">
        <v>38</v>
      </c>
      <c r="L366" s="73">
        <f>L365-L364</f>
        <v>0</v>
      </c>
      <c r="M366" s="74" t="s">
        <v>39</v>
      </c>
      <c r="N366" s="75" t="b">
        <v>0</v>
      </c>
    </row>
    <row r="367" ht="13.5" customHeight="1">
      <c r="A367" s="78" t="s">
        <v>48</v>
      </c>
      <c r="B367" s="52" t="s">
        <v>106</v>
      </c>
      <c r="C367" s="53" t="s">
        <v>27</v>
      </c>
      <c r="D367" s="54"/>
      <c r="E367" s="55">
        <f t="shared" ref="E367:J367" si="100">E365-E368</f>
        <v>0</v>
      </c>
      <c r="F367" s="55">
        <f t="shared" si="100"/>
        <v>0</v>
      </c>
      <c r="G367" s="55">
        <f t="shared" si="100"/>
        <v>0</v>
      </c>
      <c r="H367" s="55">
        <f t="shared" si="100"/>
        <v>0</v>
      </c>
      <c r="I367" s="55">
        <f t="shared" si="100"/>
        <v>0</v>
      </c>
      <c r="J367" s="55">
        <f t="shared" si="100"/>
        <v>0</v>
      </c>
      <c r="K367" s="56"/>
      <c r="L367" s="30"/>
      <c r="M367" s="57" t="s">
        <v>28</v>
      </c>
      <c r="N367" s="58" t="b">
        <v>0</v>
      </c>
    </row>
    <row r="368" ht="13.5" customHeight="1">
      <c r="A368" s="87"/>
      <c r="B368" s="59"/>
      <c r="C368" s="53" t="s">
        <v>30</v>
      </c>
      <c r="D368" s="54"/>
      <c r="E368" s="60"/>
      <c r="F368" s="60"/>
      <c r="G368" s="60"/>
      <c r="H368" s="60"/>
      <c r="I368" s="60"/>
      <c r="J368" s="60"/>
      <c r="K368" s="61" t="s">
        <v>30</v>
      </c>
      <c r="L368" s="62">
        <f>(E368*E353)+(F368*F353)+(G368*G353)+(H368*H353)+(I368*I353)+(J368*J353)</f>
        <v>0</v>
      </c>
      <c r="M368" s="57" t="s">
        <v>31</v>
      </c>
      <c r="N368" s="63" t="b">
        <v>0</v>
      </c>
    </row>
    <row r="369" ht="13.5" customHeight="1">
      <c r="A369" s="68"/>
      <c r="B369" s="65" t="s">
        <v>49</v>
      </c>
      <c r="C369" s="53" t="s">
        <v>34</v>
      </c>
      <c r="D369" s="54"/>
      <c r="E369" s="66"/>
      <c r="F369" s="66"/>
      <c r="G369" s="66"/>
      <c r="H369" s="66"/>
      <c r="I369" s="66"/>
      <c r="J369" s="66"/>
      <c r="K369" s="67" t="s">
        <v>35</v>
      </c>
      <c r="L369" s="62">
        <f>(E369*E353)+(F369*F353)+(G369*G353)+(H369*H353)+(I369*I353)+(J369*J353)</f>
        <v>0</v>
      </c>
      <c r="M369" s="57" t="s">
        <v>36</v>
      </c>
      <c r="N369" s="63" t="b">
        <v>0</v>
      </c>
    </row>
    <row r="370" ht="13.5" customHeight="1">
      <c r="A370" s="80"/>
      <c r="B370" s="69" t="str">
        <f>IFS(L370=0,"",B370&lt;&gt;"",B370,TRUE,NOW())</f>
        <v/>
      </c>
      <c r="C370" s="86" t="s">
        <v>37</v>
      </c>
      <c r="D370" s="59"/>
      <c r="E370" s="81"/>
      <c r="F370" s="81"/>
      <c r="G370" s="81"/>
      <c r="H370" s="82"/>
      <c r="I370" s="81"/>
      <c r="J370" s="81"/>
      <c r="K370" s="72" t="s">
        <v>38</v>
      </c>
      <c r="L370" s="73">
        <f>L369-L368</f>
        <v>0</v>
      </c>
      <c r="M370" s="74" t="s">
        <v>39</v>
      </c>
      <c r="N370" s="75" t="b">
        <v>0</v>
      </c>
    </row>
    <row r="371" ht="18.75" customHeight="1">
      <c r="A371" s="83" t="s">
        <v>107</v>
      </c>
      <c r="B371" s="42" t="s">
        <v>20</v>
      </c>
      <c r="C371" s="24"/>
      <c r="D371" s="33"/>
      <c r="E371" s="43">
        <f t="shared" ref="E371:J371" si="101">E6</f>
        <v>17</v>
      </c>
      <c r="F371" s="43">
        <f t="shared" si="101"/>
        <v>27</v>
      </c>
      <c r="G371" s="43">
        <f t="shared" si="101"/>
        <v>27</v>
      </c>
      <c r="H371" s="43">
        <f t="shared" si="101"/>
        <v>27</v>
      </c>
      <c r="I371" s="43">
        <f t="shared" si="101"/>
        <v>32</v>
      </c>
      <c r="J371" s="44">
        <f t="shared" si="101"/>
        <v>37</v>
      </c>
      <c r="K371" s="42" t="s">
        <v>21</v>
      </c>
      <c r="L371" s="25"/>
      <c r="M371" s="45" t="s">
        <v>22</v>
      </c>
      <c r="N371" s="25"/>
    </row>
    <row r="372" ht="13.5" customHeight="1">
      <c r="A372" s="46" t="s">
        <v>23</v>
      </c>
      <c r="B372" s="47" t="s">
        <v>24</v>
      </c>
      <c r="C372" s="32" t="s">
        <v>25</v>
      </c>
      <c r="D372" s="33"/>
      <c r="E372" s="48"/>
      <c r="F372" s="48"/>
      <c r="G372" s="48"/>
      <c r="H372" s="48"/>
      <c r="I372" s="48"/>
      <c r="J372" s="48"/>
      <c r="K372" s="49"/>
      <c r="L372" s="25"/>
      <c r="M372" s="50"/>
      <c r="N372" s="10"/>
    </row>
    <row r="373" ht="13.5" customHeight="1">
      <c r="A373" s="92"/>
      <c r="B373" s="52" t="s">
        <v>108</v>
      </c>
      <c r="C373" s="53" t="s">
        <v>27</v>
      </c>
      <c r="D373" s="54"/>
      <c r="E373" s="55">
        <f t="shared" ref="E373:J373" si="102">E372-E374</f>
        <v>0</v>
      </c>
      <c r="F373" s="55">
        <f t="shared" si="102"/>
        <v>0</v>
      </c>
      <c r="G373" s="55">
        <f t="shared" si="102"/>
        <v>0</v>
      </c>
      <c r="H373" s="55">
        <f t="shared" si="102"/>
        <v>0</v>
      </c>
      <c r="I373" s="55">
        <f t="shared" si="102"/>
        <v>0</v>
      </c>
      <c r="J373" s="55">
        <f t="shared" si="102"/>
        <v>0</v>
      </c>
      <c r="K373" s="56"/>
      <c r="L373" s="30"/>
      <c r="M373" s="57" t="s">
        <v>28</v>
      </c>
      <c r="N373" s="58" t="b">
        <v>0</v>
      </c>
    </row>
    <row r="374" ht="13.5" customHeight="1">
      <c r="A374" s="46" t="s">
        <v>29</v>
      </c>
      <c r="B374" s="59"/>
      <c r="C374" s="53" t="s">
        <v>30</v>
      </c>
      <c r="D374" s="54"/>
      <c r="E374" s="60"/>
      <c r="F374" s="60"/>
      <c r="G374" s="60"/>
      <c r="H374" s="60"/>
      <c r="I374" s="60"/>
      <c r="J374" s="60"/>
      <c r="K374" s="61" t="s">
        <v>30</v>
      </c>
      <c r="L374" s="62">
        <f>(E374*E371)+(F374*F371)+(G374*G371)+(H374*H371)+(I374*I371)+(J374*J371)</f>
        <v>0</v>
      </c>
      <c r="M374" s="57" t="s">
        <v>31</v>
      </c>
      <c r="N374" s="63" t="b">
        <v>0</v>
      </c>
    </row>
    <row r="375" ht="13.5" customHeight="1">
      <c r="A375" s="64"/>
      <c r="B375" s="65" t="s">
        <v>33</v>
      </c>
      <c r="C375" s="53" t="s">
        <v>34</v>
      </c>
      <c r="D375" s="54"/>
      <c r="E375" s="66"/>
      <c r="F375" s="66"/>
      <c r="G375" s="66"/>
      <c r="H375" s="66"/>
      <c r="I375" s="66"/>
      <c r="J375" s="66"/>
      <c r="K375" s="67" t="s">
        <v>35</v>
      </c>
      <c r="L375" s="62">
        <f>(E375*E371)+(F375*F371)+(G375*G371)+(H375*H371)+(I375*I371)+(J375*J371)</f>
        <v>0</v>
      </c>
      <c r="M375" s="57" t="s">
        <v>36</v>
      </c>
      <c r="N375" s="63" t="b">
        <v>0</v>
      </c>
    </row>
    <row r="376" ht="15.0" customHeight="1">
      <c r="A376" s="68"/>
      <c r="B376" s="69" t="str">
        <f>IFS(L376=0,"",B376&lt;&gt;"",B376,TRUE,NOW())</f>
        <v/>
      </c>
      <c r="C376" s="70" t="s">
        <v>37</v>
      </c>
      <c r="D376" s="33"/>
      <c r="E376" s="71"/>
      <c r="F376" s="71"/>
      <c r="G376" s="71"/>
      <c r="H376" s="71"/>
      <c r="I376" s="71"/>
      <c r="J376" s="71"/>
      <c r="K376" s="72" t="s">
        <v>38</v>
      </c>
      <c r="L376" s="73">
        <f>L375-L374</f>
        <v>0</v>
      </c>
      <c r="M376" s="74" t="s">
        <v>39</v>
      </c>
      <c r="N376" s="75" t="b">
        <v>0</v>
      </c>
    </row>
    <row r="377" ht="13.5" customHeight="1">
      <c r="A377" s="46" t="s">
        <v>40</v>
      </c>
      <c r="B377" s="52" t="s">
        <v>108</v>
      </c>
      <c r="C377" s="53" t="s">
        <v>27</v>
      </c>
      <c r="D377" s="54"/>
      <c r="E377" s="55">
        <f t="shared" ref="E377:J377" si="103">E375-E378</f>
        <v>0</v>
      </c>
      <c r="F377" s="55">
        <f t="shared" si="103"/>
        <v>0</v>
      </c>
      <c r="G377" s="55">
        <f t="shared" si="103"/>
        <v>0</v>
      </c>
      <c r="H377" s="55">
        <f t="shared" si="103"/>
        <v>0</v>
      </c>
      <c r="I377" s="55">
        <f t="shared" si="103"/>
        <v>0</v>
      </c>
      <c r="J377" s="55">
        <f t="shared" si="103"/>
        <v>0</v>
      </c>
      <c r="K377" s="56"/>
      <c r="L377" s="30"/>
      <c r="M377" s="57" t="s">
        <v>28</v>
      </c>
      <c r="N377" s="58" t="b">
        <v>0</v>
      </c>
    </row>
    <row r="378" ht="13.5" customHeight="1">
      <c r="A378" s="64"/>
      <c r="B378" s="59"/>
      <c r="C378" s="53" t="s">
        <v>30</v>
      </c>
      <c r="D378" s="54"/>
      <c r="E378" s="60"/>
      <c r="F378" s="60"/>
      <c r="G378" s="60"/>
      <c r="H378" s="60"/>
      <c r="I378" s="60"/>
      <c r="J378" s="60"/>
      <c r="K378" s="61" t="s">
        <v>30</v>
      </c>
      <c r="L378" s="62">
        <f>(E378*E371)+(F378*F371)+(G378*G371)+(H378*H371)+(I378*I371)+(J378*J371)</f>
        <v>0</v>
      </c>
      <c r="M378" s="57" t="s">
        <v>31</v>
      </c>
      <c r="N378" s="63" t="b">
        <v>0</v>
      </c>
    </row>
    <row r="379" ht="13.5" customHeight="1">
      <c r="A379" s="68"/>
      <c r="B379" s="65" t="s">
        <v>42</v>
      </c>
      <c r="C379" s="53" t="s">
        <v>34</v>
      </c>
      <c r="D379" s="54"/>
      <c r="E379" s="66"/>
      <c r="F379" s="66"/>
      <c r="G379" s="66"/>
      <c r="H379" s="66"/>
      <c r="I379" s="66"/>
      <c r="J379" s="66"/>
      <c r="K379" s="67" t="s">
        <v>35</v>
      </c>
      <c r="L379" s="62">
        <f>(E379*E371)+(F379*F371)+(G379*G371)+(H379*H371)+(I379*I371)+(J379*J371)</f>
        <v>0</v>
      </c>
      <c r="M379" s="57" t="s">
        <v>36</v>
      </c>
      <c r="N379" s="63" t="b">
        <v>0</v>
      </c>
    </row>
    <row r="380" ht="13.5" customHeight="1">
      <c r="A380" s="46" t="s">
        <v>43</v>
      </c>
      <c r="B380" s="69" t="str">
        <f>IFS(L380=0,"",B380&lt;&gt;"",B380,TRUE,NOW())</f>
        <v/>
      </c>
      <c r="C380" s="70" t="s">
        <v>37</v>
      </c>
      <c r="D380" s="33"/>
      <c r="E380" s="71"/>
      <c r="F380" s="71"/>
      <c r="G380" s="71"/>
      <c r="H380" s="71"/>
      <c r="I380" s="71"/>
      <c r="J380" s="71"/>
      <c r="K380" s="72" t="s">
        <v>38</v>
      </c>
      <c r="L380" s="73">
        <f>L379-L378</f>
        <v>0</v>
      </c>
      <c r="M380" s="74" t="s">
        <v>39</v>
      </c>
      <c r="N380" s="75" t="b">
        <v>0</v>
      </c>
    </row>
    <row r="381" ht="13.5" customHeight="1">
      <c r="A381" s="64"/>
      <c r="B381" s="52" t="s">
        <v>108</v>
      </c>
      <c r="C381" s="53" t="s">
        <v>27</v>
      </c>
      <c r="D381" s="54"/>
      <c r="E381" s="55">
        <f t="shared" ref="E381:J381" si="104">E379-E382</f>
        <v>0</v>
      </c>
      <c r="F381" s="55">
        <f t="shared" si="104"/>
        <v>0</v>
      </c>
      <c r="G381" s="55">
        <f t="shared" si="104"/>
        <v>0</v>
      </c>
      <c r="H381" s="55">
        <f t="shared" si="104"/>
        <v>0</v>
      </c>
      <c r="I381" s="55">
        <f t="shared" si="104"/>
        <v>0</v>
      </c>
      <c r="J381" s="55">
        <f t="shared" si="104"/>
        <v>0</v>
      </c>
      <c r="K381" s="56"/>
      <c r="L381" s="30"/>
      <c r="M381" s="57" t="s">
        <v>28</v>
      </c>
      <c r="N381" s="58" t="b">
        <v>0</v>
      </c>
    </row>
    <row r="382" ht="13.5" customHeight="1">
      <c r="A382" s="46" t="s">
        <v>45</v>
      </c>
      <c r="B382" s="59"/>
      <c r="C382" s="53" t="s">
        <v>30</v>
      </c>
      <c r="D382" s="54"/>
      <c r="E382" s="60"/>
      <c r="F382" s="60"/>
      <c r="G382" s="60"/>
      <c r="H382" s="60"/>
      <c r="I382" s="60"/>
      <c r="J382" s="60"/>
      <c r="K382" s="61" t="s">
        <v>30</v>
      </c>
      <c r="L382" s="62">
        <f>(E382*E371)+(F382*F371)+(G382*G371)+(H382*H371)+(I382*I371)+(J382*J371)</f>
        <v>0</v>
      </c>
      <c r="M382" s="57" t="s">
        <v>31</v>
      </c>
      <c r="N382" s="63" t="b">
        <v>0</v>
      </c>
    </row>
    <row r="383" ht="17.25" customHeight="1">
      <c r="A383" s="77"/>
      <c r="B383" s="65" t="s">
        <v>47</v>
      </c>
      <c r="C383" s="53" t="s">
        <v>34</v>
      </c>
      <c r="D383" s="54"/>
      <c r="E383" s="66"/>
      <c r="F383" s="66"/>
      <c r="G383" s="66"/>
      <c r="H383" s="66"/>
      <c r="I383" s="66"/>
      <c r="J383" s="66"/>
      <c r="K383" s="67" t="s">
        <v>35</v>
      </c>
      <c r="L383" s="62">
        <f>(E383*E371)+(F383*F371)+(G383*G371)+(H383*H371)+(I383*I371)+(J383*J371)</f>
        <v>0</v>
      </c>
      <c r="M383" s="57" t="s">
        <v>36</v>
      </c>
      <c r="N383" s="63" t="b">
        <v>0</v>
      </c>
    </row>
    <row r="384" ht="13.5" customHeight="1">
      <c r="A384" s="68"/>
      <c r="B384" s="69" t="str">
        <f>IFS(L384=0,"",B384&lt;&gt;"",B384,TRUE,NOW())</f>
        <v/>
      </c>
      <c r="C384" s="70" t="s">
        <v>37</v>
      </c>
      <c r="D384" s="33"/>
      <c r="E384" s="71"/>
      <c r="F384" s="71"/>
      <c r="G384" s="71"/>
      <c r="H384" s="71"/>
      <c r="I384" s="71"/>
      <c r="J384" s="71"/>
      <c r="K384" s="72" t="s">
        <v>38</v>
      </c>
      <c r="L384" s="73">
        <f>L383-L382</f>
        <v>0</v>
      </c>
      <c r="M384" s="74" t="s">
        <v>39</v>
      </c>
      <c r="N384" s="75" t="b">
        <v>0</v>
      </c>
    </row>
    <row r="385" ht="13.5" customHeight="1">
      <c r="A385" s="78" t="s">
        <v>48</v>
      </c>
      <c r="B385" s="52" t="s">
        <v>108</v>
      </c>
      <c r="C385" s="53" t="s">
        <v>27</v>
      </c>
      <c r="D385" s="54"/>
      <c r="E385" s="55">
        <f t="shared" ref="E385:J385" si="105">E383-E386</f>
        <v>0</v>
      </c>
      <c r="F385" s="55">
        <f t="shared" si="105"/>
        <v>0</v>
      </c>
      <c r="G385" s="55">
        <f t="shared" si="105"/>
        <v>0</v>
      </c>
      <c r="H385" s="55">
        <f t="shared" si="105"/>
        <v>0</v>
      </c>
      <c r="I385" s="55">
        <f t="shared" si="105"/>
        <v>0</v>
      </c>
      <c r="J385" s="55">
        <f t="shared" si="105"/>
        <v>0</v>
      </c>
      <c r="K385" s="56"/>
      <c r="L385" s="30"/>
      <c r="M385" s="57" t="s">
        <v>28</v>
      </c>
      <c r="N385" s="58" t="b">
        <v>0</v>
      </c>
    </row>
    <row r="386" ht="13.5" customHeight="1">
      <c r="A386" s="87"/>
      <c r="B386" s="59"/>
      <c r="C386" s="53" t="s">
        <v>30</v>
      </c>
      <c r="D386" s="54"/>
      <c r="E386" s="60"/>
      <c r="F386" s="60"/>
      <c r="G386" s="60"/>
      <c r="H386" s="60"/>
      <c r="I386" s="60"/>
      <c r="J386" s="60"/>
      <c r="K386" s="61" t="s">
        <v>30</v>
      </c>
      <c r="L386" s="62">
        <f>(E386*E371)+(F386*F371)+(G386*G371)+(H386*H371)+(I386*I371)+(J386*J371)</f>
        <v>0</v>
      </c>
      <c r="M386" s="57" t="s">
        <v>31</v>
      </c>
      <c r="N386" s="63" t="b">
        <v>0</v>
      </c>
    </row>
    <row r="387" ht="13.5" customHeight="1">
      <c r="A387" s="68"/>
      <c r="B387" s="65" t="s">
        <v>49</v>
      </c>
      <c r="C387" s="53" t="s">
        <v>34</v>
      </c>
      <c r="D387" s="54"/>
      <c r="E387" s="66"/>
      <c r="F387" s="66"/>
      <c r="G387" s="66"/>
      <c r="H387" s="66"/>
      <c r="I387" s="66"/>
      <c r="J387" s="66"/>
      <c r="K387" s="67" t="s">
        <v>35</v>
      </c>
      <c r="L387" s="62">
        <f>(E387*E371)+(F387*F371)+(G387*G371)+(H387*H371)+(I387*I371)+(J387*J371)</f>
        <v>0</v>
      </c>
      <c r="M387" s="57" t="s">
        <v>36</v>
      </c>
      <c r="N387" s="63" t="b">
        <v>0</v>
      </c>
    </row>
    <row r="388" ht="15.0" customHeight="1">
      <c r="A388" s="80"/>
      <c r="B388" s="69" t="str">
        <f>IFS(L388=0,"",B388&lt;&gt;"",B388,TRUE,NOW())</f>
        <v/>
      </c>
      <c r="C388" s="53" t="s">
        <v>37</v>
      </c>
      <c r="D388" s="54"/>
      <c r="E388" s="81"/>
      <c r="F388" s="81"/>
      <c r="G388" s="81"/>
      <c r="H388" s="82"/>
      <c r="I388" s="81"/>
      <c r="J388" s="81"/>
      <c r="K388" s="72" t="s">
        <v>38</v>
      </c>
      <c r="L388" s="73">
        <f>L387-L386</f>
        <v>0</v>
      </c>
      <c r="M388" s="74" t="s">
        <v>39</v>
      </c>
      <c r="N388" s="75" t="b">
        <v>0</v>
      </c>
    </row>
    <row r="389" ht="13.5" customHeight="1">
      <c r="A389" s="83" t="s">
        <v>109</v>
      </c>
      <c r="B389" s="42" t="s">
        <v>20</v>
      </c>
      <c r="C389" s="24"/>
      <c r="D389" s="33"/>
      <c r="E389" s="43">
        <f t="shared" ref="E389:J389" si="106">E6</f>
        <v>17</v>
      </c>
      <c r="F389" s="43">
        <f t="shared" si="106"/>
        <v>27</v>
      </c>
      <c r="G389" s="43">
        <f t="shared" si="106"/>
        <v>27</v>
      </c>
      <c r="H389" s="43">
        <f t="shared" si="106"/>
        <v>27</v>
      </c>
      <c r="I389" s="43">
        <f t="shared" si="106"/>
        <v>32</v>
      </c>
      <c r="J389" s="44">
        <f t="shared" si="106"/>
        <v>37</v>
      </c>
      <c r="K389" s="42" t="s">
        <v>21</v>
      </c>
      <c r="L389" s="25"/>
      <c r="M389" s="45" t="s">
        <v>22</v>
      </c>
      <c r="N389" s="25"/>
    </row>
    <row r="390" ht="13.5" customHeight="1">
      <c r="A390" s="46" t="s">
        <v>23</v>
      </c>
      <c r="B390" s="47" t="s">
        <v>24</v>
      </c>
      <c r="C390" s="32" t="s">
        <v>25</v>
      </c>
      <c r="D390" s="33"/>
      <c r="E390" s="48"/>
      <c r="F390" s="48"/>
      <c r="G390" s="48"/>
      <c r="H390" s="48"/>
      <c r="I390" s="48"/>
      <c r="J390" s="48"/>
      <c r="K390" s="49"/>
      <c r="L390" s="25"/>
      <c r="M390" s="50"/>
      <c r="N390" s="10"/>
    </row>
    <row r="391" ht="13.5" customHeight="1">
      <c r="A391" s="92"/>
      <c r="B391" s="52" t="s">
        <v>110</v>
      </c>
      <c r="C391" s="53" t="s">
        <v>27</v>
      </c>
      <c r="D391" s="54"/>
      <c r="E391" s="55">
        <f t="shared" ref="E391:J391" si="107">E390-E392</f>
        <v>0</v>
      </c>
      <c r="F391" s="55">
        <f t="shared" si="107"/>
        <v>0</v>
      </c>
      <c r="G391" s="55">
        <f t="shared" si="107"/>
        <v>0</v>
      </c>
      <c r="H391" s="55">
        <f t="shared" si="107"/>
        <v>0</v>
      </c>
      <c r="I391" s="55">
        <f t="shared" si="107"/>
        <v>0</v>
      </c>
      <c r="J391" s="55">
        <f t="shared" si="107"/>
        <v>0</v>
      </c>
      <c r="K391" s="56"/>
      <c r="L391" s="30"/>
      <c r="M391" s="57" t="s">
        <v>28</v>
      </c>
      <c r="N391" s="58" t="b">
        <v>0</v>
      </c>
    </row>
    <row r="392" ht="13.5" customHeight="1">
      <c r="A392" s="46" t="s">
        <v>29</v>
      </c>
      <c r="B392" s="59"/>
      <c r="C392" s="53" t="s">
        <v>30</v>
      </c>
      <c r="D392" s="54"/>
      <c r="E392" s="60"/>
      <c r="F392" s="60"/>
      <c r="G392" s="60"/>
      <c r="H392" s="60"/>
      <c r="I392" s="60"/>
      <c r="J392" s="60"/>
      <c r="K392" s="61" t="s">
        <v>30</v>
      </c>
      <c r="L392" s="62">
        <f>(E392*E389)+(F392*F389)+(G392*G389)+(H392*H389)+(I392*I389)+(J392*J389)</f>
        <v>0</v>
      </c>
      <c r="M392" s="57" t="s">
        <v>31</v>
      </c>
      <c r="N392" s="63" t="b">
        <v>0</v>
      </c>
    </row>
    <row r="393" ht="16.5" customHeight="1">
      <c r="A393" s="64"/>
      <c r="B393" s="65" t="s">
        <v>33</v>
      </c>
      <c r="C393" s="53" t="s">
        <v>34</v>
      </c>
      <c r="D393" s="54"/>
      <c r="E393" s="66"/>
      <c r="F393" s="66"/>
      <c r="G393" s="66"/>
      <c r="H393" s="66"/>
      <c r="I393" s="66"/>
      <c r="J393" s="66"/>
      <c r="K393" s="67" t="s">
        <v>35</v>
      </c>
      <c r="L393" s="62">
        <f>(E393*E389)+(F393*F389)+(G393*G389)+(H393*H389)+(I393*I389)+(J393*J389)</f>
        <v>0</v>
      </c>
      <c r="M393" s="57" t="s">
        <v>36</v>
      </c>
      <c r="N393" s="63" t="b">
        <v>0</v>
      </c>
    </row>
    <row r="394" ht="13.5" customHeight="1">
      <c r="A394" s="68"/>
      <c r="B394" s="69" t="str">
        <f>IFS(L394=0,"",B394&lt;&gt;"",B394,TRUE,NOW())</f>
        <v/>
      </c>
      <c r="C394" s="70" t="s">
        <v>37</v>
      </c>
      <c r="D394" s="33"/>
      <c r="E394" s="71"/>
      <c r="F394" s="71"/>
      <c r="G394" s="71"/>
      <c r="H394" s="71"/>
      <c r="I394" s="71"/>
      <c r="J394" s="71"/>
      <c r="K394" s="72" t="s">
        <v>38</v>
      </c>
      <c r="L394" s="73">
        <f>L393-L392</f>
        <v>0</v>
      </c>
      <c r="M394" s="74" t="s">
        <v>39</v>
      </c>
      <c r="N394" s="75" t="b">
        <v>0</v>
      </c>
    </row>
    <row r="395" ht="13.5" customHeight="1">
      <c r="A395" s="46" t="s">
        <v>40</v>
      </c>
      <c r="B395" s="52" t="s">
        <v>110</v>
      </c>
      <c r="C395" s="53" t="s">
        <v>27</v>
      </c>
      <c r="D395" s="54"/>
      <c r="E395" s="55">
        <f t="shared" ref="E395:J395" si="108">E393-E396</f>
        <v>0</v>
      </c>
      <c r="F395" s="55">
        <f t="shared" si="108"/>
        <v>0</v>
      </c>
      <c r="G395" s="55">
        <f t="shared" si="108"/>
        <v>0</v>
      </c>
      <c r="H395" s="55">
        <f t="shared" si="108"/>
        <v>0</v>
      </c>
      <c r="I395" s="55">
        <f t="shared" si="108"/>
        <v>0</v>
      </c>
      <c r="J395" s="55">
        <f t="shared" si="108"/>
        <v>0</v>
      </c>
      <c r="K395" s="56"/>
      <c r="L395" s="30"/>
      <c r="M395" s="57" t="s">
        <v>28</v>
      </c>
      <c r="N395" s="58" t="b">
        <v>0</v>
      </c>
    </row>
    <row r="396" ht="13.5" customHeight="1">
      <c r="A396" s="64"/>
      <c r="B396" s="59"/>
      <c r="C396" s="53" t="s">
        <v>30</v>
      </c>
      <c r="D396" s="54"/>
      <c r="E396" s="60"/>
      <c r="F396" s="60"/>
      <c r="G396" s="60"/>
      <c r="H396" s="60"/>
      <c r="I396" s="60"/>
      <c r="J396" s="60"/>
      <c r="K396" s="61" t="s">
        <v>30</v>
      </c>
      <c r="L396" s="62">
        <f>(E396*E389)+(F396*F389)+(G396*G389)+(H396*H389)+(I396*I389)+(J396*J389)</f>
        <v>0</v>
      </c>
      <c r="M396" s="57" t="s">
        <v>31</v>
      </c>
      <c r="N396" s="63" t="b">
        <v>0</v>
      </c>
    </row>
    <row r="397" ht="13.5" customHeight="1">
      <c r="A397" s="68"/>
      <c r="B397" s="65" t="s">
        <v>42</v>
      </c>
      <c r="C397" s="53" t="s">
        <v>34</v>
      </c>
      <c r="D397" s="54"/>
      <c r="E397" s="66"/>
      <c r="F397" s="66"/>
      <c r="G397" s="66"/>
      <c r="H397" s="66"/>
      <c r="I397" s="66"/>
      <c r="J397" s="66"/>
      <c r="K397" s="67" t="s">
        <v>35</v>
      </c>
      <c r="L397" s="62">
        <f>(E397*E389)+(F397*F389)+(G397*G389)+(H397*H389)+(I397*I389)+(J397*J389)</f>
        <v>0</v>
      </c>
      <c r="M397" s="57" t="s">
        <v>36</v>
      </c>
      <c r="N397" s="63" t="b">
        <v>0</v>
      </c>
    </row>
    <row r="398" ht="15.0" customHeight="1">
      <c r="A398" s="46" t="s">
        <v>43</v>
      </c>
      <c r="B398" s="69" t="str">
        <f>IFS(L398=0,"",B398&lt;&gt;"",B398,TRUE,NOW())</f>
        <v/>
      </c>
      <c r="C398" s="70" t="s">
        <v>37</v>
      </c>
      <c r="D398" s="33"/>
      <c r="E398" s="71"/>
      <c r="F398" s="71"/>
      <c r="G398" s="71"/>
      <c r="H398" s="71"/>
      <c r="I398" s="71"/>
      <c r="J398" s="71"/>
      <c r="K398" s="72" t="s">
        <v>38</v>
      </c>
      <c r="L398" s="73">
        <f>L397-L396</f>
        <v>0</v>
      </c>
      <c r="M398" s="74" t="s">
        <v>39</v>
      </c>
      <c r="N398" s="75" t="b">
        <v>0</v>
      </c>
    </row>
    <row r="399" ht="13.5" customHeight="1">
      <c r="A399" s="64"/>
      <c r="B399" s="52" t="s">
        <v>110</v>
      </c>
      <c r="C399" s="53" t="s">
        <v>27</v>
      </c>
      <c r="D399" s="54"/>
      <c r="E399" s="55">
        <f t="shared" ref="E399:J399" si="109">E397-E400</f>
        <v>0</v>
      </c>
      <c r="F399" s="55">
        <f t="shared" si="109"/>
        <v>0</v>
      </c>
      <c r="G399" s="55">
        <f t="shared" si="109"/>
        <v>0</v>
      </c>
      <c r="H399" s="55">
        <f t="shared" si="109"/>
        <v>0</v>
      </c>
      <c r="I399" s="55">
        <f t="shared" si="109"/>
        <v>0</v>
      </c>
      <c r="J399" s="55">
        <f t="shared" si="109"/>
        <v>0</v>
      </c>
      <c r="K399" s="56"/>
      <c r="L399" s="30"/>
      <c r="M399" s="57" t="s">
        <v>28</v>
      </c>
      <c r="N399" s="58" t="b">
        <v>0</v>
      </c>
    </row>
    <row r="400" ht="13.5" customHeight="1">
      <c r="A400" s="46" t="s">
        <v>45</v>
      </c>
      <c r="B400" s="59"/>
      <c r="C400" s="53" t="s">
        <v>30</v>
      </c>
      <c r="D400" s="54"/>
      <c r="E400" s="60"/>
      <c r="F400" s="60"/>
      <c r="G400" s="60"/>
      <c r="H400" s="60"/>
      <c r="I400" s="60"/>
      <c r="J400" s="60"/>
      <c r="K400" s="61" t="s">
        <v>30</v>
      </c>
      <c r="L400" s="62">
        <f>(E400*E389)+(F400*F389)+(G400*G389)+(H400*H389)+(I400*I389)+(J400*J389)</f>
        <v>0</v>
      </c>
      <c r="M400" s="57" t="s">
        <v>31</v>
      </c>
      <c r="N400" s="63" t="b">
        <v>0</v>
      </c>
    </row>
    <row r="401" ht="13.5" customHeight="1">
      <c r="A401" s="77"/>
      <c r="B401" s="65" t="s">
        <v>47</v>
      </c>
      <c r="C401" s="53" t="s">
        <v>34</v>
      </c>
      <c r="D401" s="54"/>
      <c r="E401" s="66"/>
      <c r="F401" s="66"/>
      <c r="G401" s="66"/>
      <c r="H401" s="66"/>
      <c r="I401" s="66"/>
      <c r="J401" s="66"/>
      <c r="K401" s="67" t="s">
        <v>35</v>
      </c>
      <c r="L401" s="62">
        <f>(E401*E389)+(F401*F389)+(G401*G389)+(H401*H389)+(I401*I389)+(J401*J389)</f>
        <v>0</v>
      </c>
      <c r="M401" s="57" t="s">
        <v>36</v>
      </c>
      <c r="N401" s="63" t="b">
        <v>0</v>
      </c>
    </row>
    <row r="402" ht="13.5" customHeight="1">
      <c r="A402" s="68"/>
      <c r="B402" s="69" t="str">
        <f>IFS(L402=0,"",B402&lt;&gt;"",B402,TRUE,NOW())</f>
        <v/>
      </c>
      <c r="C402" s="70" t="s">
        <v>37</v>
      </c>
      <c r="D402" s="33"/>
      <c r="E402" s="71"/>
      <c r="F402" s="71"/>
      <c r="G402" s="71"/>
      <c r="H402" s="71"/>
      <c r="I402" s="71"/>
      <c r="J402" s="71"/>
      <c r="K402" s="72" t="s">
        <v>38</v>
      </c>
      <c r="L402" s="73">
        <f>L401-L400</f>
        <v>0</v>
      </c>
      <c r="M402" s="74" t="s">
        <v>39</v>
      </c>
      <c r="N402" s="75" t="b">
        <v>0</v>
      </c>
    </row>
    <row r="403" ht="13.5" customHeight="1">
      <c r="A403" s="78" t="s">
        <v>48</v>
      </c>
      <c r="B403" s="52" t="s">
        <v>110</v>
      </c>
      <c r="C403" s="53" t="s">
        <v>27</v>
      </c>
      <c r="D403" s="54"/>
      <c r="E403" s="55">
        <f t="shared" ref="E403:J403" si="110">E401-E404</f>
        <v>0</v>
      </c>
      <c r="F403" s="55">
        <f t="shared" si="110"/>
        <v>0</v>
      </c>
      <c r="G403" s="55">
        <f t="shared" si="110"/>
        <v>0</v>
      </c>
      <c r="H403" s="55">
        <f t="shared" si="110"/>
        <v>0</v>
      </c>
      <c r="I403" s="55">
        <f t="shared" si="110"/>
        <v>0</v>
      </c>
      <c r="J403" s="55">
        <f t="shared" si="110"/>
        <v>0</v>
      </c>
      <c r="K403" s="56"/>
      <c r="L403" s="30"/>
      <c r="M403" s="57" t="s">
        <v>28</v>
      </c>
      <c r="N403" s="58" t="b">
        <v>0</v>
      </c>
    </row>
    <row r="404" ht="13.5" customHeight="1">
      <c r="A404" s="87"/>
      <c r="B404" s="59"/>
      <c r="C404" s="53" t="s">
        <v>30</v>
      </c>
      <c r="D404" s="54"/>
      <c r="E404" s="60"/>
      <c r="F404" s="60"/>
      <c r="G404" s="60"/>
      <c r="H404" s="60"/>
      <c r="I404" s="60"/>
      <c r="J404" s="60"/>
      <c r="K404" s="61" t="s">
        <v>30</v>
      </c>
      <c r="L404" s="62">
        <f>(E404*E389)+(F404*F389)+(G404*G389)+(H404*H389)+(I404*I389)+(J404*J389)</f>
        <v>0</v>
      </c>
      <c r="M404" s="57" t="s">
        <v>31</v>
      </c>
      <c r="N404" s="63" t="b">
        <v>0</v>
      </c>
    </row>
    <row r="405" ht="15.0" customHeight="1">
      <c r="A405" s="68"/>
      <c r="B405" s="65" t="s">
        <v>49</v>
      </c>
      <c r="C405" s="53" t="s">
        <v>34</v>
      </c>
      <c r="D405" s="54"/>
      <c r="E405" s="66"/>
      <c r="F405" s="66"/>
      <c r="G405" s="66"/>
      <c r="H405" s="66"/>
      <c r="I405" s="66"/>
      <c r="J405" s="66"/>
      <c r="K405" s="67" t="s">
        <v>35</v>
      </c>
      <c r="L405" s="62">
        <f>(E405*E389)+(F405*F389)+(G405*G389)+(H405*H389)+(I405*I389)+(J405*J389)</f>
        <v>0</v>
      </c>
      <c r="M405" s="57" t="s">
        <v>36</v>
      </c>
      <c r="N405" s="63" t="b">
        <v>0</v>
      </c>
    </row>
    <row r="406" ht="13.5" customHeight="1">
      <c r="A406" s="80"/>
      <c r="B406" s="69" t="str">
        <f>IFS(L406=0,"",B406&lt;&gt;"",B406,TRUE,NOW())</f>
        <v/>
      </c>
      <c r="C406" s="53" t="s">
        <v>37</v>
      </c>
      <c r="D406" s="54"/>
      <c r="E406" s="81"/>
      <c r="F406" s="81"/>
      <c r="G406" s="81"/>
      <c r="H406" s="82"/>
      <c r="I406" s="81"/>
      <c r="J406" s="81"/>
      <c r="K406" s="72" t="s">
        <v>38</v>
      </c>
      <c r="L406" s="73">
        <f>L405-L404</f>
        <v>0</v>
      </c>
      <c r="M406" s="74" t="s">
        <v>39</v>
      </c>
      <c r="N406" s="75" t="b">
        <v>0</v>
      </c>
    </row>
    <row r="407" ht="13.5" customHeight="1">
      <c r="A407" s="83" t="s">
        <v>111</v>
      </c>
      <c r="B407" s="42" t="s">
        <v>20</v>
      </c>
      <c r="C407" s="24"/>
      <c r="D407" s="33"/>
      <c r="E407" s="43">
        <f t="shared" ref="E407:J407" si="111">E6</f>
        <v>17</v>
      </c>
      <c r="F407" s="43">
        <f t="shared" si="111"/>
        <v>27</v>
      </c>
      <c r="G407" s="43">
        <f t="shared" si="111"/>
        <v>27</v>
      </c>
      <c r="H407" s="43">
        <f t="shared" si="111"/>
        <v>27</v>
      </c>
      <c r="I407" s="43">
        <f t="shared" si="111"/>
        <v>32</v>
      </c>
      <c r="J407" s="44">
        <f t="shared" si="111"/>
        <v>37</v>
      </c>
      <c r="K407" s="42" t="s">
        <v>21</v>
      </c>
      <c r="L407" s="25"/>
      <c r="M407" s="45" t="s">
        <v>22</v>
      </c>
      <c r="N407" s="25"/>
    </row>
    <row r="408" ht="13.5" customHeight="1">
      <c r="A408" s="46" t="s">
        <v>23</v>
      </c>
      <c r="B408" s="47" t="s">
        <v>24</v>
      </c>
      <c r="C408" s="32" t="s">
        <v>25</v>
      </c>
      <c r="D408" s="33"/>
      <c r="E408" s="48"/>
      <c r="F408" s="48"/>
      <c r="G408" s="48"/>
      <c r="H408" s="48"/>
      <c r="I408" s="48"/>
      <c r="J408" s="48"/>
      <c r="K408" s="49"/>
      <c r="L408" s="25"/>
      <c r="M408" s="50"/>
      <c r="N408" s="10"/>
    </row>
    <row r="409" ht="13.5" customHeight="1">
      <c r="A409" s="92"/>
      <c r="B409" s="52" t="s">
        <v>112</v>
      </c>
      <c r="C409" s="53" t="s">
        <v>27</v>
      </c>
      <c r="D409" s="54"/>
      <c r="E409" s="55">
        <f t="shared" ref="E409:J409" si="112">E408-E410</f>
        <v>0</v>
      </c>
      <c r="F409" s="55">
        <f t="shared" si="112"/>
        <v>0</v>
      </c>
      <c r="G409" s="55">
        <f t="shared" si="112"/>
        <v>0</v>
      </c>
      <c r="H409" s="55">
        <f t="shared" si="112"/>
        <v>0</v>
      </c>
      <c r="I409" s="55">
        <f t="shared" si="112"/>
        <v>0</v>
      </c>
      <c r="J409" s="55">
        <f t="shared" si="112"/>
        <v>0</v>
      </c>
      <c r="K409" s="56"/>
      <c r="L409" s="30"/>
      <c r="M409" s="57" t="s">
        <v>28</v>
      </c>
      <c r="N409" s="58" t="b">
        <v>0</v>
      </c>
    </row>
    <row r="410" ht="15.0" customHeight="1">
      <c r="A410" s="46" t="s">
        <v>29</v>
      </c>
      <c r="B410" s="59"/>
      <c r="C410" s="53" t="s">
        <v>30</v>
      </c>
      <c r="D410" s="54"/>
      <c r="E410" s="60"/>
      <c r="F410" s="60"/>
      <c r="G410" s="60"/>
      <c r="H410" s="60"/>
      <c r="I410" s="60"/>
      <c r="J410" s="60"/>
      <c r="K410" s="61" t="s">
        <v>30</v>
      </c>
      <c r="L410" s="62">
        <f>(E410*E407)+(F410*F407)+(G410*G407)+(H410*H407)+(I410*I407)+(J410*J407)</f>
        <v>0</v>
      </c>
      <c r="M410" s="57" t="s">
        <v>31</v>
      </c>
      <c r="N410" s="63" t="b">
        <v>0</v>
      </c>
    </row>
    <row r="411" ht="13.5" customHeight="1">
      <c r="A411" s="64"/>
      <c r="B411" s="65" t="s">
        <v>33</v>
      </c>
      <c r="C411" s="53" t="s">
        <v>34</v>
      </c>
      <c r="D411" s="54"/>
      <c r="E411" s="66"/>
      <c r="F411" s="66"/>
      <c r="G411" s="66"/>
      <c r="H411" s="66"/>
      <c r="I411" s="66"/>
      <c r="J411" s="66"/>
      <c r="K411" s="67" t="s">
        <v>35</v>
      </c>
      <c r="L411" s="62">
        <f>(E411*E407)+(F411*F407)+(G411*G407)+(H411*H407)+(I411*I407)+(J411*J407)</f>
        <v>0</v>
      </c>
      <c r="M411" s="57" t="s">
        <v>36</v>
      </c>
      <c r="N411" s="63" t="b">
        <v>0</v>
      </c>
    </row>
    <row r="412" ht="13.5" customHeight="1">
      <c r="A412" s="68"/>
      <c r="B412" s="69" t="str">
        <f>IFS(L412=0,"",B412&lt;&gt;"",B412,TRUE,NOW())</f>
        <v/>
      </c>
      <c r="C412" s="70" t="s">
        <v>37</v>
      </c>
      <c r="D412" s="33"/>
      <c r="E412" s="71"/>
      <c r="F412" s="71"/>
      <c r="G412" s="71"/>
      <c r="H412" s="71"/>
      <c r="I412" s="71"/>
      <c r="J412" s="71"/>
      <c r="K412" s="72" t="s">
        <v>38</v>
      </c>
      <c r="L412" s="73">
        <f>L411-L410</f>
        <v>0</v>
      </c>
      <c r="M412" s="74" t="s">
        <v>39</v>
      </c>
      <c r="N412" s="75" t="b">
        <v>0</v>
      </c>
    </row>
    <row r="413" ht="13.5" customHeight="1">
      <c r="A413" s="46" t="s">
        <v>40</v>
      </c>
      <c r="B413" s="52" t="s">
        <v>112</v>
      </c>
      <c r="C413" s="53" t="s">
        <v>27</v>
      </c>
      <c r="D413" s="54"/>
      <c r="E413" s="55">
        <f t="shared" ref="E413:J413" si="113">E411-E414</f>
        <v>0</v>
      </c>
      <c r="F413" s="55">
        <f t="shared" si="113"/>
        <v>0</v>
      </c>
      <c r="G413" s="55">
        <f t="shared" si="113"/>
        <v>0</v>
      </c>
      <c r="H413" s="55">
        <f t="shared" si="113"/>
        <v>0</v>
      </c>
      <c r="I413" s="55">
        <f t="shared" si="113"/>
        <v>0</v>
      </c>
      <c r="J413" s="55">
        <f t="shared" si="113"/>
        <v>0</v>
      </c>
      <c r="K413" s="56"/>
      <c r="L413" s="30"/>
      <c r="M413" s="57" t="s">
        <v>28</v>
      </c>
      <c r="N413" s="58" t="b">
        <v>0</v>
      </c>
    </row>
    <row r="414" ht="13.5" customHeight="1">
      <c r="A414" s="64"/>
      <c r="B414" s="59"/>
      <c r="C414" s="53" t="s">
        <v>30</v>
      </c>
      <c r="D414" s="54"/>
      <c r="E414" s="60"/>
      <c r="F414" s="60"/>
      <c r="G414" s="60"/>
      <c r="H414" s="60"/>
      <c r="I414" s="60"/>
      <c r="J414" s="60"/>
      <c r="K414" s="61" t="s">
        <v>30</v>
      </c>
      <c r="L414" s="62">
        <f>(E414*E407)+(F414*F407)+(G414*G407)+(H414*H407)+(I414*I407)+(J414*J407)</f>
        <v>0</v>
      </c>
      <c r="M414" s="57" t="s">
        <v>31</v>
      </c>
      <c r="N414" s="63" t="b">
        <v>0</v>
      </c>
    </row>
    <row r="415" ht="18.75" customHeight="1">
      <c r="A415" s="68"/>
      <c r="B415" s="65" t="s">
        <v>42</v>
      </c>
      <c r="C415" s="53" t="s">
        <v>34</v>
      </c>
      <c r="D415" s="54"/>
      <c r="E415" s="66"/>
      <c r="F415" s="66"/>
      <c r="G415" s="66"/>
      <c r="H415" s="66"/>
      <c r="I415" s="66"/>
      <c r="J415" s="66"/>
      <c r="K415" s="67" t="s">
        <v>35</v>
      </c>
      <c r="L415" s="62">
        <f>(E415*E407)+(F415*F407)+(G415*G407)+(H415*H407)+(I415*I407)+(J415*J407)</f>
        <v>0</v>
      </c>
      <c r="M415" s="57" t="s">
        <v>36</v>
      </c>
      <c r="N415" s="63" t="b">
        <v>0</v>
      </c>
    </row>
    <row r="416" ht="13.5" customHeight="1">
      <c r="A416" s="46" t="s">
        <v>43</v>
      </c>
      <c r="B416" s="69" t="str">
        <f>IFS(L416=0,"",B416&lt;&gt;"",B416,TRUE,NOW())</f>
        <v/>
      </c>
      <c r="C416" s="70" t="s">
        <v>37</v>
      </c>
      <c r="D416" s="33"/>
      <c r="E416" s="71"/>
      <c r="F416" s="71"/>
      <c r="G416" s="71"/>
      <c r="H416" s="71"/>
      <c r="I416" s="71"/>
      <c r="J416" s="71"/>
      <c r="K416" s="72" t="s">
        <v>38</v>
      </c>
      <c r="L416" s="73">
        <f>L415-L414</f>
        <v>0</v>
      </c>
      <c r="M416" s="74" t="s">
        <v>39</v>
      </c>
      <c r="N416" s="75" t="b">
        <v>0</v>
      </c>
    </row>
    <row r="417" ht="13.5" customHeight="1">
      <c r="A417" s="64"/>
      <c r="B417" s="52" t="s">
        <v>112</v>
      </c>
      <c r="C417" s="53" t="s">
        <v>27</v>
      </c>
      <c r="D417" s="54"/>
      <c r="E417" s="55">
        <f t="shared" ref="E417:J417" si="114">E415-E418</f>
        <v>0</v>
      </c>
      <c r="F417" s="55">
        <f t="shared" si="114"/>
        <v>0</v>
      </c>
      <c r="G417" s="55">
        <f t="shared" si="114"/>
        <v>0</v>
      </c>
      <c r="H417" s="55">
        <f t="shared" si="114"/>
        <v>0</v>
      </c>
      <c r="I417" s="55">
        <f t="shared" si="114"/>
        <v>0</v>
      </c>
      <c r="J417" s="55">
        <f t="shared" si="114"/>
        <v>0</v>
      </c>
      <c r="K417" s="56"/>
      <c r="L417" s="30"/>
      <c r="M417" s="57" t="s">
        <v>28</v>
      </c>
      <c r="N417" s="58" t="b">
        <v>0</v>
      </c>
    </row>
    <row r="418" ht="13.5" customHeight="1">
      <c r="A418" s="46" t="s">
        <v>45</v>
      </c>
      <c r="B418" s="59"/>
      <c r="C418" s="53" t="s">
        <v>30</v>
      </c>
      <c r="D418" s="54"/>
      <c r="E418" s="60"/>
      <c r="F418" s="60"/>
      <c r="G418" s="60"/>
      <c r="H418" s="60"/>
      <c r="I418" s="60"/>
      <c r="J418" s="60"/>
      <c r="K418" s="61" t="s">
        <v>30</v>
      </c>
      <c r="L418" s="62">
        <f>(E418*E407)+(F418*F407)+(G418*G407)+(H418*H407)+(I418*I407)+(J418*J407)</f>
        <v>0</v>
      </c>
      <c r="M418" s="57" t="s">
        <v>31</v>
      </c>
      <c r="N418" s="63" t="b">
        <v>0</v>
      </c>
    </row>
    <row r="419" ht="13.5" customHeight="1">
      <c r="A419" s="77"/>
      <c r="B419" s="65" t="s">
        <v>47</v>
      </c>
      <c r="C419" s="53" t="s">
        <v>34</v>
      </c>
      <c r="D419" s="54"/>
      <c r="E419" s="66"/>
      <c r="F419" s="66"/>
      <c r="G419" s="66"/>
      <c r="H419" s="66"/>
      <c r="I419" s="66"/>
      <c r="J419" s="66"/>
      <c r="K419" s="67" t="s">
        <v>35</v>
      </c>
      <c r="L419" s="62">
        <f>(E419*E407)+(F419*F407)+(G419*G407)+(H419*H407)+(I419*I407)+(J419*J407)</f>
        <v>0</v>
      </c>
      <c r="M419" s="57" t="s">
        <v>36</v>
      </c>
      <c r="N419" s="63" t="b">
        <v>0</v>
      </c>
    </row>
    <row r="420" ht="18.75" customHeight="1">
      <c r="A420" s="68"/>
      <c r="B420" s="69" t="str">
        <f>IFS(L420=0,"",B420&lt;&gt;"",B420,TRUE,NOW())</f>
        <v/>
      </c>
      <c r="C420" s="70" t="s">
        <v>37</v>
      </c>
      <c r="D420" s="33"/>
      <c r="E420" s="71"/>
      <c r="F420" s="71"/>
      <c r="G420" s="71"/>
      <c r="H420" s="71"/>
      <c r="I420" s="71"/>
      <c r="J420" s="71"/>
      <c r="K420" s="72" t="s">
        <v>38</v>
      </c>
      <c r="L420" s="73">
        <f>L419-L418</f>
        <v>0</v>
      </c>
      <c r="M420" s="74" t="s">
        <v>39</v>
      </c>
      <c r="N420" s="75" t="b">
        <v>0</v>
      </c>
    </row>
    <row r="421" ht="13.5" customHeight="1">
      <c r="A421" s="78" t="s">
        <v>48</v>
      </c>
      <c r="B421" s="52" t="s">
        <v>112</v>
      </c>
      <c r="C421" s="53" t="s">
        <v>27</v>
      </c>
      <c r="D421" s="54"/>
      <c r="E421" s="55">
        <f t="shared" ref="E421:J421" si="115">E419-E422</f>
        <v>0</v>
      </c>
      <c r="F421" s="55">
        <f t="shared" si="115"/>
        <v>0</v>
      </c>
      <c r="G421" s="55">
        <f t="shared" si="115"/>
        <v>0</v>
      </c>
      <c r="H421" s="55">
        <f t="shared" si="115"/>
        <v>0</v>
      </c>
      <c r="I421" s="55">
        <f t="shared" si="115"/>
        <v>0</v>
      </c>
      <c r="J421" s="55">
        <f t="shared" si="115"/>
        <v>0</v>
      </c>
      <c r="K421" s="56"/>
      <c r="L421" s="30"/>
      <c r="M421" s="57" t="s">
        <v>28</v>
      </c>
      <c r="N421" s="58" t="b">
        <v>0</v>
      </c>
    </row>
    <row r="422" ht="13.5" customHeight="1">
      <c r="A422" s="87"/>
      <c r="B422" s="59"/>
      <c r="C422" s="53" t="s">
        <v>30</v>
      </c>
      <c r="D422" s="54"/>
      <c r="E422" s="60"/>
      <c r="F422" s="60"/>
      <c r="G422" s="60"/>
      <c r="H422" s="60"/>
      <c r="I422" s="60"/>
      <c r="J422" s="60"/>
      <c r="K422" s="61" t="s">
        <v>30</v>
      </c>
      <c r="L422" s="62">
        <f>(E422*E407)+(F422*F407)+(G422*G407)+(H422*H407)+(I422*I407)+(J422*J407)</f>
        <v>0</v>
      </c>
      <c r="M422" s="57" t="s">
        <v>31</v>
      </c>
      <c r="N422" s="63" t="b">
        <v>0</v>
      </c>
    </row>
    <row r="423" ht="13.5" customHeight="1">
      <c r="A423" s="68"/>
      <c r="B423" s="65" t="s">
        <v>49</v>
      </c>
      <c r="C423" s="53" t="s">
        <v>34</v>
      </c>
      <c r="D423" s="54"/>
      <c r="E423" s="66"/>
      <c r="F423" s="66"/>
      <c r="G423" s="66"/>
      <c r="H423" s="66"/>
      <c r="I423" s="66"/>
      <c r="J423" s="66"/>
      <c r="K423" s="67" t="s">
        <v>35</v>
      </c>
      <c r="L423" s="62">
        <f>(E423*E407)+(F423*F407)+(G423*G407)+(H423*H407)+(I423*I407)+(J423*J407)</f>
        <v>0</v>
      </c>
      <c r="M423" s="57" t="s">
        <v>36</v>
      </c>
      <c r="N423" s="63" t="b">
        <v>0</v>
      </c>
    </row>
    <row r="424" ht="13.5" customHeight="1">
      <c r="A424" s="80"/>
      <c r="B424" s="69" t="str">
        <f>IFS(L424=0,"",B424&lt;&gt;"",B424,TRUE,NOW())</f>
        <v/>
      </c>
      <c r="C424" s="53" t="s">
        <v>37</v>
      </c>
      <c r="D424" s="54"/>
      <c r="E424" s="81"/>
      <c r="F424" s="81"/>
      <c r="G424" s="81"/>
      <c r="H424" s="82"/>
      <c r="I424" s="81"/>
      <c r="J424" s="81"/>
      <c r="K424" s="72" t="s">
        <v>38</v>
      </c>
      <c r="L424" s="73">
        <f>L423-L422</f>
        <v>0</v>
      </c>
      <c r="M424" s="74" t="s">
        <v>39</v>
      </c>
      <c r="N424" s="75" t="b">
        <v>0</v>
      </c>
    </row>
    <row r="425" ht="13.5" customHeight="1">
      <c r="A425" s="83" t="s">
        <v>113</v>
      </c>
      <c r="B425" s="42" t="s">
        <v>20</v>
      </c>
      <c r="C425" s="24"/>
      <c r="D425" s="33"/>
      <c r="E425" s="43">
        <f t="shared" ref="E425:J425" si="116">E6</f>
        <v>17</v>
      </c>
      <c r="F425" s="43">
        <f t="shared" si="116"/>
        <v>27</v>
      </c>
      <c r="G425" s="43">
        <f t="shared" si="116"/>
        <v>27</v>
      </c>
      <c r="H425" s="43">
        <f t="shared" si="116"/>
        <v>27</v>
      </c>
      <c r="I425" s="43">
        <f t="shared" si="116"/>
        <v>32</v>
      </c>
      <c r="J425" s="44">
        <f t="shared" si="116"/>
        <v>37</v>
      </c>
      <c r="K425" s="42" t="s">
        <v>21</v>
      </c>
      <c r="L425" s="25"/>
      <c r="M425" s="45" t="s">
        <v>22</v>
      </c>
      <c r="N425" s="25"/>
    </row>
    <row r="426" ht="13.5" customHeight="1">
      <c r="A426" s="46" t="s">
        <v>23</v>
      </c>
      <c r="B426" s="47" t="s">
        <v>24</v>
      </c>
      <c r="C426" s="32" t="s">
        <v>25</v>
      </c>
      <c r="D426" s="33"/>
      <c r="E426" s="48"/>
      <c r="F426" s="48"/>
      <c r="G426" s="48"/>
      <c r="H426" s="48"/>
      <c r="I426" s="48"/>
      <c r="J426" s="48"/>
      <c r="K426" s="49"/>
      <c r="L426" s="25"/>
      <c r="M426" s="50"/>
      <c r="N426" s="10"/>
    </row>
    <row r="427" ht="15.0" customHeight="1">
      <c r="A427" s="92"/>
      <c r="B427" s="52" t="s">
        <v>114</v>
      </c>
      <c r="C427" s="53" t="s">
        <v>27</v>
      </c>
      <c r="D427" s="54"/>
      <c r="E427" s="55">
        <f t="shared" ref="E427:J427" si="117">E426-E428</f>
        <v>0</v>
      </c>
      <c r="F427" s="55">
        <f t="shared" si="117"/>
        <v>0</v>
      </c>
      <c r="G427" s="55">
        <f t="shared" si="117"/>
        <v>0</v>
      </c>
      <c r="H427" s="55">
        <f t="shared" si="117"/>
        <v>0</v>
      </c>
      <c r="I427" s="55">
        <f t="shared" si="117"/>
        <v>0</v>
      </c>
      <c r="J427" s="55">
        <f t="shared" si="117"/>
        <v>0</v>
      </c>
      <c r="K427" s="56"/>
      <c r="L427" s="30"/>
      <c r="M427" s="57" t="s">
        <v>28</v>
      </c>
      <c r="N427" s="58" t="b">
        <v>0</v>
      </c>
    </row>
    <row r="428" ht="13.5" customHeight="1">
      <c r="A428" s="46" t="s">
        <v>29</v>
      </c>
      <c r="B428" s="59"/>
      <c r="C428" s="53" t="s">
        <v>30</v>
      </c>
      <c r="D428" s="54"/>
      <c r="E428" s="60"/>
      <c r="F428" s="60"/>
      <c r="G428" s="60"/>
      <c r="H428" s="60"/>
      <c r="I428" s="60"/>
      <c r="J428" s="60"/>
      <c r="K428" s="61" t="s">
        <v>30</v>
      </c>
      <c r="L428" s="62">
        <f>(E428*E425)+(F428*F425)+(G428*G425)+(H428*H425)+(I428*I425)+(J428*J425)</f>
        <v>0</v>
      </c>
      <c r="M428" s="57" t="s">
        <v>31</v>
      </c>
      <c r="N428" s="63" t="b">
        <v>0</v>
      </c>
    </row>
    <row r="429" ht="13.5" customHeight="1">
      <c r="A429" s="64"/>
      <c r="B429" s="65" t="s">
        <v>33</v>
      </c>
      <c r="C429" s="53" t="s">
        <v>34</v>
      </c>
      <c r="D429" s="54"/>
      <c r="E429" s="66"/>
      <c r="F429" s="66"/>
      <c r="G429" s="66"/>
      <c r="H429" s="66"/>
      <c r="I429" s="66"/>
      <c r="J429" s="66"/>
      <c r="K429" s="67" t="s">
        <v>35</v>
      </c>
      <c r="L429" s="62">
        <f>(E429*E425)+(F429*F425)+(G429*G425)+(H429*H425)+(I429*I425)+(J429*J425)</f>
        <v>0</v>
      </c>
      <c r="M429" s="57" t="s">
        <v>36</v>
      </c>
      <c r="N429" s="63" t="b">
        <v>0</v>
      </c>
    </row>
    <row r="430" ht="13.5" customHeight="1">
      <c r="A430" s="68"/>
      <c r="B430" s="69" t="str">
        <f>IFS(L430=0,"",B430&lt;&gt;"",B430,TRUE,NOW())</f>
        <v/>
      </c>
      <c r="C430" s="70" t="s">
        <v>37</v>
      </c>
      <c r="D430" s="33"/>
      <c r="E430" s="71"/>
      <c r="F430" s="71"/>
      <c r="G430" s="71"/>
      <c r="H430" s="71"/>
      <c r="I430" s="71"/>
      <c r="J430" s="71"/>
      <c r="K430" s="72" t="s">
        <v>38</v>
      </c>
      <c r="L430" s="73">
        <f>L429-L428</f>
        <v>0</v>
      </c>
      <c r="M430" s="74" t="s">
        <v>39</v>
      </c>
      <c r="N430" s="75" t="b">
        <v>0</v>
      </c>
    </row>
    <row r="431" ht="13.5" customHeight="1">
      <c r="A431" s="46" t="s">
        <v>40</v>
      </c>
      <c r="B431" s="52" t="s">
        <v>114</v>
      </c>
      <c r="C431" s="53" t="s">
        <v>27</v>
      </c>
      <c r="D431" s="54"/>
      <c r="E431" s="55">
        <f t="shared" ref="E431:J431" si="118">E429-E432</f>
        <v>0</v>
      </c>
      <c r="F431" s="55">
        <f t="shared" si="118"/>
        <v>0</v>
      </c>
      <c r="G431" s="55">
        <f t="shared" si="118"/>
        <v>0</v>
      </c>
      <c r="H431" s="55">
        <f t="shared" si="118"/>
        <v>0</v>
      </c>
      <c r="I431" s="55">
        <f t="shared" si="118"/>
        <v>0</v>
      </c>
      <c r="J431" s="55">
        <f t="shared" si="118"/>
        <v>0</v>
      </c>
      <c r="K431" s="56"/>
      <c r="L431" s="30"/>
      <c r="M431" s="57" t="s">
        <v>28</v>
      </c>
      <c r="N431" s="58" t="b">
        <v>0</v>
      </c>
    </row>
    <row r="432" ht="15.0" customHeight="1">
      <c r="A432" s="64"/>
      <c r="B432" s="59"/>
      <c r="C432" s="53" t="s">
        <v>30</v>
      </c>
      <c r="D432" s="54"/>
      <c r="E432" s="60"/>
      <c r="F432" s="60"/>
      <c r="G432" s="60"/>
      <c r="H432" s="60"/>
      <c r="I432" s="60"/>
      <c r="J432" s="60"/>
      <c r="K432" s="61" t="s">
        <v>30</v>
      </c>
      <c r="L432" s="62">
        <f>(E432*E425)+(F432*F425)+(G432*G425)+(H432*H425)+(I432*I425)+(J432*J425)</f>
        <v>0</v>
      </c>
      <c r="M432" s="57" t="s">
        <v>31</v>
      </c>
      <c r="N432" s="63" t="b">
        <v>0</v>
      </c>
    </row>
    <row r="433" ht="13.5" customHeight="1">
      <c r="A433" s="68"/>
      <c r="B433" s="65" t="s">
        <v>42</v>
      </c>
      <c r="C433" s="53" t="s">
        <v>34</v>
      </c>
      <c r="D433" s="54"/>
      <c r="E433" s="66"/>
      <c r="F433" s="66"/>
      <c r="G433" s="66"/>
      <c r="H433" s="66"/>
      <c r="I433" s="66"/>
      <c r="J433" s="66"/>
      <c r="K433" s="67" t="s">
        <v>35</v>
      </c>
      <c r="L433" s="62">
        <f>(E433*E425)+(F433*F425)+(G433*G425)+(H433*H425)+(I433*I425)+(J433*J425)</f>
        <v>0</v>
      </c>
      <c r="M433" s="57" t="s">
        <v>36</v>
      </c>
      <c r="N433" s="63" t="b">
        <v>0</v>
      </c>
    </row>
    <row r="434" ht="13.5" customHeight="1">
      <c r="A434" s="46" t="s">
        <v>43</v>
      </c>
      <c r="B434" s="69" t="str">
        <f>IFS(L434=0,"",B434&lt;&gt;"",B434,TRUE,NOW())</f>
        <v/>
      </c>
      <c r="C434" s="70" t="s">
        <v>37</v>
      </c>
      <c r="D434" s="33"/>
      <c r="E434" s="71"/>
      <c r="F434" s="71"/>
      <c r="G434" s="71"/>
      <c r="H434" s="71"/>
      <c r="I434" s="71"/>
      <c r="J434" s="71"/>
      <c r="K434" s="72" t="s">
        <v>38</v>
      </c>
      <c r="L434" s="73">
        <f>L433-L432</f>
        <v>0</v>
      </c>
      <c r="M434" s="74" t="s">
        <v>39</v>
      </c>
      <c r="N434" s="75" t="b">
        <v>0</v>
      </c>
    </row>
    <row r="435" ht="13.5" customHeight="1">
      <c r="A435" s="64"/>
      <c r="B435" s="52" t="s">
        <v>114</v>
      </c>
      <c r="C435" s="53" t="s">
        <v>27</v>
      </c>
      <c r="D435" s="54"/>
      <c r="E435" s="55">
        <f t="shared" ref="E435:J435" si="119">E433-E436</f>
        <v>0</v>
      </c>
      <c r="F435" s="55">
        <f t="shared" si="119"/>
        <v>0</v>
      </c>
      <c r="G435" s="55">
        <f t="shared" si="119"/>
        <v>0</v>
      </c>
      <c r="H435" s="55">
        <f t="shared" si="119"/>
        <v>0</v>
      </c>
      <c r="I435" s="55">
        <f t="shared" si="119"/>
        <v>0</v>
      </c>
      <c r="J435" s="55">
        <f t="shared" si="119"/>
        <v>0</v>
      </c>
      <c r="K435" s="56"/>
      <c r="L435" s="30"/>
      <c r="M435" s="57" t="s">
        <v>28</v>
      </c>
      <c r="N435" s="58" t="b">
        <v>0</v>
      </c>
    </row>
    <row r="436" ht="13.5" customHeight="1">
      <c r="A436" s="46" t="s">
        <v>45</v>
      </c>
      <c r="B436" s="59"/>
      <c r="C436" s="53" t="s">
        <v>30</v>
      </c>
      <c r="D436" s="54"/>
      <c r="E436" s="60"/>
      <c r="F436" s="60"/>
      <c r="G436" s="60"/>
      <c r="H436" s="60"/>
      <c r="I436" s="60"/>
      <c r="J436" s="60"/>
      <c r="K436" s="61" t="s">
        <v>30</v>
      </c>
      <c r="L436" s="62">
        <f>(E436*E425)+(F436*F425)+(G436*G425)+(H436*H425)+(I436*I425)+(J436*J425)</f>
        <v>0</v>
      </c>
      <c r="M436" s="57" t="s">
        <v>31</v>
      </c>
      <c r="N436" s="63" t="b">
        <v>0</v>
      </c>
    </row>
    <row r="437" ht="15.0" customHeight="1">
      <c r="A437" s="77"/>
      <c r="B437" s="65" t="s">
        <v>47</v>
      </c>
      <c r="C437" s="53" t="s">
        <v>34</v>
      </c>
      <c r="D437" s="54"/>
      <c r="E437" s="66"/>
      <c r="F437" s="66"/>
      <c r="G437" s="66"/>
      <c r="H437" s="66"/>
      <c r="I437" s="66"/>
      <c r="J437" s="66"/>
      <c r="K437" s="67" t="s">
        <v>35</v>
      </c>
      <c r="L437" s="62">
        <f>(E437*E425)+(F437*F425)+(G437*G425)+(H437*H425)+(I437*I425)+(J437*J425)</f>
        <v>0</v>
      </c>
      <c r="M437" s="57" t="s">
        <v>36</v>
      </c>
      <c r="N437" s="63" t="b">
        <v>0</v>
      </c>
    </row>
    <row r="438" ht="13.5" customHeight="1">
      <c r="A438" s="68"/>
      <c r="B438" s="69" t="str">
        <f>IFS(L438=0,"",B438&lt;&gt;"",B438,TRUE,NOW())</f>
        <v/>
      </c>
      <c r="C438" s="70" t="s">
        <v>37</v>
      </c>
      <c r="D438" s="33"/>
      <c r="E438" s="71"/>
      <c r="F438" s="71"/>
      <c r="G438" s="71"/>
      <c r="H438" s="71"/>
      <c r="I438" s="71"/>
      <c r="J438" s="71"/>
      <c r="K438" s="72" t="s">
        <v>38</v>
      </c>
      <c r="L438" s="73">
        <f>L437-L436</f>
        <v>0</v>
      </c>
      <c r="M438" s="74" t="s">
        <v>39</v>
      </c>
      <c r="N438" s="75" t="b">
        <v>0</v>
      </c>
    </row>
    <row r="439" ht="13.5" customHeight="1">
      <c r="A439" s="78" t="s">
        <v>48</v>
      </c>
      <c r="B439" s="52" t="s">
        <v>114</v>
      </c>
      <c r="C439" s="53" t="s">
        <v>27</v>
      </c>
      <c r="D439" s="54"/>
      <c r="E439" s="55">
        <f t="shared" ref="E439:J439" si="120">E437-E440</f>
        <v>0</v>
      </c>
      <c r="F439" s="55">
        <f t="shared" si="120"/>
        <v>0</v>
      </c>
      <c r="G439" s="55">
        <f t="shared" si="120"/>
        <v>0</v>
      </c>
      <c r="H439" s="55">
        <f t="shared" si="120"/>
        <v>0</v>
      </c>
      <c r="I439" s="55">
        <f t="shared" si="120"/>
        <v>0</v>
      </c>
      <c r="J439" s="55">
        <f t="shared" si="120"/>
        <v>0</v>
      </c>
      <c r="K439" s="56"/>
      <c r="L439" s="30"/>
      <c r="M439" s="57" t="s">
        <v>28</v>
      </c>
      <c r="N439" s="58" t="b">
        <v>0</v>
      </c>
    </row>
    <row r="440" ht="13.5" customHeight="1">
      <c r="A440" s="87"/>
      <c r="B440" s="59"/>
      <c r="C440" s="53" t="s">
        <v>30</v>
      </c>
      <c r="D440" s="54"/>
      <c r="E440" s="60"/>
      <c r="F440" s="60"/>
      <c r="G440" s="60"/>
      <c r="H440" s="60"/>
      <c r="I440" s="60"/>
      <c r="J440" s="60"/>
      <c r="K440" s="61" t="s">
        <v>30</v>
      </c>
      <c r="L440" s="62">
        <f>(E440*E425)+(F440*F425)+(G440*G425)+(H440*H425)+(I440*I425)+(J440*J425)</f>
        <v>0</v>
      </c>
      <c r="M440" s="57" t="s">
        <v>31</v>
      </c>
      <c r="N440" s="63" t="b">
        <v>0</v>
      </c>
    </row>
    <row r="441" ht="13.5" customHeight="1">
      <c r="A441" s="68"/>
      <c r="B441" s="65" t="s">
        <v>49</v>
      </c>
      <c r="C441" s="53" t="s">
        <v>34</v>
      </c>
      <c r="D441" s="54"/>
      <c r="E441" s="66"/>
      <c r="F441" s="66"/>
      <c r="G441" s="66"/>
      <c r="H441" s="66"/>
      <c r="I441" s="66"/>
      <c r="J441" s="66"/>
      <c r="K441" s="67" t="s">
        <v>35</v>
      </c>
      <c r="L441" s="62">
        <f>(E441*E425)+(F441*F425)+(G441*G425)+(H441*H425)+(I441*I425)+(J441*J425)</f>
        <v>0</v>
      </c>
      <c r="M441" s="57" t="s">
        <v>36</v>
      </c>
      <c r="N441" s="63" t="b">
        <v>0</v>
      </c>
    </row>
    <row r="442" ht="15.0" customHeight="1">
      <c r="A442" s="80"/>
      <c r="B442" s="69" t="str">
        <f>IFS(L442=0,"",B442&lt;&gt;"",B442,TRUE,NOW())</f>
        <v/>
      </c>
      <c r="C442" s="86" t="s">
        <v>37</v>
      </c>
      <c r="D442" s="59"/>
      <c r="E442" s="81"/>
      <c r="F442" s="81"/>
      <c r="G442" s="81"/>
      <c r="H442" s="82"/>
      <c r="I442" s="81"/>
      <c r="J442" s="81"/>
      <c r="K442" s="72" t="s">
        <v>38</v>
      </c>
      <c r="L442" s="73">
        <f>L441-L440</f>
        <v>0</v>
      </c>
      <c r="M442" s="74" t="s">
        <v>39</v>
      </c>
      <c r="N442" s="75" t="b">
        <v>0</v>
      </c>
    </row>
    <row r="443" ht="13.5" customHeight="1">
      <c r="A443" s="83" t="s">
        <v>115</v>
      </c>
      <c r="B443" s="42" t="s">
        <v>20</v>
      </c>
      <c r="C443" s="24"/>
      <c r="D443" s="33"/>
      <c r="E443" s="43">
        <f t="shared" ref="E443:J443" si="121">E6</f>
        <v>17</v>
      </c>
      <c r="F443" s="43">
        <f t="shared" si="121"/>
        <v>27</v>
      </c>
      <c r="G443" s="43">
        <f t="shared" si="121"/>
        <v>27</v>
      </c>
      <c r="H443" s="43">
        <f t="shared" si="121"/>
        <v>27</v>
      </c>
      <c r="I443" s="43">
        <f t="shared" si="121"/>
        <v>32</v>
      </c>
      <c r="J443" s="44">
        <f t="shared" si="121"/>
        <v>37</v>
      </c>
      <c r="K443" s="42" t="s">
        <v>21</v>
      </c>
      <c r="L443" s="25"/>
      <c r="M443" s="45" t="s">
        <v>22</v>
      </c>
      <c r="N443" s="25"/>
    </row>
    <row r="444" ht="13.5" customHeight="1">
      <c r="A444" s="46" t="s">
        <v>23</v>
      </c>
      <c r="B444" s="47" t="s">
        <v>24</v>
      </c>
      <c r="C444" s="32" t="s">
        <v>25</v>
      </c>
      <c r="D444" s="33"/>
      <c r="E444" s="48"/>
      <c r="F444" s="48"/>
      <c r="G444" s="48"/>
      <c r="H444" s="48"/>
      <c r="I444" s="48"/>
      <c r="J444" s="48"/>
      <c r="K444" s="49"/>
      <c r="L444" s="25"/>
      <c r="M444" s="50"/>
      <c r="N444" s="10"/>
    </row>
    <row r="445" ht="13.5" customHeight="1">
      <c r="A445" s="92"/>
      <c r="B445" s="52" t="s">
        <v>116</v>
      </c>
      <c r="C445" s="53" t="s">
        <v>27</v>
      </c>
      <c r="D445" s="54"/>
      <c r="E445" s="55">
        <f t="shared" ref="E445:J445" si="122">E444-E446</f>
        <v>0</v>
      </c>
      <c r="F445" s="55">
        <f t="shared" si="122"/>
        <v>0</v>
      </c>
      <c r="G445" s="55">
        <f t="shared" si="122"/>
        <v>0</v>
      </c>
      <c r="H445" s="55">
        <f t="shared" si="122"/>
        <v>0</v>
      </c>
      <c r="I445" s="55">
        <f t="shared" si="122"/>
        <v>0</v>
      </c>
      <c r="J445" s="55">
        <f t="shared" si="122"/>
        <v>0</v>
      </c>
      <c r="K445" s="56"/>
      <c r="L445" s="30"/>
      <c r="M445" s="57" t="s">
        <v>28</v>
      </c>
      <c r="N445" s="58" t="b">
        <v>0</v>
      </c>
    </row>
    <row r="446" ht="13.5" customHeight="1">
      <c r="A446" s="46" t="s">
        <v>29</v>
      </c>
      <c r="B446" s="59"/>
      <c r="C446" s="53" t="s">
        <v>30</v>
      </c>
      <c r="D446" s="54"/>
      <c r="E446" s="60"/>
      <c r="F446" s="60"/>
      <c r="G446" s="60"/>
      <c r="H446" s="60"/>
      <c r="I446" s="60"/>
      <c r="J446" s="60"/>
      <c r="K446" s="61" t="s">
        <v>30</v>
      </c>
      <c r="L446" s="62">
        <f>(E446*E443)+(F446*F443)+(G446*G443)+(H446*H443)+(I446*I443)+(J446*J443)</f>
        <v>0</v>
      </c>
      <c r="M446" s="57" t="s">
        <v>31</v>
      </c>
      <c r="N446" s="63" t="b">
        <v>0</v>
      </c>
    </row>
    <row r="447" ht="13.5" customHeight="1">
      <c r="A447" s="64"/>
      <c r="B447" s="65" t="s">
        <v>33</v>
      </c>
      <c r="C447" s="53" t="s">
        <v>34</v>
      </c>
      <c r="D447" s="54"/>
      <c r="E447" s="66"/>
      <c r="F447" s="66"/>
      <c r="G447" s="66"/>
      <c r="H447" s="66"/>
      <c r="I447" s="66"/>
      <c r="J447" s="66"/>
      <c r="K447" s="67" t="s">
        <v>35</v>
      </c>
      <c r="L447" s="62">
        <f>(E447*E443)+(F447*F443)+(G447*G443)+(H447*H443)+(I447*I443)+(J447*J443)</f>
        <v>0</v>
      </c>
      <c r="M447" s="57" t="s">
        <v>36</v>
      </c>
      <c r="N447" s="63" t="b">
        <v>0</v>
      </c>
    </row>
    <row r="448" ht="13.5" customHeight="1">
      <c r="A448" s="68"/>
      <c r="B448" s="69" t="str">
        <f>IFS(L448=0,"",B448&lt;&gt;"",B448,TRUE,NOW())</f>
        <v/>
      </c>
      <c r="C448" s="70" t="s">
        <v>37</v>
      </c>
      <c r="D448" s="33"/>
      <c r="E448" s="71"/>
      <c r="F448" s="71"/>
      <c r="G448" s="71"/>
      <c r="H448" s="71"/>
      <c r="I448" s="71"/>
      <c r="J448" s="71"/>
      <c r="K448" s="72" t="s">
        <v>38</v>
      </c>
      <c r="L448" s="73">
        <f>L447-L446</f>
        <v>0</v>
      </c>
      <c r="M448" s="74" t="s">
        <v>39</v>
      </c>
      <c r="N448" s="75" t="b">
        <v>0</v>
      </c>
    </row>
    <row r="449" ht="17.25" customHeight="1">
      <c r="A449" s="46" t="s">
        <v>40</v>
      </c>
      <c r="B449" s="52" t="s">
        <v>116</v>
      </c>
      <c r="C449" s="53" t="s">
        <v>27</v>
      </c>
      <c r="D449" s="54"/>
      <c r="E449" s="55">
        <f t="shared" ref="E449:J449" si="123">E447-E450</f>
        <v>0</v>
      </c>
      <c r="F449" s="55">
        <f t="shared" si="123"/>
        <v>0</v>
      </c>
      <c r="G449" s="55">
        <f t="shared" si="123"/>
        <v>0</v>
      </c>
      <c r="H449" s="55">
        <f t="shared" si="123"/>
        <v>0</v>
      </c>
      <c r="I449" s="55">
        <f t="shared" si="123"/>
        <v>0</v>
      </c>
      <c r="J449" s="55">
        <f t="shared" si="123"/>
        <v>0</v>
      </c>
      <c r="K449" s="56"/>
      <c r="L449" s="30"/>
      <c r="M449" s="57" t="s">
        <v>28</v>
      </c>
      <c r="N449" s="58" t="b">
        <v>0</v>
      </c>
    </row>
    <row r="450" ht="13.5" customHeight="1">
      <c r="A450" s="64"/>
      <c r="B450" s="59"/>
      <c r="C450" s="53" t="s">
        <v>30</v>
      </c>
      <c r="D450" s="54"/>
      <c r="E450" s="60"/>
      <c r="F450" s="60"/>
      <c r="G450" s="60"/>
      <c r="H450" s="60"/>
      <c r="I450" s="60"/>
      <c r="J450" s="60"/>
      <c r="K450" s="61" t="s">
        <v>30</v>
      </c>
      <c r="L450" s="62">
        <f>(E450*E443)+(F450*F443)+(G450*G443)+(H450*H443)+(I450*I443)+(J450*J443)</f>
        <v>0</v>
      </c>
      <c r="M450" s="57" t="s">
        <v>31</v>
      </c>
      <c r="N450" s="63" t="b">
        <v>0</v>
      </c>
    </row>
    <row r="451" ht="13.5" customHeight="1">
      <c r="A451" s="68"/>
      <c r="B451" s="65" t="s">
        <v>42</v>
      </c>
      <c r="C451" s="53" t="s">
        <v>34</v>
      </c>
      <c r="D451" s="54"/>
      <c r="E451" s="66"/>
      <c r="F451" s="66"/>
      <c r="G451" s="66"/>
      <c r="H451" s="66"/>
      <c r="I451" s="66"/>
      <c r="J451" s="66"/>
      <c r="K451" s="67" t="s">
        <v>35</v>
      </c>
      <c r="L451" s="62">
        <f>(E451*E443)+(F451*F443)+(G451*G443)+(H451*H443)+(I451*I443)+(J451*J443)</f>
        <v>0</v>
      </c>
      <c r="M451" s="57" t="s">
        <v>36</v>
      </c>
      <c r="N451" s="63" t="b">
        <v>0</v>
      </c>
    </row>
    <row r="452" ht="13.5" customHeight="1">
      <c r="A452" s="46" t="s">
        <v>43</v>
      </c>
      <c r="B452" s="69" t="str">
        <f>IFS(L452=0,"",B452&lt;&gt;"",B452,TRUE,NOW())</f>
        <v/>
      </c>
      <c r="C452" s="70" t="s">
        <v>37</v>
      </c>
      <c r="D452" s="33"/>
      <c r="E452" s="71"/>
      <c r="F452" s="71"/>
      <c r="G452" s="71"/>
      <c r="H452" s="71"/>
      <c r="I452" s="71"/>
      <c r="J452" s="71"/>
      <c r="K452" s="72" t="s">
        <v>38</v>
      </c>
      <c r="L452" s="73">
        <f>L451-L450</f>
        <v>0</v>
      </c>
      <c r="M452" s="74" t="s">
        <v>39</v>
      </c>
      <c r="N452" s="75" t="b">
        <v>0</v>
      </c>
    </row>
    <row r="453" ht="13.5" customHeight="1">
      <c r="A453" s="64"/>
      <c r="B453" s="52" t="s">
        <v>116</v>
      </c>
      <c r="C453" s="53" t="s">
        <v>27</v>
      </c>
      <c r="D453" s="54"/>
      <c r="E453" s="55">
        <f t="shared" ref="E453:J453" si="124">E451-E454</f>
        <v>0</v>
      </c>
      <c r="F453" s="55">
        <f t="shared" si="124"/>
        <v>0</v>
      </c>
      <c r="G453" s="55">
        <f t="shared" si="124"/>
        <v>0</v>
      </c>
      <c r="H453" s="55">
        <f t="shared" si="124"/>
        <v>0</v>
      </c>
      <c r="I453" s="55">
        <f t="shared" si="124"/>
        <v>0</v>
      </c>
      <c r="J453" s="55">
        <f t="shared" si="124"/>
        <v>0</v>
      </c>
      <c r="K453" s="56"/>
      <c r="L453" s="30"/>
      <c r="M453" s="57" t="s">
        <v>28</v>
      </c>
      <c r="N453" s="58" t="b">
        <v>0</v>
      </c>
    </row>
    <row r="454" ht="15.0" customHeight="1">
      <c r="A454" s="46" t="s">
        <v>45</v>
      </c>
      <c r="B454" s="59"/>
      <c r="C454" s="53" t="s">
        <v>30</v>
      </c>
      <c r="D454" s="54"/>
      <c r="E454" s="60"/>
      <c r="F454" s="60"/>
      <c r="G454" s="60"/>
      <c r="H454" s="60"/>
      <c r="I454" s="60"/>
      <c r="J454" s="60"/>
      <c r="K454" s="61" t="s">
        <v>30</v>
      </c>
      <c r="L454" s="62">
        <f>(E454*E443)+(F454*F443)+(G454*G443)+(H454*H443)+(I454*I443)+(J454*J443)</f>
        <v>0</v>
      </c>
      <c r="M454" s="57" t="s">
        <v>31</v>
      </c>
      <c r="N454" s="63" t="b">
        <v>0</v>
      </c>
    </row>
    <row r="455" ht="13.5" customHeight="1">
      <c r="A455" s="77"/>
      <c r="B455" s="65" t="s">
        <v>47</v>
      </c>
      <c r="C455" s="53" t="s">
        <v>34</v>
      </c>
      <c r="D455" s="54"/>
      <c r="E455" s="66"/>
      <c r="F455" s="66"/>
      <c r="G455" s="66"/>
      <c r="H455" s="66"/>
      <c r="I455" s="66"/>
      <c r="J455" s="66"/>
      <c r="K455" s="67" t="s">
        <v>35</v>
      </c>
      <c r="L455" s="62">
        <f>(E455*E443)+(F455*F443)+(G455*G443)+(H455*H443)+(I455*I443)+(J455*J443)</f>
        <v>0</v>
      </c>
      <c r="M455" s="57" t="s">
        <v>36</v>
      </c>
      <c r="N455" s="63" t="b">
        <v>0</v>
      </c>
    </row>
    <row r="456" ht="13.5" customHeight="1">
      <c r="A456" s="68"/>
      <c r="B456" s="69" t="str">
        <f>IFS(L456=0,"",B456&lt;&gt;"",B456,TRUE,NOW())</f>
        <v/>
      </c>
      <c r="C456" s="70" t="s">
        <v>37</v>
      </c>
      <c r="D456" s="33"/>
      <c r="E456" s="71"/>
      <c r="F456" s="71"/>
      <c r="G456" s="71"/>
      <c r="H456" s="71"/>
      <c r="I456" s="71"/>
      <c r="J456" s="71"/>
      <c r="K456" s="72" t="s">
        <v>38</v>
      </c>
      <c r="L456" s="73">
        <f>L455-L454</f>
        <v>0</v>
      </c>
      <c r="M456" s="74" t="s">
        <v>39</v>
      </c>
      <c r="N456" s="75" t="b">
        <v>0</v>
      </c>
    </row>
    <row r="457" ht="13.5" customHeight="1">
      <c r="A457" s="78" t="s">
        <v>48</v>
      </c>
      <c r="B457" s="52" t="s">
        <v>116</v>
      </c>
      <c r="C457" s="53" t="s">
        <v>27</v>
      </c>
      <c r="D457" s="54"/>
      <c r="E457" s="55">
        <f t="shared" ref="E457:J457" si="125">E455-E458</f>
        <v>0</v>
      </c>
      <c r="F457" s="55">
        <f t="shared" si="125"/>
        <v>0</v>
      </c>
      <c r="G457" s="55">
        <f t="shared" si="125"/>
        <v>0</v>
      </c>
      <c r="H457" s="55">
        <f t="shared" si="125"/>
        <v>0</v>
      </c>
      <c r="I457" s="55">
        <f t="shared" si="125"/>
        <v>0</v>
      </c>
      <c r="J457" s="55">
        <f t="shared" si="125"/>
        <v>0</v>
      </c>
      <c r="K457" s="56"/>
      <c r="L457" s="30"/>
      <c r="M457" s="57" t="s">
        <v>28</v>
      </c>
      <c r="N457" s="58" t="b">
        <v>0</v>
      </c>
    </row>
    <row r="458" ht="13.5" customHeight="1">
      <c r="A458" s="87"/>
      <c r="B458" s="59"/>
      <c r="C458" s="53" t="s">
        <v>30</v>
      </c>
      <c r="D458" s="54"/>
      <c r="E458" s="60"/>
      <c r="F458" s="60"/>
      <c r="G458" s="60"/>
      <c r="H458" s="60"/>
      <c r="I458" s="60"/>
      <c r="J458" s="60"/>
      <c r="K458" s="61" t="s">
        <v>30</v>
      </c>
      <c r="L458" s="62">
        <f>(E458*E443)+(F458*F443)+(G458*G443)+(H458*H443)+(I458*I443)+(J458*J443)</f>
        <v>0</v>
      </c>
      <c r="M458" s="57" t="s">
        <v>31</v>
      </c>
      <c r="N458" s="63" t="b">
        <v>0</v>
      </c>
    </row>
    <row r="459" ht="15.0" customHeight="1">
      <c r="A459" s="68"/>
      <c r="B459" s="65" t="s">
        <v>49</v>
      </c>
      <c r="C459" s="53" t="s">
        <v>34</v>
      </c>
      <c r="D459" s="54"/>
      <c r="E459" s="66"/>
      <c r="F459" s="66"/>
      <c r="G459" s="66"/>
      <c r="H459" s="66"/>
      <c r="I459" s="66"/>
      <c r="J459" s="66"/>
      <c r="K459" s="67" t="s">
        <v>35</v>
      </c>
      <c r="L459" s="62">
        <f>(E459*E443)+(F459*F443)+(G459*G443)+(H459*H443)+(I459*I443)+(J459*J443)</f>
        <v>0</v>
      </c>
      <c r="M459" s="57" t="s">
        <v>36</v>
      </c>
      <c r="N459" s="63" t="b">
        <v>0</v>
      </c>
    </row>
    <row r="460" ht="13.5" customHeight="1">
      <c r="A460" s="80"/>
      <c r="B460" s="69" t="str">
        <f>IFS(L460=0,"",B460&lt;&gt;"",B460,TRUE,NOW())</f>
        <v/>
      </c>
      <c r="C460" s="86" t="s">
        <v>37</v>
      </c>
      <c r="D460" s="59"/>
      <c r="E460" s="93"/>
      <c r="F460" s="93"/>
      <c r="G460" s="93"/>
      <c r="H460" s="93"/>
      <c r="I460" s="93"/>
      <c r="J460" s="93"/>
      <c r="K460" s="72" t="s">
        <v>38</v>
      </c>
      <c r="L460" s="73">
        <f>L459-L458</f>
        <v>0</v>
      </c>
      <c r="M460" s="74" t="s">
        <v>39</v>
      </c>
      <c r="N460" s="75" t="b">
        <v>0</v>
      </c>
    </row>
    <row r="461" ht="13.5" customHeight="1">
      <c r="A461" s="94" t="s">
        <v>117</v>
      </c>
      <c r="B461" s="95" t="s">
        <v>20</v>
      </c>
      <c r="C461" s="96"/>
      <c r="D461" s="10"/>
      <c r="E461" s="97">
        <f t="shared" ref="E461:J461" si="126">E6</f>
        <v>17</v>
      </c>
      <c r="F461" s="97">
        <f t="shared" si="126"/>
        <v>27</v>
      </c>
      <c r="G461" s="97">
        <f t="shared" si="126"/>
        <v>27</v>
      </c>
      <c r="H461" s="97">
        <f t="shared" si="126"/>
        <v>27</v>
      </c>
      <c r="I461" s="97">
        <f t="shared" si="126"/>
        <v>32</v>
      </c>
      <c r="J461" s="97">
        <f t="shared" si="126"/>
        <v>37</v>
      </c>
      <c r="K461" s="95" t="s">
        <v>21</v>
      </c>
      <c r="L461" s="10"/>
      <c r="M461" s="98" t="s">
        <v>118</v>
      </c>
      <c r="N461" s="10"/>
    </row>
    <row r="462" ht="20.25" customHeight="1">
      <c r="A462" s="99" t="s">
        <v>23</v>
      </c>
      <c r="B462" s="100" t="s">
        <v>117</v>
      </c>
      <c r="C462" s="53" t="s">
        <v>30</v>
      </c>
      <c r="D462" s="54"/>
      <c r="E462" s="60"/>
      <c r="F462" s="60"/>
      <c r="G462" s="60"/>
      <c r="H462" s="60"/>
      <c r="I462" s="60"/>
      <c r="J462" s="60"/>
      <c r="K462" s="61" t="s">
        <v>30</v>
      </c>
      <c r="L462" s="62">
        <f>(E462*E461)+(F462*F461)+(G462*G461)+(H462*H461)+(I462*I461)+(J462*J461)</f>
        <v>0</v>
      </c>
      <c r="M462" s="57" t="s">
        <v>119</v>
      </c>
      <c r="N462" s="63" t="b">
        <v>0</v>
      </c>
    </row>
    <row r="463" ht="13.5" customHeight="1">
      <c r="A463" s="101" t="s">
        <v>120</v>
      </c>
      <c r="B463" s="59"/>
      <c r="C463" s="53" t="s">
        <v>34</v>
      </c>
      <c r="D463" s="54"/>
      <c r="E463" s="66"/>
      <c r="F463" s="66"/>
      <c r="G463" s="66"/>
      <c r="H463" s="66"/>
      <c r="I463" s="66"/>
      <c r="J463" s="66"/>
      <c r="K463" s="67" t="s">
        <v>35</v>
      </c>
      <c r="L463" s="62">
        <f>(E463*E461)+(F463*F461)+(G463*G461)+(H463*H461)+(I463*I461)+(J463*J461)</f>
        <v>0</v>
      </c>
      <c r="M463" s="57" t="s">
        <v>121</v>
      </c>
      <c r="N463" s="63" t="b">
        <v>0</v>
      </c>
    </row>
    <row r="464" ht="13.5" customHeight="1">
      <c r="A464" s="80"/>
      <c r="B464" s="102" t="s">
        <v>33</v>
      </c>
      <c r="C464" s="70" t="s">
        <v>37</v>
      </c>
      <c r="D464" s="33"/>
      <c r="E464" s="71"/>
      <c r="F464" s="71"/>
      <c r="G464" s="71"/>
      <c r="H464" s="71"/>
      <c r="I464" s="71"/>
      <c r="J464" s="71"/>
      <c r="K464" s="72" t="s">
        <v>38</v>
      </c>
      <c r="L464" s="73">
        <f>L463-L462</f>
        <v>0</v>
      </c>
      <c r="M464" s="74" t="s">
        <v>122</v>
      </c>
      <c r="N464" s="75" t="b">
        <v>0</v>
      </c>
    </row>
    <row r="465" ht="13.5" customHeight="1">
      <c r="A465" s="99" t="s">
        <v>23</v>
      </c>
      <c r="B465" s="100" t="s">
        <v>117</v>
      </c>
      <c r="C465" s="53" t="s">
        <v>30</v>
      </c>
      <c r="D465" s="54"/>
      <c r="E465" s="60"/>
      <c r="F465" s="60"/>
      <c r="G465" s="60"/>
      <c r="H465" s="60"/>
      <c r="I465" s="60"/>
      <c r="J465" s="60"/>
      <c r="K465" s="61" t="s">
        <v>30</v>
      </c>
      <c r="L465" s="62">
        <f>(E465*E461)+(F465*F461)+(G465*G461)+(H465*H461)+(I465*I461)+(J465*J461)</f>
        <v>0</v>
      </c>
      <c r="M465" s="57" t="s">
        <v>119</v>
      </c>
      <c r="N465" s="63" t="b">
        <v>0</v>
      </c>
    </row>
    <row r="466" ht="13.5" customHeight="1">
      <c r="A466" s="103"/>
      <c r="B466" s="59"/>
      <c r="C466" s="53" t="s">
        <v>34</v>
      </c>
      <c r="D466" s="54"/>
      <c r="E466" s="66"/>
      <c r="F466" s="66"/>
      <c r="G466" s="66"/>
      <c r="H466" s="66"/>
      <c r="I466" s="66"/>
      <c r="J466" s="66"/>
      <c r="K466" s="67" t="s">
        <v>35</v>
      </c>
      <c r="L466" s="62">
        <f>(E466*E461)+(F466*F461)+(G466*G461)+(H466*H461)+(I466*I461)+(J466*J461)</f>
        <v>0</v>
      </c>
      <c r="M466" s="57" t="s">
        <v>121</v>
      </c>
      <c r="N466" s="63" t="b">
        <v>0</v>
      </c>
    </row>
    <row r="467" ht="13.5" customHeight="1">
      <c r="A467" s="80"/>
      <c r="B467" s="102" t="s">
        <v>42</v>
      </c>
      <c r="C467" s="70" t="s">
        <v>37</v>
      </c>
      <c r="D467" s="33"/>
      <c r="E467" s="71"/>
      <c r="F467" s="71"/>
      <c r="G467" s="71"/>
      <c r="H467" s="71"/>
      <c r="I467" s="71"/>
      <c r="J467" s="71"/>
      <c r="K467" s="72" t="s">
        <v>38</v>
      </c>
      <c r="L467" s="73">
        <f>L466-L465</f>
        <v>0</v>
      </c>
      <c r="M467" s="74" t="s">
        <v>122</v>
      </c>
      <c r="N467" s="75" t="b">
        <v>0</v>
      </c>
    </row>
    <row r="468" ht="13.5" customHeight="1">
      <c r="A468" s="99" t="s">
        <v>23</v>
      </c>
      <c r="B468" s="100" t="s">
        <v>117</v>
      </c>
      <c r="C468" s="53" t="s">
        <v>30</v>
      </c>
      <c r="D468" s="54"/>
      <c r="E468" s="60"/>
      <c r="F468" s="60"/>
      <c r="G468" s="60"/>
      <c r="H468" s="60"/>
      <c r="I468" s="60"/>
      <c r="J468" s="60"/>
      <c r="K468" s="61" t="s">
        <v>30</v>
      </c>
      <c r="L468" s="62">
        <f>(E468*E461)+(F468*F461)+(G468*G461)+(H468*H461)+(I468*I461)+(J468*J461)</f>
        <v>0</v>
      </c>
      <c r="M468" s="57" t="s">
        <v>119</v>
      </c>
      <c r="N468" s="63" t="b">
        <v>0</v>
      </c>
    </row>
    <row r="469" ht="13.5" customHeight="1">
      <c r="A469" s="101"/>
      <c r="B469" s="59"/>
      <c r="C469" s="53" t="s">
        <v>34</v>
      </c>
      <c r="D469" s="54"/>
      <c r="E469" s="66"/>
      <c r="F469" s="66"/>
      <c r="G469" s="66"/>
      <c r="H469" s="66"/>
      <c r="I469" s="66"/>
      <c r="J469" s="66"/>
      <c r="K469" s="67" t="s">
        <v>35</v>
      </c>
      <c r="L469" s="62">
        <f>(E469*E461)+(F469*F461)+(G469*G461)+(H469*H461)+(I469*I461)+(J469*J461)</f>
        <v>0</v>
      </c>
      <c r="M469" s="57" t="s">
        <v>121</v>
      </c>
      <c r="N469" s="63" t="b">
        <v>0</v>
      </c>
    </row>
    <row r="470" ht="13.5" customHeight="1">
      <c r="A470" s="80"/>
      <c r="B470" s="102" t="s">
        <v>47</v>
      </c>
      <c r="C470" s="70" t="s">
        <v>37</v>
      </c>
      <c r="D470" s="33"/>
      <c r="E470" s="71"/>
      <c r="F470" s="71"/>
      <c r="G470" s="71"/>
      <c r="H470" s="71"/>
      <c r="I470" s="71"/>
      <c r="J470" s="71"/>
      <c r="K470" s="72" t="s">
        <v>38</v>
      </c>
      <c r="L470" s="73">
        <f>L469-L468</f>
        <v>0</v>
      </c>
      <c r="M470" s="74" t="s">
        <v>122</v>
      </c>
      <c r="N470" s="75" t="b">
        <v>0</v>
      </c>
    </row>
    <row r="471" ht="18.75" customHeight="1">
      <c r="A471" s="99" t="s">
        <v>23</v>
      </c>
      <c r="B471" s="100" t="s">
        <v>117</v>
      </c>
      <c r="C471" s="53" t="s">
        <v>30</v>
      </c>
      <c r="D471" s="54"/>
      <c r="E471" s="60"/>
      <c r="F471" s="60"/>
      <c r="G471" s="60"/>
      <c r="H471" s="60"/>
      <c r="I471" s="60"/>
      <c r="J471" s="60"/>
      <c r="K471" s="61" t="s">
        <v>30</v>
      </c>
      <c r="L471" s="62">
        <f>(E471*E461)+(F471*F461)+(G471*G461)+(H471*H461)+(I471*I461)+(J471*J461)</f>
        <v>0</v>
      </c>
      <c r="M471" s="57" t="s">
        <v>119</v>
      </c>
      <c r="N471" s="63" t="b">
        <v>0</v>
      </c>
    </row>
    <row r="472" ht="13.5" customHeight="1">
      <c r="A472" s="103"/>
      <c r="B472" s="59"/>
      <c r="C472" s="53" t="s">
        <v>34</v>
      </c>
      <c r="D472" s="54"/>
      <c r="E472" s="66"/>
      <c r="F472" s="66"/>
      <c r="G472" s="66"/>
      <c r="H472" s="66"/>
      <c r="I472" s="66"/>
      <c r="J472" s="66"/>
      <c r="K472" s="67" t="s">
        <v>35</v>
      </c>
      <c r="L472" s="62">
        <f>(E472*E461)+(F472*F461)+(G472*G461)+(H472*H461)+(I472*I461)+(J472*J461)</f>
        <v>0</v>
      </c>
      <c r="M472" s="57" t="s">
        <v>121</v>
      </c>
      <c r="N472" s="63" t="b">
        <v>0</v>
      </c>
    </row>
    <row r="473" ht="13.5" customHeight="1">
      <c r="A473" s="80"/>
      <c r="B473" s="102" t="s">
        <v>49</v>
      </c>
      <c r="C473" s="70" t="s">
        <v>37</v>
      </c>
      <c r="D473" s="33"/>
      <c r="E473" s="71"/>
      <c r="F473" s="71"/>
      <c r="G473" s="71"/>
      <c r="H473" s="71"/>
      <c r="I473" s="71"/>
      <c r="J473" s="71"/>
      <c r="K473" s="72" t="s">
        <v>38</v>
      </c>
      <c r="L473" s="73">
        <f>L472-L471</f>
        <v>0</v>
      </c>
      <c r="M473" s="74" t="s">
        <v>122</v>
      </c>
      <c r="N473" s="75" t="b">
        <v>0</v>
      </c>
    </row>
    <row r="474" ht="13.5" customHeight="1">
      <c r="A474" s="94" t="s">
        <v>123</v>
      </c>
      <c r="B474" s="95" t="s">
        <v>20</v>
      </c>
      <c r="C474" s="96"/>
      <c r="D474" s="10"/>
      <c r="E474" s="97">
        <f t="shared" ref="E474:J474" si="127">E6</f>
        <v>17</v>
      </c>
      <c r="F474" s="97">
        <f t="shared" si="127"/>
        <v>27</v>
      </c>
      <c r="G474" s="97">
        <f t="shared" si="127"/>
        <v>27</v>
      </c>
      <c r="H474" s="97">
        <f t="shared" si="127"/>
        <v>27</v>
      </c>
      <c r="I474" s="97">
        <f t="shared" si="127"/>
        <v>32</v>
      </c>
      <c r="J474" s="97">
        <f t="shared" si="127"/>
        <v>37</v>
      </c>
      <c r="K474" s="95" t="s">
        <v>21</v>
      </c>
      <c r="L474" s="10"/>
      <c r="M474" s="98" t="s">
        <v>118</v>
      </c>
      <c r="N474" s="10"/>
    </row>
    <row r="475" ht="13.5" customHeight="1">
      <c r="A475" s="99" t="s">
        <v>23</v>
      </c>
      <c r="B475" s="100" t="s">
        <v>123</v>
      </c>
      <c r="C475" s="53" t="s">
        <v>30</v>
      </c>
      <c r="D475" s="54"/>
      <c r="E475" s="60"/>
      <c r="F475" s="60"/>
      <c r="G475" s="60"/>
      <c r="H475" s="60"/>
      <c r="I475" s="60"/>
      <c r="J475" s="60"/>
      <c r="K475" s="61" t="s">
        <v>30</v>
      </c>
      <c r="L475" s="62">
        <f>(E475*E474)+(F475*F474)+(G475*G474)+(H475*H474)+(I475*I474)+(J475*J474)</f>
        <v>0</v>
      </c>
      <c r="M475" s="57" t="s">
        <v>119</v>
      </c>
      <c r="N475" s="63" t="b">
        <v>0</v>
      </c>
    </row>
    <row r="476" ht="13.5" customHeight="1">
      <c r="A476" s="103"/>
      <c r="B476" s="59"/>
      <c r="C476" s="53" t="s">
        <v>34</v>
      </c>
      <c r="D476" s="54"/>
      <c r="E476" s="66"/>
      <c r="F476" s="66"/>
      <c r="G476" s="66"/>
      <c r="H476" s="66"/>
      <c r="I476" s="66"/>
      <c r="J476" s="66"/>
      <c r="K476" s="67" t="s">
        <v>35</v>
      </c>
      <c r="L476" s="62">
        <f>(E476*E474)+(F476*F474)+(G476*G474)+(H476*H474)+(I476*I474)+(J476*J474)</f>
        <v>0</v>
      </c>
      <c r="M476" s="57" t="s">
        <v>121</v>
      </c>
      <c r="N476" s="63" t="b">
        <v>0</v>
      </c>
    </row>
    <row r="477" ht="13.5" customHeight="1">
      <c r="A477" s="80"/>
      <c r="B477" s="102" t="s">
        <v>33</v>
      </c>
      <c r="C477" s="70" t="s">
        <v>37</v>
      </c>
      <c r="D477" s="33"/>
      <c r="E477" s="71"/>
      <c r="F477" s="71"/>
      <c r="G477" s="71"/>
      <c r="H477" s="71"/>
      <c r="I477" s="71"/>
      <c r="J477" s="71"/>
      <c r="K477" s="72" t="s">
        <v>38</v>
      </c>
      <c r="L477" s="73">
        <f>L476-L475</f>
        <v>0</v>
      </c>
      <c r="M477" s="74" t="s">
        <v>122</v>
      </c>
      <c r="N477" s="75" t="b">
        <v>0</v>
      </c>
    </row>
    <row r="478" ht="15.0" customHeight="1">
      <c r="A478" s="99" t="s">
        <v>23</v>
      </c>
      <c r="B478" s="100" t="s">
        <v>123</v>
      </c>
      <c r="C478" s="53" t="s">
        <v>30</v>
      </c>
      <c r="D478" s="54"/>
      <c r="E478" s="60"/>
      <c r="F478" s="60"/>
      <c r="G478" s="60"/>
      <c r="H478" s="60"/>
      <c r="I478" s="60"/>
      <c r="J478" s="60"/>
      <c r="K478" s="61" t="s">
        <v>30</v>
      </c>
      <c r="L478" s="62">
        <f>(E478*E474)+(F478*F474)+(G478*G474)+(H478*H474)+(I478*I474)+(J478*J474)</f>
        <v>0</v>
      </c>
      <c r="M478" s="57" t="s">
        <v>119</v>
      </c>
      <c r="N478" s="63" t="b">
        <v>0</v>
      </c>
    </row>
    <row r="479" ht="13.5" customHeight="1">
      <c r="A479" s="103"/>
      <c r="B479" s="59"/>
      <c r="C479" s="53" t="s">
        <v>34</v>
      </c>
      <c r="D479" s="54"/>
      <c r="E479" s="66"/>
      <c r="F479" s="66"/>
      <c r="G479" s="66"/>
      <c r="H479" s="66"/>
      <c r="I479" s="66"/>
      <c r="J479" s="66"/>
      <c r="K479" s="67" t="s">
        <v>35</v>
      </c>
      <c r="L479" s="62">
        <f>(E479*E474)+(F479*F474)+(G479*G474)+(H479*H474)+(I479*I474)+(J479*J474)</f>
        <v>0</v>
      </c>
      <c r="M479" s="57" t="s">
        <v>121</v>
      </c>
      <c r="N479" s="63" t="b">
        <v>0</v>
      </c>
    </row>
    <row r="480" ht="13.5" customHeight="1">
      <c r="A480" s="80"/>
      <c r="B480" s="102" t="s">
        <v>42</v>
      </c>
      <c r="C480" s="70" t="s">
        <v>37</v>
      </c>
      <c r="D480" s="33"/>
      <c r="E480" s="71"/>
      <c r="F480" s="71"/>
      <c r="G480" s="71"/>
      <c r="H480" s="71"/>
      <c r="I480" s="71"/>
      <c r="J480" s="71"/>
      <c r="K480" s="72" t="s">
        <v>38</v>
      </c>
      <c r="L480" s="73">
        <f>L479-L478</f>
        <v>0</v>
      </c>
      <c r="M480" s="74" t="s">
        <v>122</v>
      </c>
      <c r="N480" s="75" t="b">
        <v>0</v>
      </c>
    </row>
    <row r="481" ht="13.5" customHeight="1">
      <c r="A481" s="99" t="s">
        <v>23</v>
      </c>
      <c r="B481" s="100" t="s">
        <v>123</v>
      </c>
      <c r="C481" s="53" t="s">
        <v>30</v>
      </c>
      <c r="D481" s="54"/>
      <c r="E481" s="60"/>
      <c r="F481" s="60"/>
      <c r="G481" s="60"/>
      <c r="H481" s="60"/>
      <c r="I481" s="60"/>
      <c r="J481" s="60"/>
      <c r="K481" s="61" t="s">
        <v>30</v>
      </c>
      <c r="L481" s="62">
        <f>(E481*E474)+(F481*F474)+(G481*G474)+(H481*H474)+(I481*I474)+(J481*J474)</f>
        <v>0</v>
      </c>
      <c r="M481" s="57" t="s">
        <v>119</v>
      </c>
      <c r="N481" s="63" t="b">
        <v>0</v>
      </c>
    </row>
    <row r="482" ht="13.5" customHeight="1">
      <c r="A482" s="103"/>
      <c r="B482" s="59"/>
      <c r="C482" s="53" t="s">
        <v>34</v>
      </c>
      <c r="D482" s="54"/>
      <c r="E482" s="66"/>
      <c r="F482" s="66"/>
      <c r="G482" s="66"/>
      <c r="H482" s="66"/>
      <c r="I482" s="66"/>
      <c r="J482" s="66"/>
      <c r="K482" s="67" t="s">
        <v>35</v>
      </c>
      <c r="L482" s="62">
        <f>(E482*E474)+(F482*F474)+(G482*G474)+(H482*H474)+(I482*I474)+(J482*J474)</f>
        <v>0</v>
      </c>
      <c r="M482" s="57" t="s">
        <v>121</v>
      </c>
      <c r="N482" s="63" t="b">
        <v>0</v>
      </c>
    </row>
    <row r="483" ht="13.5" customHeight="1">
      <c r="A483" s="80"/>
      <c r="B483" s="102" t="s">
        <v>47</v>
      </c>
      <c r="C483" s="70" t="s">
        <v>37</v>
      </c>
      <c r="D483" s="33"/>
      <c r="E483" s="71"/>
      <c r="F483" s="71"/>
      <c r="G483" s="71"/>
      <c r="H483" s="71"/>
      <c r="I483" s="71"/>
      <c r="J483" s="71"/>
      <c r="K483" s="72" t="s">
        <v>38</v>
      </c>
      <c r="L483" s="73">
        <f>L482-L481</f>
        <v>0</v>
      </c>
      <c r="M483" s="74" t="s">
        <v>122</v>
      </c>
      <c r="N483" s="75" t="b">
        <v>0</v>
      </c>
    </row>
    <row r="484" ht="13.5" customHeight="1">
      <c r="A484" s="99" t="s">
        <v>23</v>
      </c>
      <c r="B484" s="100" t="s">
        <v>123</v>
      </c>
      <c r="C484" s="53" t="s">
        <v>30</v>
      </c>
      <c r="D484" s="54"/>
      <c r="E484" s="60"/>
      <c r="F484" s="60"/>
      <c r="G484" s="60"/>
      <c r="H484" s="60"/>
      <c r="I484" s="60"/>
      <c r="J484" s="60"/>
      <c r="K484" s="61" t="s">
        <v>30</v>
      </c>
      <c r="L484" s="62">
        <f>(E484*E474)+(F484*F474)+(G484*G474)+(H484*H474)+(I484*I474)+(J484*J474)</f>
        <v>0</v>
      </c>
      <c r="M484" s="57" t="s">
        <v>119</v>
      </c>
      <c r="N484" s="63" t="b">
        <v>0</v>
      </c>
    </row>
    <row r="485" ht="13.5" customHeight="1">
      <c r="A485" s="103"/>
      <c r="B485" s="59"/>
      <c r="C485" s="53" t="s">
        <v>34</v>
      </c>
      <c r="D485" s="54"/>
      <c r="E485" s="66"/>
      <c r="F485" s="66"/>
      <c r="G485" s="66"/>
      <c r="H485" s="66"/>
      <c r="I485" s="66"/>
      <c r="J485" s="66"/>
      <c r="K485" s="67" t="s">
        <v>35</v>
      </c>
      <c r="L485" s="62">
        <f>(E485*E474)+(F485*F474)+(G485*G474)+(H485*H474)+(I485*I474)+(J485*J474)</f>
        <v>0</v>
      </c>
      <c r="M485" s="57" t="s">
        <v>121</v>
      </c>
      <c r="N485" s="63" t="b">
        <v>0</v>
      </c>
    </row>
    <row r="486" ht="13.5" customHeight="1">
      <c r="A486" s="80"/>
      <c r="B486" s="102" t="s">
        <v>49</v>
      </c>
      <c r="C486" s="70" t="s">
        <v>37</v>
      </c>
      <c r="D486" s="33"/>
      <c r="E486" s="71"/>
      <c r="F486" s="71"/>
      <c r="G486" s="71"/>
      <c r="H486" s="71"/>
      <c r="I486" s="71"/>
      <c r="J486" s="71"/>
      <c r="K486" s="72" t="s">
        <v>38</v>
      </c>
      <c r="L486" s="73">
        <f>L485-L484</f>
        <v>0</v>
      </c>
      <c r="M486" s="74" t="s">
        <v>122</v>
      </c>
      <c r="N486" s="75" t="b">
        <v>0</v>
      </c>
    </row>
    <row r="487" ht="13.5" customHeight="1">
      <c r="A487" s="94" t="s">
        <v>124</v>
      </c>
      <c r="B487" s="95" t="s">
        <v>20</v>
      </c>
      <c r="C487" s="96"/>
      <c r="D487" s="10"/>
      <c r="E487" s="97">
        <f t="shared" ref="E487:J487" si="128">E6</f>
        <v>17</v>
      </c>
      <c r="F487" s="97">
        <f t="shared" si="128"/>
        <v>27</v>
      </c>
      <c r="G487" s="97">
        <f t="shared" si="128"/>
        <v>27</v>
      </c>
      <c r="H487" s="97">
        <f t="shared" si="128"/>
        <v>27</v>
      </c>
      <c r="I487" s="97">
        <f t="shared" si="128"/>
        <v>32</v>
      </c>
      <c r="J487" s="97">
        <f t="shared" si="128"/>
        <v>37</v>
      </c>
      <c r="K487" s="95" t="s">
        <v>21</v>
      </c>
      <c r="L487" s="10"/>
      <c r="M487" s="98" t="s">
        <v>118</v>
      </c>
      <c r="N487" s="10"/>
    </row>
    <row r="488" ht="13.5" customHeight="1">
      <c r="A488" s="99" t="s">
        <v>23</v>
      </c>
      <c r="B488" s="100" t="s">
        <v>124</v>
      </c>
      <c r="C488" s="53" t="s">
        <v>30</v>
      </c>
      <c r="D488" s="54"/>
      <c r="E488" s="60"/>
      <c r="F488" s="60"/>
      <c r="G488" s="60"/>
      <c r="H488" s="60"/>
      <c r="I488" s="60"/>
      <c r="J488" s="60"/>
      <c r="K488" s="61" t="s">
        <v>30</v>
      </c>
      <c r="L488" s="62">
        <f>(E488*E487)+(F488*F487)+(G488*G487)+(H488*H487)+(I488*I487)+(J488*J487)</f>
        <v>0</v>
      </c>
      <c r="M488" s="57" t="s">
        <v>119</v>
      </c>
      <c r="N488" s="63" t="b">
        <v>0</v>
      </c>
    </row>
    <row r="489" ht="13.5" customHeight="1">
      <c r="A489" s="103"/>
      <c r="B489" s="59"/>
      <c r="C489" s="53" t="s">
        <v>34</v>
      </c>
      <c r="D489" s="54"/>
      <c r="E489" s="66"/>
      <c r="F489" s="66"/>
      <c r="G489" s="66"/>
      <c r="H489" s="66"/>
      <c r="I489" s="66"/>
      <c r="J489" s="66"/>
      <c r="K489" s="67" t="s">
        <v>35</v>
      </c>
      <c r="L489" s="62">
        <f>(E489*E487)+(F489*F487)+(G489*G487)+(H489*H487)+(I489*I487)+(J489*J487)</f>
        <v>0</v>
      </c>
      <c r="M489" s="57" t="s">
        <v>121</v>
      </c>
      <c r="N489" s="63" t="b">
        <v>0</v>
      </c>
    </row>
    <row r="490" ht="13.5" customHeight="1">
      <c r="A490" s="80"/>
      <c r="B490" s="102" t="s">
        <v>33</v>
      </c>
      <c r="C490" s="70" t="s">
        <v>37</v>
      </c>
      <c r="D490" s="33"/>
      <c r="E490" s="71"/>
      <c r="F490" s="71"/>
      <c r="G490" s="71"/>
      <c r="H490" s="71"/>
      <c r="I490" s="71"/>
      <c r="J490" s="71"/>
      <c r="K490" s="72" t="s">
        <v>38</v>
      </c>
      <c r="L490" s="73">
        <f>L489-L488</f>
        <v>0</v>
      </c>
      <c r="M490" s="74" t="s">
        <v>122</v>
      </c>
      <c r="N490" s="75" t="b">
        <v>0</v>
      </c>
    </row>
    <row r="491" ht="13.5" customHeight="1">
      <c r="A491" s="99" t="s">
        <v>23</v>
      </c>
      <c r="B491" s="100" t="s">
        <v>124</v>
      </c>
      <c r="C491" s="53" t="s">
        <v>30</v>
      </c>
      <c r="D491" s="54"/>
      <c r="E491" s="60"/>
      <c r="F491" s="60"/>
      <c r="G491" s="60"/>
      <c r="H491" s="60"/>
      <c r="I491" s="60"/>
      <c r="J491" s="60"/>
      <c r="K491" s="61" t="s">
        <v>30</v>
      </c>
      <c r="L491" s="62">
        <f>(E491*E487)+(F491*F487)+(G491*G487)+(H491*H487)+(I491*I487)+(J491*J487)</f>
        <v>0</v>
      </c>
      <c r="M491" s="57" t="s">
        <v>119</v>
      </c>
      <c r="N491" s="63" t="b">
        <v>0</v>
      </c>
    </row>
    <row r="492" ht="13.5" customHeight="1">
      <c r="A492" s="103"/>
      <c r="B492" s="59"/>
      <c r="C492" s="53" t="s">
        <v>34</v>
      </c>
      <c r="D492" s="54"/>
      <c r="E492" s="66"/>
      <c r="F492" s="66"/>
      <c r="G492" s="66"/>
      <c r="H492" s="66"/>
      <c r="I492" s="66"/>
      <c r="J492" s="66"/>
      <c r="K492" s="67" t="s">
        <v>35</v>
      </c>
      <c r="L492" s="62">
        <f>(E492*E487)+(F492*F487)+(G492*G487)+(H492*H487)+(I492*I487)+(J492*J487)</f>
        <v>0</v>
      </c>
      <c r="M492" s="57" t="s">
        <v>121</v>
      </c>
      <c r="N492" s="63" t="b">
        <v>0</v>
      </c>
    </row>
    <row r="493" ht="13.5" customHeight="1">
      <c r="A493" s="80"/>
      <c r="B493" s="102" t="s">
        <v>42</v>
      </c>
      <c r="C493" s="70" t="s">
        <v>37</v>
      </c>
      <c r="D493" s="33"/>
      <c r="E493" s="71"/>
      <c r="F493" s="71"/>
      <c r="G493" s="71"/>
      <c r="H493" s="71"/>
      <c r="I493" s="71"/>
      <c r="J493" s="71"/>
      <c r="K493" s="72" t="s">
        <v>38</v>
      </c>
      <c r="L493" s="73">
        <f>L492-L491</f>
        <v>0</v>
      </c>
      <c r="M493" s="74" t="s">
        <v>122</v>
      </c>
      <c r="N493" s="75" t="b">
        <v>0</v>
      </c>
    </row>
    <row r="494" ht="15.0" customHeight="1">
      <c r="A494" s="99" t="s">
        <v>23</v>
      </c>
      <c r="B494" s="100" t="s">
        <v>124</v>
      </c>
      <c r="C494" s="53" t="s">
        <v>30</v>
      </c>
      <c r="D494" s="54"/>
      <c r="E494" s="60"/>
      <c r="F494" s="60"/>
      <c r="G494" s="60"/>
      <c r="H494" s="60"/>
      <c r="I494" s="60"/>
      <c r="J494" s="60"/>
      <c r="K494" s="61" t="s">
        <v>30</v>
      </c>
      <c r="L494" s="62">
        <f>(E494*E487)+(F494*F487)+(G494*G487)+(H494*H487)+(I494*I487)+(J494*J487)</f>
        <v>0</v>
      </c>
      <c r="M494" s="57" t="s">
        <v>119</v>
      </c>
      <c r="N494" s="63" t="b">
        <v>0</v>
      </c>
    </row>
    <row r="495" ht="13.5" customHeight="1">
      <c r="A495" s="103"/>
      <c r="B495" s="59"/>
      <c r="C495" s="53" t="s">
        <v>34</v>
      </c>
      <c r="D495" s="54"/>
      <c r="E495" s="66"/>
      <c r="F495" s="66"/>
      <c r="G495" s="66"/>
      <c r="H495" s="66"/>
      <c r="I495" s="66"/>
      <c r="J495" s="66"/>
      <c r="K495" s="67" t="s">
        <v>35</v>
      </c>
      <c r="L495" s="62">
        <f>(E495*E487)+(F495*F487)+(G495*G487)+(H495*H487)+(I495*I487)+(J495*J487)</f>
        <v>0</v>
      </c>
      <c r="M495" s="57" t="s">
        <v>121</v>
      </c>
      <c r="N495" s="63" t="b">
        <v>0</v>
      </c>
    </row>
    <row r="496" ht="13.5" customHeight="1">
      <c r="A496" s="80"/>
      <c r="B496" s="102" t="s">
        <v>47</v>
      </c>
      <c r="C496" s="70" t="s">
        <v>37</v>
      </c>
      <c r="D496" s="33"/>
      <c r="E496" s="71"/>
      <c r="F496" s="71"/>
      <c r="G496" s="71"/>
      <c r="H496" s="71"/>
      <c r="I496" s="71"/>
      <c r="J496" s="71"/>
      <c r="K496" s="72" t="s">
        <v>38</v>
      </c>
      <c r="L496" s="73">
        <f>L495-L494</f>
        <v>0</v>
      </c>
      <c r="M496" s="74" t="s">
        <v>122</v>
      </c>
      <c r="N496" s="75" t="b">
        <v>0</v>
      </c>
    </row>
    <row r="497" ht="13.5" customHeight="1">
      <c r="A497" s="99" t="s">
        <v>23</v>
      </c>
      <c r="B497" s="100" t="s">
        <v>124</v>
      </c>
      <c r="C497" s="53" t="s">
        <v>30</v>
      </c>
      <c r="D497" s="54"/>
      <c r="E497" s="60"/>
      <c r="F497" s="60"/>
      <c r="G497" s="60"/>
      <c r="H497" s="60"/>
      <c r="I497" s="60"/>
      <c r="J497" s="60"/>
      <c r="K497" s="61" t="s">
        <v>30</v>
      </c>
      <c r="L497" s="62">
        <f>(E497*E487)+(F497*F487)+(G497*G487)+(H497*H487)+(I497*I487)+(J497*J487)</f>
        <v>0</v>
      </c>
      <c r="M497" s="57" t="s">
        <v>119</v>
      </c>
      <c r="N497" s="63" t="b">
        <v>0</v>
      </c>
    </row>
    <row r="498" ht="13.5" customHeight="1">
      <c r="A498" s="103"/>
      <c r="B498" s="59"/>
      <c r="C498" s="53" t="s">
        <v>34</v>
      </c>
      <c r="D498" s="54"/>
      <c r="E498" s="66"/>
      <c r="F498" s="66"/>
      <c r="G498" s="66"/>
      <c r="H498" s="66"/>
      <c r="I498" s="66"/>
      <c r="J498" s="66"/>
      <c r="K498" s="67" t="s">
        <v>35</v>
      </c>
      <c r="L498" s="62">
        <f>(E498*E487)+(F498*F487)+(G498*G487)+(H498*H487)+(I498*I487)+(J498*J487)</f>
        <v>0</v>
      </c>
      <c r="M498" s="57" t="s">
        <v>121</v>
      </c>
      <c r="N498" s="63" t="b">
        <v>0</v>
      </c>
    </row>
    <row r="499" ht="13.5" customHeight="1">
      <c r="A499" s="80"/>
      <c r="B499" s="102" t="s">
        <v>49</v>
      </c>
      <c r="C499" s="70" t="s">
        <v>37</v>
      </c>
      <c r="D499" s="33"/>
      <c r="E499" s="71"/>
      <c r="F499" s="71"/>
      <c r="G499" s="71"/>
      <c r="H499" s="71"/>
      <c r="I499" s="71"/>
      <c r="J499" s="71"/>
      <c r="K499" s="72" t="s">
        <v>38</v>
      </c>
      <c r="L499" s="73">
        <f>L498-L497</f>
        <v>0</v>
      </c>
      <c r="M499" s="74" t="s">
        <v>122</v>
      </c>
      <c r="N499" s="75" t="b">
        <v>0</v>
      </c>
    </row>
    <row r="500" ht="18.75" customHeight="1">
      <c r="A500" s="94" t="s">
        <v>125</v>
      </c>
      <c r="B500" s="95" t="s">
        <v>20</v>
      </c>
      <c r="C500" s="96"/>
      <c r="D500" s="10"/>
      <c r="E500" s="97">
        <f t="shared" ref="E500:J500" si="129">E6</f>
        <v>17</v>
      </c>
      <c r="F500" s="97">
        <f t="shared" si="129"/>
        <v>27</v>
      </c>
      <c r="G500" s="97">
        <f t="shared" si="129"/>
        <v>27</v>
      </c>
      <c r="H500" s="97">
        <f t="shared" si="129"/>
        <v>27</v>
      </c>
      <c r="I500" s="97">
        <f t="shared" si="129"/>
        <v>32</v>
      </c>
      <c r="J500" s="97">
        <f t="shared" si="129"/>
        <v>37</v>
      </c>
      <c r="K500" s="95" t="s">
        <v>21</v>
      </c>
      <c r="L500" s="10"/>
      <c r="M500" s="98" t="s">
        <v>118</v>
      </c>
      <c r="N500" s="10"/>
    </row>
    <row r="501" ht="13.5" customHeight="1">
      <c r="A501" s="99" t="s">
        <v>23</v>
      </c>
      <c r="B501" s="100" t="s">
        <v>125</v>
      </c>
      <c r="C501" s="53" t="s">
        <v>30</v>
      </c>
      <c r="D501" s="54"/>
      <c r="E501" s="60"/>
      <c r="F501" s="60"/>
      <c r="G501" s="60"/>
      <c r="H501" s="60"/>
      <c r="I501" s="60"/>
      <c r="J501" s="60"/>
      <c r="K501" s="61" t="s">
        <v>30</v>
      </c>
      <c r="L501" s="62">
        <f>(E501*E500)+(F501*F500)+(G501*G500)+(H501*H500)+(I501*I500)+(J501*J500)</f>
        <v>0</v>
      </c>
      <c r="M501" s="57" t="s">
        <v>119</v>
      </c>
      <c r="N501" s="63" t="b">
        <v>0</v>
      </c>
    </row>
    <row r="502" ht="13.5" customHeight="1">
      <c r="A502" s="103"/>
      <c r="B502" s="59"/>
      <c r="C502" s="53" t="s">
        <v>34</v>
      </c>
      <c r="D502" s="54"/>
      <c r="E502" s="66"/>
      <c r="F502" s="66"/>
      <c r="G502" s="66"/>
      <c r="H502" s="66"/>
      <c r="I502" s="66"/>
      <c r="J502" s="66"/>
      <c r="K502" s="67" t="s">
        <v>35</v>
      </c>
      <c r="L502" s="62">
        <f>(E502*E500)+(F502*F500)+(G502*G500)+(H502*H500)+(I502*I500)+(J502*J500)</f>
        <v>0</v>
      </c>
      <c r="M502" s="57" t="s">
        <v>121</v>
      </c>
      <c r="N502" s="63" t="b">
        <v>0</v>
      </c>
    </row>
    <row r="503" ht="17.25" customHeight="1">
      <c r="A503" s="80"/>
      <c r="B503" s="102" t="s">
        <v>33</v>
      </c>
      <c r="C503" s="70" t="s">
        <v>37</v>
      </c>
      <c r="D503" s="33"/>
      <c r="E503" s="71"/>
      <c r="F503" s="71"/>
      <c r="G503" s="71"/>
      <c r="H503" s="71"/>
      <c r="I503" s="71"/>
      <c r="J503" s="71"/>
      <c r="K503" s="72" t="s">
        <v>38</v>
      </c>
      <c r="L503" s="73">
        <f>L502-L501</f>
        <v>0</v>
      </c>
      <c r="M503" s="74" t="s">
        <v>122</v>
      </c>
      <c r="N503" s="75" t="b">
        <v>0</v>
      </c>
    </row>
    <row r="504" ht="13.5" customHeight="1">
      <c r="A504" s="99" t="s">
        <v>23</v>
      </c>
      <c r="B504" s="100" t="s">
        <v>125</v>
      </c>
      <c r="C504" s="53" t="s">
        <v>30</v>
      </c>
      <c r="D504" s="54"/>
      <c r="E504" s="60"/>
      <c r="F504" s="60"/>
      <c r="G504" s="60"/>
      <c r="H504" s="60"/>
      <c r="I504" s="60"/>
      <c r="J504" s="60"/>
      <c r="K504" s="61" t="s">
        <v>30</v>
      </c>
      <c r="L504" s="62">
        <f>(E504*E500)+(F504*F500)+(G504*G500)+(H504*H500)+(I504*I500)+(J504*J500)</f>
        <v>0</v>
      </c>
      <c r="M504" s="57" t="s">
        <v>119</v>
      </c>
      <c r="N504" s="63" t="b">
        <v>0</v>
      </c>
    </row>
    <row r="505" ht="13.5" customHeight="1">
      <c r="A505" s="103"/>
      <c r="B505" s="59"/>
      <c r="C505" s="53" t="s">
        <v>34</v>
      </c>
      <c r="D505" s="54"/>
      <c r="E505" s="66"/>
      <c r="F505" s="66"/>
      <c r="G505" s="66"/>
      <c r="H505" s="66"/>
      <c r="I505" s="66"/>
      <c r="J505" s="66"/>
      <c r="K505" s="67" t="s">
        <v>35</v>
      </c>
      <c r="L505" s="62">
        <f>(E505*E500)+(F505*F500)+(G505*G500)+(H505*H500)+(I505*I500)+(J505*J500)</f>
        <v>0</v>
      </c>
      <c r="M505" s="57" t="s">
        <v>121</v>
      </c>
      <c r="N505" s="63" t="b">
        <v>0</v>
      </c>
    </row>
    <row r="506" ht="13.5" customHeight="1">
      <c r="A506" s="80"/>
      <c r="B506" s="102" t="s">
        <v>42</v>
      </c>
      <c r="C506" s="70" t="s">
        <v>37</v>
      </c>
      <c r="D506" s="33"/>
      <c r="E506" s="71"/>
      <c r="F506" s="71"/>
      <c r="G506" s="71"/>
      <c r="H506" s="71"/>
      <c r="I506" s="71"/>
      <c r="J506" s="71"/>
      <c r="K506" s="72" t="s">
        <v>38</v>
      </c>
      <c r="L506" s="73">
        <f>L505-L504</f>
        <v>0</v>
      </c>
      <c r="M506" s="74" t="s">
        <v>122</v>
      </c>
      <c r="N506" s="75" t="b">
        <v>0</v>
      </c>
    </row>
    <row r="507" ht="13.5" customHeight="1">
      <c r="A507" s="99" t="s">
        <v>23</v>
      </c>
      <c r="B507" s="100" t="s">
        <v>125</v>
      </c>
      <c r="C507" s="53" t="s">
        <v>30</v>
      </c>
      <c r="D507" s="54"/>
      <c r="E507" s="60"/>
      <c r="F507" s="60"/>
      <c r="G507" s="60"/>
      <c r="H507" s="60"/>
      <c r="I507" s="60"/>
      <c r="J507" s="60"/>
      <c r="K507" s="61" t="s">
        <v>30</v>
      </c>
      <c r="L507" s="62">
        <f>(E507*E500)+(F507*F500)+(G507*G500)+(H507*H500)+(I507*I500)+(J507*J500)</f>
        <v>0</v>
      </c>
      <c r="M507" s="57" t="s">
        <v>119</v>
      </c>
      <c r="N507" s="63" t="b">
        <v>0</v>
      </c>
    </row>
    <row r="508" ht="13.5" customHeight="1">
      <c r="A508" s="103"/>
      <c r="B508" s="59"/>
      <c r="C508" s="53" t="s">
        <v>34</v>
      </c>
      <c r="D508" s="54"/>
      <c r="E508" s="66"/>
      <c r="F508" s="66"/>
      <c r="G508" s="66"/>
      <c r="H508" s="66"/>
      <c r="I508" s="66"/>
      <c r="J508" s="66"/>
      <c r="K508" s="67" t="s">
        <v>35</v>
      </c>
      <c r="L508" s="62">
        <f>(E508*E500)+(F508*F500)+(G508*G500)+(H508*H500)+(I508*I500)+(J508*J500)</f>
        <v>0</v>
      </c>
      <c r="M508" s="57" t="s">
        <v>121</v>
      </c>
      <c r="N508" s="63" t="b">
        <v>0</v>
      </c>
    </row>
    <row r="509" ht="13.5" customHeight="1">
      <c r="A509" s="80"/>
      <c r="B509" s="102" t="s">
        <v>47</v>
      </c>
      <c r="C509" s="70" t="s">
        <v>37</v>
      </c>
      <c r="D509" s="33"/>
      <c r="E509" s="71"/>
      <c r="F509" s="71"/>
      <c r="G509" s="71"/>
      <c r="H509" s="71"/>
      <c r="I509" s="71"/>
      <c r="J509" s="71"/>
      <c r="K509" s="72" t="s">
        <v>38</v>
      </c>
      <c r="L509" s="73">
        <f>L508-L507</f>
        <v>0</v>
      </c>
      <c r="M509" s="74" t="s">
        <v>122</v>
      </c>
      <c r="N509" s="75" t="b">
        <v>0</v>
      </c>
    </row>
    <row r="510" ht="18.75" customHeight="1">
      <c r="A510" s="99" t="s">
        <v>23</v>
      </c>
      <c r="B510" s="100" t="s">
        <v>125</v>
      </c>
      <c r="C510" s="53" t="s">
        <v>30</v>
      </c>
      <c r="D510" s="54"/>
      <c r="E510" s="60"/>
      <c r="F510" s="60"/>
      <c r="G510" s="60"/>
      <c r="H510" s="60"/>
      <c r="I510" s="60"/>
      <c r="J510" s="60"/>
      <c r="K510" s="61" t="s">
        <v>30</v>
      </c>
      <c r="L510" s="62">
        <f>(E510*E500)+(F510*F500)+(G510*G500)+(H510*H500)+(I510*I500)+(J510*J500)</f>
        <v>0</v>
      </c>
      <c r="M510" s="57" t="s">
        <v>119</v>
      </c>
      <c r="N510" s="63" t="b">
        <v>0</v>
      </c>
    </row>
    <row r="511" ht="13.5" customHeight="1">
      <c r="A511" s="103"/>
      <c r="B511" s="59"/>
      <c r="C511" s="53" t="s">
        <v>34</v>
      </c>
      <c r="D511" s="54"/>
      <c r="E511" s="66"/>
      <c r="F511" s="66"/>
      <c r="G511" s="66"/>
      <c r="H511" s="66"/>
      <c r="I511" s="66"/>
      <c r="J511" s="66"/>
      <c r="K511" s="67" t="s">
        <v>35</v>
      </c>
      <c r="L511" s="62">
        <f>(E511*E500)+(F511*F500)+(G511*G500)+(H511*H500)+(I511*I500)+(J511*J500)</f>
        <v>0</v>
      </c>
      <c r="M511" s="57" t="s">
        <v>121</v>
      </c>
      <c r="N511" s="63" t="b">
        <v>0</v>
      </c>
    </row>
    <row r="512" ht="13.5" customHeight="1">
      <c r="A512" s="80"/>
      <c r="B512" s="102" t="s">
        <v>49</v>
      </c>
      <c r="C512" s="70" t="s">
        <v>37</v>
      </c>
      <c r="D512" s="33"/>
      <c r="E512" s="71"/>
      <c r="F512" s="71"/>
      <c r="G512" s="71"/>
      <c r="H512" s="71"/>
      <c r="I512" s="71"/>
      <c r="J512" s="71"/>
      <c r="K512" s="72" t="s">
        <v>38</v>
      </c>
      <c r="L512" s="73">
        <f>L511-L510</f>
        <v>0</v>
      </c>
      <c r="M512" s="74" t="s">
        <v>122</v>
      </c>
      <c r="N512" s="75" t="b">
        <v>0</v>
      </c>
    </row>
    <row r="513" ht="13.5" customHeight="1">
      <c r="A513" s="94" t="s">
        <v>126</v>
      </c>
      <c r="B513" s="95" t="s">
        <v>20</v>
      </c>
      <c r="C513" s="96"/>
      <c r="D513" s="10"/>
      <c r="E513" s="97">
        <f t="shared" ref="E513:J513" si="130">E6</f>
        <v>17</v>
      </c>
      <c r="F513" s="97">
        <f t="shared" si="130"/>
        <v>27</v>
      </c>
      <c r="G513" s="97">
        <f t="shared" si="130"/>
        <v>27</v>
      </c>
      <c r="H513" s="97">
        <f t="shared" si="130"/>
        <v>27</v>
      </c>
      <c r="I513" s="97">
        <f t="shared" si="130"/>
        <v>32</v>
      </c>
      <c r="J513" s="97">
        <f t="shared" si="130"/>
        <v>37</v>
      </c>
      <c r="K513" s="95" t="s">
        <v>21</v>
      </c>
      <c r="L513" s="10"/>
      <c r="M513" s="98" t="s">
        <v>118</v>
      </c>
      <c r="N513" s="10"/>
    </row>
    <row r="514" ht="13.5" customHeight="1">
      <c r="A514" s="99" t="s">
        <v>23</v>
      </c>
      <c r="B514" s="100" t="s">
        <v>126</v>
      </c>
      <c r="C514" s="53" t="s">
        <v>30</v>
      </c>
      <c r="D514" s="54"/>
      <c r="E514" s="60"/>
      <c r="F514" s="60"/>
      <c r="G514" s="60"/>
      <c r="H514" s="60"/>
      <c r="I514" s="60"/>
      <c r="J514" s="60"/>
      <c r="K514" s="61" t="s">
        <v>30</v>
      </c>
      <c r="L514" s="62">
        <f>(E514*E513)+(F514*F513)+(G514*G513)+(H514*H513)+(I514*I513)+(J514*J513)</f>
        <v>0</v>
      </c>
      <c r="M514" s="57" t="s">
        <v>119</v>
      </c>
      <c r="N514" s="63" t="b">
        <v>0</v>
      </c>
    </row>
    <row r="515" ht="15.0" customHeight="1">
      <c r="A515" s="103"/>
      <c r="B515" s="59"/>
      <c r="C515" s="53" t="s">
        <v>34</v>
      </c>
      <c r="D515" s="54"/>
      <c r="E515" s="66"/>
      <c r="F515" s="66"/>
      <c r="G515" s="66"/>
      <c r="H515" s="66"/>
      <c r="I515" s="66"/>
      <c r="J515" s="66"/>
      <c r="K515" s="67" t="s">
        <v>35</v>
      </c>
      <c r="L515" s="62">
        <f>(E515*E513)+(F515*F513)+(G515*G513)+(H515*H513)+(I515*I513)+(J515*J513)</f>
        <v>0</v>
      </c>
      <c r="M515" s="57" t="s">
        <v>121</v>
      </c>
      <c r="N515" s="63" t="b">
        <v>0</v>
      </c>
    </row>
    <row r="516" ht="13.5" customHeight="1">
      <c r="A516" s="80"/>
      <c r="B516" s="102" t="s">
        <v>33</v>
      </c>
      <c r="C516" s="70" t="s">
        <v>37</v>
      </c>
      <c r="D516" s="33"/>
      <c r="E516" s="71"/>
      <c r="F516" s="71"/>
      <c r="G516" s="71"/>
      <c r="H516" s="71"/>
      <c r="I516" s="71"/>
      <c r="J516" s="71"/>
      <c r="K516" s="72" t="s">
        <v>38</v>
      </c>
      <c r="L516" s="73">
        <f>L515-L514</f>
        <v>0</v>
      </c>
      <c r="M516" s="74" t="s">
        <v>122</v>
      </c>
      <c r="N516" s="75" t="b">
        <v>0</v>
      </c>
    </row>
    <row r="517" ht="13.5" customHeight="1">
      <c r="A517" s="99" t="s">
        <v>23</v>
      </c>
      <c r="B517" s="100" t="s">
        <v>126</v>
      </c>
      <c r="C517" s="53" t="s">
        <v>30</v>
      </c>
      <c r="D517" s="54"/>
      <c r="E517" s="60"/>
      <c r="F517" s="60"/>
      <c r="G517" s="60"/>
      <c r="H517" s="60"/>
      <c r="I517" s="60"/>
      <c r="J517" s="60"/>
      <c r="K517" s="61" t="s">
        <v>30</v>
      </c>
      <c r="L517" s="62">
        <f>(E517*E513)+(F517*F513)+(G517*G513)+(H517*H513)+(I517*I513)+(J517*J513)</f>
        <v>0</v>
      </c>
      <c r="M517" s="57" t="s">
        <v>119</v>
      </c>
      <c r="N517" s="63" t="b">
        <v>0</v>
      </c>
    </row>
    <row r="518" ht="13.5" customHeight="1">
      <c r="A518" s="103"/>
      <c r="B518" s="59"/>
      <c r="C518" s="53" t="s">
        <v>34</v>
      </c>
      <c r="D518" s="54"/>
      <c r="E518" s="66"/>
      <c r="F518" s="66"/>
      <c r="G518" s="66"/>
      <c r="H518" s="66"/>
      <c r="I518" s="66"/>
      <c r="J518" s="66"/>
      <c r="K518" s="67" t="s">
        <v>35</v>
      </c>
      <c r="L518" s="62">
        <f>(E518*E513)+(F518*F513)+(G518*G513)+(H518*H513)+(I518*I513)+(J518*J513)</f>
        <v>0</v>
      </c>
      <c r="M518" s="57" t="s">
        <v>121</v>
      </c>
      <c r="N518" s="63" t="b">
        <v>0</v>
      </c>
    </row>
    <row r="519" ht="20.25" customHeight="1">
      <c r="A519" s="80"/>
      <c r="B519" s="102" t="s">
        <v>42</v>
      </c>
      <c r="C519" s="70" t="s">
        <v>37</v>
      </c>
      <c r="D519" s="33"/>
      <c r="E519" s="71"/>
      <c r="F519" s="71"/>
      <c r="G519" s="71"/>
      <c r="H519" s="71"/>
      <c r="I519" s="71"/>
      <c r="J519" s="71"/>
      <c r="K519" s="72" t="s">
        <v>38</v>
      </c>
      <c r="L519" s="73">
        <f>L518-L517</f>
        <v>0</v>
      </c>
      <c r="M519" s="74" t="s">
        <v>122</v>
      </c>
      <c r="N519" s="75" t="b">
        <v>0</v>
      </c>
    </row>
    <row r="520" ht="13.5" customHeight="1">
      <c r="A520" s="99" t="s">
        <v>23</v>
      </c>
      <c r="B520" s="100" t="s">
        <v>126</v>
      </c>
      <c r="C520" s="53" t="s">
        <v>30</v>
      </c>
      <c r="D520" s="54"/>
      <c r="E520" s="60"/>
      <c r="F520" s="60"/>
      <c r="G520" s="60"/>
      <c r="H520" s="60"/>
      <c r="I520" s="60"/>
      <c r="J520" s="60"/>
      <c r="K520" s="61" t="s">
        <v>30</v>
      </c>
      <c r="L520" s="62">
        <f>(E520*E513)+(F520*F513)+(G520*G513)+(H520*H513)+(I520*I513)+(J520*J513)</f>
        <v>0</v>
      </c>
      <c r="M520" s="57" t="s">
        <v>119</v>
      </c>
      <c r="N520" s="63" t="b">
        <v>0</v>
      </c>
    </row>
    <row r="521" ht="13.5" customHeight="1">
      <c r="A521" s="103"/>
      <c r="B521" s="59"/>
      <c r="C521" s="53" t="s">
        <v>34</v>
      </c>
      <c r="D521" s="54"/>
      <c r="E521" s="66"/>
      <c r="F521" s="66"/>
      <c r="G521" s="66"/>
      <c r="H521" s="66"/>
      <c r="I521" s="66"/>
      <c r="J521" s="66"/>
      <c r="K521" s="67" t="s">
        <v>35</v>
      </c>
      <c r="L521" s="62">
        <f>(E521*E513)+(F521*F513)+(G521*G513)+(H521*H513)+(I521*I513)+(J521*J513)</f>
        <v>0</v>
      </c>
      <c r="M521" s="57" t="s">
        <v>121</v>
      </c>
      <c r="N521" s="63" t="b">
        <v>0</v>
      </c>
    </row>
    <row r="522" ht="13.5" customHeight="1">
      <c r="A522" s="80"/>
      <c r="B522" s="102" t="s">
        <v>47</v>
      </c>
      <c r="C522" s="70" t="s">
        <v>37</v>
      </c>
      <c r="D522" s="33"/>
      <c r="E522" s="71"/>
      <c r="F522" s="71"/>
      <c r="G522" s="71"/>
      <c r="H522" s="71"/>
      <c r="I522" s="71"/>
      <c r="J522" s="71"/>
      <c r="K522" s="72" t="s">
        <v>38</v>
      </c>
      <c r="L522" s="73">
        <f>L521-L520</f>
        <v>0</v>
      </c>
      <c r="M522" s="74" t="s">
        <v>122</v>
      </c>
      <c r="N522" s="75" t="b">
        <v>0</v>
      </c>
    </row>
    <row r="523" ht="13.5" customHeight="1">
      <c r="A523" s="99" t="s">
        <v>23</v>
      </c>
      <c r="B523" s="100" t="s">
        <v>126</v>
      </c>
      <c r="C523" s="53" t="s">
        <v>30</v>
      </c>
      <c r="D523" s="54"/>
      <c r="E523" s="60"/>
      <c r="F523" s="60"/>
      <c r="G523" s="60"/>
      <c r="H523" s="60"/>
      <c r="I523" s="60"/>
      <c r="J523" s="60"/>
      <c r="K523" s="61" t="s">
        <v>30</v>
      </c>
      <c r="L523" s="62">
        <f>(E523*E513)+(F523*F513)+(G523*G513)+(H523*H513)+(I523*I513)+(J523*J513)</f>
        <v>0</v>
      </c>
      <c r="M523" s="57" t="s">
        <v>119</v>
      </c>
      <c r="N523" s="63" t="b">
        <v>0</v>
      </c>
    </row>
    <row r="524" ht="13.5" customHeight="1">
      <c r="A524" s="103"/>
      <c r="B524" s="59"/>
      <c r="C524" s="53" t="s">
        <v>34</v>
      </c>
      <c r="D524" s="54"/>
      <c r="E524" s="66"/>
      <c r="F524" s="66"/>
      <c r="G524" s="66"/>
      <c r="H524" s="66"/>
      <c r="I524" s="66"/>
      <c r="J524" s="66"/>
      <c r="K524" s="67" t="s">
        <v>35</v>
      </c>
      <c r="L524" s="62">
        <f>(E524*E513)+(F524*F513)+(G524*G513)+(H524*H513)+(I524*I513)+(J524*J513)</f>
        <v>0</v>
      </c>
      <c r="M524" s="57" t="s">
        <v>121</v>
      </c>
      <c r="N524" s="63" t="b">
        <v>0</v>
      </c>
    </row>
    <row r="525" ht="13.5" customHeight="1">
      <c r="A525" s="80"/>
      <c r="B525" s="102" t="s">
        <v>49</v>
      </c>
      <c r="C525" s="70" t="s">
        <v>37</v>
      </c>
      <c r="D525" s="33"/>
      <c r="E525" s="71"/>
      <c r="F525" s="71"/>
      <c r="G525" s="71"/>
      <c r="H525" s="71"/>
      <c r="I525" s="71"/>
      <c r="J525" s="71"/>
      <c r="K525" s="72" t="s">
        <v>38</v>
      </c>
      <c r="L525" s="73">
        <f>L524-L523</f>
        <v>0</v>
      </c>
      <c r="M525" s="74" t="s">
        <v>122</v>
      </c>
      <c r="N525" s="75" t="b">
        <v>0</v>
      </c>
    </row>
    <row r="526" ht="13.5" customHeight="1">
      <c r="A526" s="94" t="s">
        <v>127</v>
      </c>
      <c r="B526" s="95" t="s">
        <v>20</v>
      </c>
      <c r="C526" s="96"/>
      <c r="D526" s="10"/>
      <c r="E526" s="97">
        <f t="shared" ref="E526:J526" si="131">E6</f>
        <v>17</v>
      </c>
      <c r="F526" s="97">
        <f t="shared" si="131"/>
        <v>27</v>
      </c>
      <c r="G526" s="97">
        <f t="shared" si="131"/>
        <v>27</v>
      </c>
      <c r="H526" s="97">
        <f t="shared" si="131"/>
        <v>27</v>
      </c>
      <c r="I526" s="97">
        <f t="shared" si="131"/>
        <v>32</v>
      </c>
      <c r="J526" s="97">
        <f t="shared" si="131"/>
        <v>37</v>
      </c>
      <c r="K526" s="95" t="s">
        <v>21</v>
      </c>
      <c r="L526" s="10"/>
      <c r="M526" s="98" t="s">
        <v>118</v>
      </c>
      <c r="N526" s="10"/>
    </row>
    <row r="527" ht="13.5" customHeight="1">
      <c r="A527" s="99" t="s">
        <v>23</v>
      </c>
      <c r="B527" s="100" t="s">
        <v>127</v>
      </c>
      <c r="C527" s="53" t="s">
        <v>30</v>
      </c>
      <c r="D527" s="54"/>
      <c r="E527" s="60"/>
      <c r="F527" s="60"/>
      <c r="G527" s="60"/>
      <c r="H527" s="60"/>
      <c r="I527" s="60"/>
      <c r="J527" s="60"/>
      <c r="K527" s="61" t="s">
        <v>30</v>
      </c>
      <c r="L527" s="62">
        <f>(E527*E526)+(F527*F526)+(G527*G526)+(H527*H526)+(I527*I526)+(J527*J526)</f>
        <v>0</v>
      </c>
      <c r="M527" s="57" t="s">
        <v>119</v>
      </c>
      <c r="N527" s="63" t="b">
        <v>0</v>
      </c>
    </row>
    <row r="528" ht="13.5" customHeight="1">
      <c r="A528" s="103"/>
      <c r="B528" s="59"/>
      <c r="C528" s="53" t="s">
        <v>34</v>
      </c>
      <c r="D528" s="54"/>
      <c r="E528" s="66"/>
      <c r="F528" s="66"/>
      <c r="G528" s="66"/>
      <c r="H528" s="66"/>
      <c r="I528" s="66"/>
      <c r="J528" s="66"/>
      <c r="K528" s="67" t="s">
        <v>35</v>
      </c>
      <c r="L528" s="62">
        <f>(E528*E526)+(F528*F526)+(G528*G526)+(H528*H526)+(I528*I526)+(J528*J526)</f>
        <v>0</v>
      </c>
      <c r="M528" s="57" t="s">
        <v>121</v>
      </c>
      <c r="N528" s="63" t="b">
        <v>0</v>
      </c>
    </row>
    <row r="529" ht="13.5" customHeight="1">
      <c r="A529" s="80"/>
      <c r="B529" s="102" t="s">
        <v>33</v>
      </c>
      <c r="C529" s="70" t="s">
        <v>37</v>
      </c>
      <c r="D529" s="33"/>
      <c r="E529" s="71"/>
      <c r="F529" s="71"/>
      <c r="G529" s="71"/>
      <c r="H529" s="71"/>
      <c r="I529" s="71"/>
      <c r="J529" s="71"/>
      <c r="K529" s="72" t="s">
        <v>38</v>
      </c>
      <c r="L529" s="73">
        <f>L528-L527</f>
        <v>0</v>
      </c>
      <c r="M529" s="74" t="s">
        <v>122</v>
      </c>
      <c r="N529" s="75" t="b">
        <v>0</v>
      </c>
    </row>
    <row r="530" ht="13.5" customHeight="1">
      <c r="A530" s="99" t="s">
        <v>23</v>
      </c>
      <c r="B530" s="100" t="s">
        <v>127</v>
      </c>
      <c r="C530" s="53" t="s">
        <v>30</v>
      </c>
      <c r="D530" s="54"/>
      <c r="E530" s="60"/>
      <c r="F530" s="60"/>
      <c r="G530" s="60"/>
      <c r="H530" s="60"/>
      <c r="I530" s="60"/>
      <c r="J530" s="60"/>
      <c r="K530" s="61" t="s">
        <v>30</v>
      </c>
      <c r="L530" s="62">
        <f>(E530*E526)+(F530*F526)+(G530*G526)+(H530*H526)+(I530*I526)+(J530*J526)</f>
        <v>0</v>
      </c>
      <c r="M530" s="57" t="s">
        <v>119</v>
      </c>
      <c r="N530" s="63" t="b">
        <v>0</v>
      </c>
    </row>
    <row r="531" ht="19.5" customHeight="1">
      <c r="A531" s="103"/>
      <c r="B531" s="59"/>
      <c r="C531" s="53" t="s">
        <v>34</v>
      </c>
      <c r="D531" s="54"/>
      <c r="E531" s="66"/>
      <c r="F531" s="66"/>
      <c r="G531" s="66"/>
      <c r="H531" s="66"/>
      <c r="I531" s="66"/>
      <c r="J531" s="66"/>
      <c r="K531" s="67" t="s">
        <v>35</v>
      </c>
      <c r="L531" s="62">
        <f>(E531*E526)+(F531*F526)+(G531*G526)+(H531*H526)+(I531*I526)+(J531*J526)</f>
        <v>0</v>
      </c>
      <c r="M531" s="57" t="s">
        <v>121</v>
      </c>
      <c r="N531" s="63" t="b">
        <v>0</v>
      </c>
    </row>
    <row r="532" ht="13.5" customHeight="1">
      <c r="A532" s="80"/>
      <c r="B532" s="102" t="s">
        <v>42</v>
      </c>
      <c r="C532" s="70" t="s">
        <v>37</v>
      </c>
      <c r="D532" s="33"/>
      <c r="E532" s="71"/>
      <c r="F532" s="71"/>
      <c r="G532" s="71"/>
      <c r="H532" s="71"/>
      <c r="I532" s="71"/>
      <c r="J532" s="71"/>
      <c r="K532" s="72" t="s">
        <v>38</v>
      </c>
      <c r="L532" s="73">
        <f>L531-L530</f>
        <v>0</v>
      </c>
      <c r="M532" s="74" t="s">
        <v>122</v>
      </c>
      <c r="N532" s="75" t="b">
        <v>0</v>
      </c>
    </row>
    <row r="533" ht="13.5" customHeight="1">
      <c r="A533" s="99" t="s">
        <v>23</v>
      </c>
      <c r="B533" s="100" t="s">
        <v>127</v>
      </c>
      <c r="C533" s="53" t="s">
        <v>30</v>
      </c>
      <c r="D533" s="54"/>
      <c r="E533" s="60"/>
      <c r="F533" s="60"/>
      <c r="G533" s="60"/>
      <c r="H533" s="60"/>
      <c r="I533" s="60"/>
      <c r="J533" s="60"/>
      <c r="K533" s="61" t="s">
        <v>30</v>
      </c>
      <c r="L533" s="62">
        <f>(E533*E526)+(F533*F526)+(G533*G526)+(H533*H526)+(I533*I526)+(J533*J526)</f>
        <v>0</v>
      </c>
      <c r="M533" s="57" t="s">
        <v>119</v>
      </c>
      <c r="N533" s="63" t="b">
        <v>0</v>
      </c>
    </row>
    <row r="534" ht="13.5" customHeight="1">
      <c r="A534" s="103"/>
      <c r="B534" s="59"/>
      <c r="C534" s="53" t="s">
        <v>34</v>
      </c>
      <c r="D534" s="54"/>
      <c r="E534" s="66"/>
      <c r="F534" s="66"/>
      <c r="G534" s="66"/>
      <c r="H534" s="66"/>
      <c r="I534" s="66"/>
      <c r="J534" s="66"/>
      <c r="K534" s="67" t="s">
        <v>35</v>
      </c>
      <c r="L534" s="62">
        <f>(E534*E526)+(F534*F526)+(G534*G526)+(H534*H526)+(I534*I526)+(J534*J526)</f>
        <v>0</v>
      </c>
      <c r="M534" s="57" t="s">
        <v>121</v>
      </c>
      <c r="N534" s="63" t="b">
        <v>0</v>
      </c>
    </row>
    <row r="535" ht="15.0" customHeight="1">
      <c r="A535" s="80"/>
      <c r="B535" s="102" t="s">
        <v>47</v>
      </c>
      <c r="C535" s="70" t="s">
        <v>37</v>
      </c>
      <c r="D535" s="33"/>
      <c r="E535" s="71"/>
      <c r="F535" s="71"/>
      <c r="G535" s="71"/>
      <c r="H535" s="71"/>
      <c r="I535" s="71"/>
      <c r="J535" s="71"/>
      <c r="K535" s="72" t="s">
        <v>38</v>
      </c>
      <c r="L535" s="73">
        <f>L534-L533</f>
        <v>0</v>
      </c>
      <c r="M535" s="74" t="s">
        <v>122</v>
      </c>
      <c r="N535" s="75" t="b">
        <v>0</v>
      </c>
    </row>
    <row r="536" ht="13.5" customHeight="1">
      <c r="A536" s="99" t="s">
        <v>23</v>
      </c>
      <c r="B536" s="100" t="s">
        <v>127</v>
      </c>
      <c r="C536" s="53" t="s">
        <v>30</v>
      </c>
      <c r="D536" s="54"/>
      <c r="E536" s="60"/>
      <c r="F536" s="60"/>
      <c r="G536" s="60"/>
      <c r="H536" s="60"/>
      <c r="I536" s="60"/>
      <c r="J536" s="60"/>
      <c r="K536" s="61" t="s">
        <v>30</v>
      </c>
      <c r="L536" s="62">
        <f>(E536*E526)+(F536*F526)+(G536*G526)+(H536*H526)+(I536*I526)+(J536*J526)</f>
        <v>0</v>
      </c>
      <c r="M536" s="57" t="s">
        <v>119</v>
      </c>
      <c r="N536" s="63" t="b">
        <v>0</v>
      </c>
    </row>
    <row r="537" ht="13.5" customHeight="1">
      <c r="A537" s="103"/>
      <c r="B537" s="59"/>
      <c r="C537" s="53" t="s">
        <v>34</v>
      </c>
      <c r="D537" s="54"/>
      <c r="E537" s="66"/>
      <c r="F537" s="66"/>
      <c r="G537" s="66"/>
      <c r="H537" s="66"/>
      <c r="I537" s="66"/>
      <c r="J537" s="66"/>
      <c r="K537" s="67" t="s">
        <v>35</v>
      </c>
      <c r="L537" s="62">
        <f>(E537*E526)+(F537*F526)+(G537*G526)+(H537*H526)+(I537*I526)+(J537*J526)</f>
        <v>0</v>
      </c>
      <c r="M537" s="57" t="s">
        <v>121</v>
      </c>
      <c r="N537" s="63" t="b">
        <v>0</v>
      </c>
    </row>
    <row r="538" ht="13.5" customHeight="1">
      <c r="A538" s="80"/>
      <c r="B538" s="102" t="s">
        <v>49</v>
      </c>
      <c r="C538" s="70" t="s">
        <v>37</v>
      </c>
      <c r="D538" s="33"/>
      <c r="E538" s="71"/>
      <c r="F538" s="71"/>
      <c r="G538" s="71"/>
      <c r="H538" s="71"/>
      <c r="I538" s="71"/>
      <c r="J538" s="71"/>
      <c r="K538" s="72" t="s">
        <v>38</v>
      </c>
      <c r="L538" s="73">
        <f>L537-L536</f>
        <v>0</v>
      </c>
      <c r="M538" s="74" t="s">
        <v>122</v>
      </c>
      <c r="N538" s="75" t="b">
        <v>0</v>
      </c>
    </row>
    <row r="539" ht="18.75" customHeight="1">
      <c r="A539" s="94" t="s">
        <v>128</v>
      </c>
      <c r="B539" s="95" t="s">
        <v>20</v>
      </c>
      <c r="C539" s="96"/>
      <c r="D539" s="10"/>
      <c r="E539" s="97">
        <f t="shared" ref="E539:J539" si="132">E6</f>
        <v>17</v>
      </c>
      <c r="F539" s="97">
        <f t="shared" si="132"/>
        <v>27</v>
      </c>
      <c r="G539" s="97">
        <f t="shared" si="132"/>
        <v>27</v>
      </c>
      <c r="H539" s="97">
        <f t="shared" si="132"/>
        <v>27</v>
      </c>
      <c r="I539" s="97">
        <f t="shared" si="132"/>
        <v>32</v>
      </c>
      <c r="J539" s="97">
        <f t="shared" si="132"/>
        <v>37</v>
      </c>
      <c r="K539" s="95" t="s">
        <v>21</v>
      </c>
      <c r="L539" s="10"/>
      <c r="M539" s="98" t="s">
        <v>118</v>
      </c>
      <c r="N539" s="10"/>
    </row>
    <row r="540" ht="13.5" customHeight="1">
      <c r="A540" s="99" t="s">
        <v>23</v>
      </c>
      <c r="B540" s="100" t="s">
        <v>128</v>
      </c>
      <c r="C540" s="53" t="s">
        <v>30</v>
      </c>
      <c r="D540" s="54"/>
      <c r="E540" s="60"/>
      <c r="F540" s="60"/>
      <c r="G540" s="60"/>
      <c r="H540" s="60"/>
      <c r="I540" s="60"/>
      <c r="J540" s="60"/>
      <c r="K540" s="61" t="s">
        <v>30</v>
      </c>
      <c r="L540" s="62">
        <f>(E540*E539)+(F540*F539)+(G540*G539)+(H540*H539)+(I540*I539)+(J540*J539)</f>
        <v>0</v>
      </c>
      <c r="M540" s="57" t="s">
        <v>119</v>
      </c>
      <c r="N540" s="63" t="b">
        <v>0</v>
      </c>
    </row>
    <row r="541" ht="13.5" customHeight="1">
      <c r="A541" s="103"/>
      <c r="B541" s="59"/>
      <c r="C541" s="53" t="s">
        <v>34</v>
      </c>
      <c r="D541" s="54"/>
      <c r="E541" s="66"/>
      <c r="F541" s="66"/>
      <c r="G541" s="66"/>
      <c r="H541" s="66"/>
      <c r="I541" s="66"/>
      <c r="J541" s="66"/>
      <c r="K541" s="67" t="s">
        <v>35</v>
      </c>
      <c r="L541" s="62">
        <f>(E541*E539)+(F541*F539)+(G541*G539)+(H541*H539)+(I541*I539)+(J541*J539)</f>
        <v>0</v>
      </c>
      <c r="M541" s="57" t="s">
        <v>121</v>
      </c>
      <c r="N541" s="63" t="b">
        <v>0</v>
      </c>
    </row>
    <row r="542" ht="20.25" customHeight="1">
      <c r="A542" s="80"/>
      <c r="B542" s="102" t="s">
        <v>33</v>
      </c>
      <c r="C542" s="70" t="s">
        <v>37</v>
      </c>
      <c r="D542" s="33"/>
      <c r="E542" s="71"/>
      <c r="F542" s="71"/>
      <c r="G542" s="71"/>
      <c r="H542" s="71"/>
      <c r="I542" s="71"/>
      <c r="J542" s="71"/>
      <c r="K542" s="72" t="s">
        <v>38</v>
      </c>
      <c r="L542" s="73">
        <f>L541-L540</f>
        <v>0</v>
      </c>
      <c r="M542" s="74" t="s">
        <v>122</v>
      </c>
      <c r="N542" s="75" t="b">
        <v>0</v>
      </c>
    </row>
    <row r="543" ht="13.5" customHeight="1">
      <c r="A543" s="99" t="s">
        <v>23</v>
      </c>
      <c r="B543" s="100" t="s">
        <v>128</v>
      </c>
      <c r="C543" s="53" t="s">
        <v>30</v>
      </c>
      <c r="D543" s="54"/>
      <c r="E543" s="60"/>
      <c r="F543" s="60"/>
      <c r="G543" s="60"/>
      <c r="H543" s="60"/>
      <c r="I543" s="60"/>
      <c r="J543" s="60"/>
      <c r="K543" s="61" t="s">
        <v>30</v>
      </c>
      <c r="L543" s="62">
        <f>(E543*E539)+(F543*F539)+(G543*G539)+(H543*H539)+(I543*I539)+(J543*J539)</f>
        <v>0</v>
      </c>
      <c r="M543" s="57" t="s">
        <v>119</v>
      </c>
      <c r="N543" s="63" t="b">
        <v>0</v>
      </c>
    </row>
    <row r="544" ht="13.5" customHeight="1">
      <c r="A544" s="103"/>
      <c r="B544" s="59"/>
      <c r="C544" s="53" t="s">
        <v>34</v>
      </c>
      <c r="D544" s="54"/>
      <c r="E544" s="66"/>
      <c r="F544" s="66"/>
      <c r="G544" s="66"/>
      <c r="H544" s="66"/>
      <c r="I544" s="66"/>
      <c r="J544" s="66"/>
      <c r="K544" s="67" t="s">
        <v>35</v>
      </c>
      <c r="L544" s="62">
        <f>(E544*E539)+(F544*F539)+(G544*G539)+(H544*H539)+(I544*I539)+(J544*J539)</f>
        <v>0</v>
      </c>
      <c r="M544" s="57" t="s">
        <v>121</v>
      </c>
      <c r="N544" s="63" t="b">
        <v>0</v>
      </c>
    </row>
    <row r="545" ht="13.5" customHeight="1">
      <c r="A545" s="80"/>
      <c r="B545" s="102" t="s">
        <v>42</v>
      </c>
      <c r="C545" s="70" t="s">
        <v>37</v>
      </c>
      <c r="D545" s="33"/>
      <c r="E545" s="71"/>
      <c r="F545" s="71"/>
      <c r="G545" s="71"/>
      <c r="H545" s="71"/>
      <c r="I545" s="71"/>
      <c r="J545" s="71"/>
      <c r="K545" s="72" t="s">
        <v>38</v>
      </c>
      <c r="L545" s="73">
        <f>L544-L543</f>
        <v>0</v>
      </c>
      <c r="M545" s="74" t="s">
        <v>122</v>
      </c>
      <c r="N545" s="75" t="b">
        <v>0</v>
      </c>
    </row>
    <row r="546" ht="13.5" customHeight="1">
      <c r="A546" s="99" t="s">
        <v>23</v>
      </c>
      <c r="B546" s="100" t="s">
        <v>128</v>
      </c>
      <c r="C546" s="53" t="s">
        <v>30</v>
      </c>
      <c r="D546" s="54"/>
      <c r="E546" s="60"/>
      <c r="F546" s="60"/>
      <c r="G546" s="60"/>
      <c r="H546" s="60"/>
      <c r="I546" s="60"/>
      <c r="J546" s="60"/>
      <c r="K546" s="61" t="s">
        <v>30</v>
      </c>
      <c r="L546" s="62">
        <f>(E546*E539)+(F546*F539)+(G546*G539)+(H546*H539)+(I546*I539)+(J546*J539)</f>
        <v>0</v>
      </c>
      <c r="M546" s="57" t="s">
        <v>119</v>
      </c>
      <c r="N546" s="63" t="b">
        <v>0</v>
      </c>
    </row>
    <row r="547" ht="15.0" customHeight="1">
      <c r="A547" s="103"/>
      <c r="B547" s="59"/>
      <c r="C547" s="53" t="s">
        <v>34</v>
      </c>
      <c r="D547" s="54"/>
      <c r="E547" s="66"/>
      <c r="F547" s="66"/>
      <c r="G547" s="66"/>
      <c r="H547" s="66"/>
      <c r="I547" s="66"/>
      <c r="J547" s="66"/>
      <c r="K547" s="67" t="s">
        <v>35</v>
      </c>
      <c r="L547" s="62">
        <f>(E547*E539)+(F547*F539)+(G547*G539)+(H547*H539)+(I547*I539)+(J547*J539)</f>
        <v>0</v>
      </c>
      <c r="M547" s="57" t="s">
        <v>121</v>
      </c>
      <c r="N547" s="63" t="b">
        <v>0</v>
      </c>
    </row>
    <row r="548" ht="13.5" customHeight="1">
      <c r="A548" s="80"/>
      <c r="B548" s="102" t="s">
        <v>47</v>
      </c>
      <c r="C548" s="70" t="s">
        <v>37</v>
      </c>
      <c r="D548" s="33"/>
      <c r="E548" s="71"/>
      <c r="F548" s="71"/>
      <c r="G548" s="71"/>
      <c r="H548" s="71"/>
      <c r="I548" s="71"/>
      <c r="J548" s="71"/>
      <c r="K548" s="72" t="s">
        <v>38</v>
      </c>
      <c r="L548" s="73">
        <f>L547-L546</f>
        <v>0</v>
      </c>
      <c r="M548" s="74" t="s">
        <v>122</v>
      </c>
      <c r="N548" s="75" t="b">
        <v>0</v>
      </c>
    </row>
    <row r="549" ht="13.5" customHeight="1">
      <c r="A549" s="99" t="s">
        <v>23</v>
      </c>
      <c r="B549" s="100" t="s">
        <v>128</v>
      </c>
      <c r="C549" s="53" t="s">
        <v>30</v>
      </c>
      <c r="D549" s="54"/>
      <c r="E549" s="60"/>
      <c r="F549" s="60"/>
      <c r="G549" s="60"/>
      <c r="H549" s="60"/>
      <c r="I549" s="60"/>
      <c r="J549" s="60"/>
      <c r="K549" s="61" t="s">
        <v>30</v>
      </c>
      <c r="L549" s="62">
        <f>(E549*E539)+(F549*F539)+(G549*G539)+(H549*H539)+(I549*I539)+(J549*J539)</f>
        <v>0</v>
      </c>
      <c r="M549" s="57" t="s">
        <v>119</v>
      </c>
      <c r="N549" s="63" t="b">
        <v>0</v>
      </c>
    </row>
    <row r="550" ht="13.5" customHeight="1">
      <c r="A550" s="103"/>
      <c r="B550" s="59"/>
      <c r="C550" s="53" t="s">
        <v>34</v>
      </c>
      <c r="D550" s="54"/>
      <c r="E550" s="66"/>
      <c r="F550" s="66"/>
      <c r="G550" s="66"/>
      <c r="H550" s="66"/>
      <c r="I550" s="66"/>
      <c r="J550" s="66"/>
      <c r="K550" s="67" t="s">
        <v>35</v>
      </c>
      <c r="L550" s="62">
        <f>(E550*E539)+(F550*F539)+(G550*G539)+(H550*H539)+(I550*I539)+(J550*J539)</f>
        <v>0</v>
      </c>
      <c r="M550" s="57" t="s">
        <v>121</v>
      </c>
      <c r="N550" s="63" t="b">
        <v>0</v>
      </c>
    </row>
    <row r="551" ht="18.0" customHeight="1">
      <c r="A551" s="80"/>
      <c r="B551" s="102" t="s">
        <v>49</v>
      </c>
      <c r="C551" s="70" t="s">
        <v>37</v>
      </c>
      <c r="D551" s="33"/>
      <c r="E551" s="71"/>
      <c r="F551" s="71"/>
      <c r="G551" s="71"/>
      <c r="H551" s="71"/>
      <c r="I551" s="71"/>
      <c r="J551" s="71"/>
      <c r="K551" s="72" t="s">
        <v>38</v>
      </c>
      <c r="L551" s="73">
        <f>L550-L549</f>
        <v>0</v>
      </c>
      <c r="M551" s="74" t="s">
        <v>122</v>
      </c>
      <c r="N551" s="75" t="b">
        <v>0</v>
      </c>
    </row>
    <row r="552" ht="13.5" customHeight="1">
      <c r="A552" s="94" t="s">
        <v>129</v>
      </c>
      <c r="B552" s="95" t="s">
        <v>20</v>
      </c>
      <c r="C552" s="96"/>
      <c r="D552" s="10"/>
      <c r="E552" s="97">
        <f t="shared" ref="E552:J552" si="133">E6</f>
        <v>17</v>
      </c>
      <c r="F552" s="97">
        <f t="shared" si="133"/>
        <v>27</v>
      </c>
      <c r="G552" s="97">
        <f t="shared" si="133"/>
        <v>27</v>
      </c>
      <c r="H552" s="97">
        <f t="shared" si="133"/>
        <v>27</v>
      </c>
      <c r="I552" s="97">
        <f t="shared" si="133"/>
        <v>32</v>
      </c>
      <c r="J552" s="97">
        <f t="shared" si="133"/>
        <v>37</v>
      </c>
      <c r="K552" s="95" t="s">
        <v>21</v>
      </c>
      <c r="L552" s="10"/>
      <c r="M552" s="98" t="s">
        <v>118</v>
      </c>
      <c r="N552" s="10"/>
    </row>
    <row r="553" ht="13.5" customHeight="1">
      <c r="A553" s="99" t="s">
        <v>23</v>
      </c>
      <c r="B553" s="100" t="s">
        <v>129</v>
      </c>
      <c r="C553" s="53" t="s">
        <v>30</v>
      </c>
      <c r="D553" s="54"/>
      <c r="E553" s="60"/>
      <c r="F553" s="60"/>
      <c r="G553" s="60"/>
      <c r="H553" s="60"/>
      <c r="I553" s="60"/>
      <c r="J553" s="60"/>
      <c r="K553" s="61" t="s">
        <v>30</v>
      </c>
      <c r="L553" s="62">
        <f>(E553*E552)+(F553*F552)+(G553*G552)+(H553*H552)+(I553*I552)+(J553*J552)</f>
        <v>0</v>
      </c>
      <c r="M553" s="57" t="s">
        <v>119</v>
      </c>
      <c r="N553" s="63" t="b">
        <v>0</v>
      </c>
    </row>
    <row r="554" ht="18.0" customHeight="1">
      <c r="A554" s="103"/>
      <c r="B554" s="59"/>
      <c r="C554" s="53" t="s">
        <v>34</v>
      </c>
      <c r="D554" s="54"/>
      <c r="E554" s="66"/>
      <c r="F554" s="66"/>
      <c r="G554" s="66"/>
      <c r="H554" s="66"/>
      <c r="I554" s="66"/>
      <c r="J554" s="66"/>
      <c r="K554" s="67" t="s">
        <v>35</v>
      </c>
      <c r="L554" s="62">
        <f>(E554*E552)+(F554*F552)+(G554*G552)+(H554*H552)+(I554*I552)+(J554*J552)</f>
        <v>0</v>
      </c>
      <c r="M554" s="57" t="s">
        <v>121</v>
      </c>
      <c r="N554" s="63" t="b">
        <v>0</v>
      </c>
    </row>
    <row r="555" ht="13.5" customHeight="1">
      <c r="A555" s="80"/>
      <c r="B555" s="102" t="s">
        <v>33</v>
      </c>
      <c r="C555" s="70" t="s">
        <v>37</v>
      </c>
      <c r="D555" s="33"/>
      <c r="E555" s="71"/>
      <c r="F555" s="71"/>
      <c r="G555" s="71"/>
      <c r="H555" s="71"/>
      <c r="I555" s="71"/>
      <c r="J555" s="71"/>
      <c r="K555" s="72" t="s">
        <v>38</v>
      </c>
      <c r="L555" s="73">
        <f>L554-L553</f>
        <v>0</v>
      </c>
      <c r="M555" s="74" t="s">
        <v>122</v>
      </c>
      <c r="N555" s="75" t="b">
        <v>0</v>
      </c>
    </row>
    <row r="556" ht="13.5" customHeight="1">
      <c r="A556" s="99" t="s">
        <v>23</v>
      </c>
      <c r="B556" s="100" t="s">
        <v>129</v>
      </c>
      <c r="C556" s="53" t="s">
        <v>30</v>
      </c>
      <c r="D556" s="54"/>
      <c r="E556" s="60"/>
      <c r="F556" s="60"/>
      <c r="G556" s="60"/>
      <c r="H556" s="60"/>
      <c r="I556" s="60"/>
      <c r="J556" s="60"/>
      <c r="K556" s="61" t="s">
        <v>30</v>
      </c>
      <c r="L556" s="62">
        <f>(E556*E552)+(F556*F552)+(G556*G552)+(H556*H552)+(I556*I552)+(J556*J552)</f>
        <v>0</v>
      </c>
      <c r="M556" s="57" t="s">
        <v>119</v>
      </c>
      <c r="N556" s="63" t="b">
        <v>0</v>
      </c>
    </row>
    <row r="557" ht="13.5" customHeight="1">
      <c r="A557" s="103"/>
      <c r="B557" s="59"/>
      <c r="C557" s="53" t="s">
        <v>34</v>
      </c>
      <c r="D557" s="54"/>
      <c r="E557" s="66"/>
      <c r="F557" s="66"/>
      <c r="G557" s="66"/>
      <c r="H557" s="66"/>
      <c r="I557" s="66"/>
      <c r="J557" s="66"/>
      <c r="K557" s="67" t="s">
        <v>35</v>
      </c>
      <c r="L557" s="62">
        <f>(E557*E552)+(F557*F552)+(G557*G552)+(H557*H552)+(I557*I552)+(J557*J552)</f>
        <v>0</v>
      </c>
      <c r="M557" s="57" t="s">
        <v>121</v>
      </c>
      <c r="N557" s="63" t="b">
        <v>0</v>
      </c>
    </row>
    <row r="558" ht="18.75" customHeight="1">
      <c r="A558" s="80"/>
      <c r="B558" s="102" t="s">
        <v>42</v>
      </c>
      <c r="C558" s="70" t="s">
        <v>37</v>
      </c>
      <c r="D558" s="33"/>
      <c r="E558" s="71"/>
      <c r="F558" s="71"/>
      <c r="G558" s="71"/>
      <c r="H558" s="71"/>
      <c r="I558" s="71"/>
      <c r="J558" s="71"/>
      <c r="K558" s="72" t="s">
        <v>38</v>
      </c>
      <c r="L558" s="73">
        <f>L557-L556</f>
        <v>0</v>
      </c>
      <c r="M558" s="74" t="s">
        <v>122</v>
      </c>
      <c r="N558" s="75" t="b">
        <v>0</v>
      </c>
    </row>
    <row r="559" ht="13.5" customHeight="1">
      <c r="A559" s="99" t="s">
        <v>23</v>
      </c>
      <c r="B559" s="100" t="s">
        <v>129</v>
      </c>
      <c r="C559" s="53" t="s">
        <v>30</v>
      </c>
      <c r="D559" s="54"/>
      <c r="E559" s="60"/>
      <c r="F559" s="60"/>
      <c r="G559" s="60"/>
      <c r="H559" s="60"/>
      <c r="I559" s="60"/>
      <c r="J559" s="60"/>
      <c r="K559" s="61" t="s">
        <v>30</v>
      </c>
      <c r="L559" s="62">
        <f>(E559*E552)+(F559*F552)+(G559*G552)+(H559*H552)+(I559*I552)+(J559*J552)</f>
        <v>0</v>
      </c>
      <c r="M559" s="57" t="s">
        <v>119</v>
      </c>
      <c r="N559" s="63" t="b">
        <v>0</v>
      </c>
    </row>
    <row r="560" ht="13.5" customHeight="1">
      <c r="A560" s="103"/>
      <c r="B560" s="59"/>
      <c r="C560" s="53" t="s">
        <v>34</v>
      </c>
      <c r="D560" s="54"/>
      <c r="E560" s="66"/>
      <c r="F560" s="66"/>
      <c r="G560" s="66"/>
      <c r="H560" s="66"/>
      <c r="I560" s="66"/>
      <c r="J560" s="66"/>
      <c r="K560" s="67" t="s">
        <v>35</v>
      </c>
      <c r="L560" s="62">
        <f>(E560*E552)+(F560*F552)+(G560*G552)+(H560*H552)+(I560*I552)+(J560*J552)</f>
        <v>0</v>
      </c>
      <c r="M560" s="57" t="s">
        <v>121</v>
      </c>
      <c r="N560" s="63" t="b">
        <v>0</v>
      </c>
    </row>
    <row r="561" ht="13.5" customHeight="1">
      <c r="A561" s="80"/>
      <c r="B561" s="102" t="s">
        <v>47</v>
      </c>
      <c r="C561" s="70" t="s">
        <v>37</v>
      </c>
      <c r="D561" s="33"/>
      <c r="E561" s="71"/>
      <c r="F561" s="71"/>
      <c r="G561" s="71"/>
      <c r="H561" s="71"/>
      <c r="I561" s="71"/>
      <c r="J561" s="71"/>
      <c r="K561" s="72" t="s">
        <v>38</v>
      </c>
      <c r="L561" s="73">
        <f>L560-L559</f>
        <v>0</v>
      </c>
      <c r="M561" s="74" t="s">
        <v>122</v>
      </c>
      <c r="N561" s="75" t="b">
        <v>0</v>
      </c>
    </row>
    <row r="562" ht="13.5" customHeight="1">
      <c r="A562" s="99" t="s">
        <v>23</v>
      </c>
      <c r="B562" s="100" t="s">
        <v>129</v>
      </c>
      <c r="C562" s="53" t="s">
        <v>30</v>
      </c>
      <c r="D562" s="54"/>
      <c r="E562" s="60"/>
      <c r="F562" s="60"/>
      <c r="G562" s="60"/>
      <c r="H562" s="60"/>
      <c r="I562" s="60"/>
      <c r="J562" s="60"/>
      <c r="K562" s="61" t="s">
        <v>30</v>
      </c>
      <c r="L562" s="62">
        <f>(E562*E552)+(F562*F552)+(G562*G552)+(H562*H552)+(I562*I552)+(J562*J552)</f>
        <v>0</v>
      </c>
      <c r="M562" s="57" t="s">
        <v>119</v>
      </c>
      <c r="N562" s="63" t="b">
        <v>0</v>
      </c>
    </row>
    <row r="563" ht="15.0" customHeight="1">
      <c r="A563" s="103"/>
      <c r="B563" s="59"/>
      <c r="C563" s="53" t="s">
        <v>34</v>
      </c>
      <c r="D563" s="54"/>
      <c r="E563" s="66"/>
      <c r="F563" s="66"/>
      <c r="G563" s="66"/>
      <c r="H563" s="66"/>
      <c r="I563" s="66"/>
      <c r="J563" s="66"/>
      <c r="K563" s="67" t="s">
        <v>35</v>
      </c>
      <c r="L563" s="62">
        <f>(E563*E552)+(F563*F552)+(G563*G552)+(H563*H552)+(I563*I552)+(J563*J552)</f>
        <v>0</v>
      </c>
      <c r="M563" s="57" t="s">
        <v>121</v>
      </c>
      <c r="N563" s="63" t="b">
        <v>0</v>
      </c>
    </row>
    <row r="564" ht="13.5" customHeight="1">
      <c r="A564" s="80"/>
      <c r="B564" s="102" t="s">
        <v>49</v>
      </c>
      <c r="C564" s="70" t="s">
        <v>37</v>
      </c>
      <c r="D564" s="33"/>
      <c r="E564" s="71"/>
      <c r="F564" s="71"/>
      <c r="G564" s="71"/>
      <c r="H564" s="71"/>
      <c r="I564" s="71"/>
      <c r="J564" s="71"/>
      <c r="K564" s="72" t="s">
        <v>38</v>
      </c>
      <c r="L564" s="73">
        <f>L563-L562</f>
        <v>0</v>
      </c>
      <c r="M564" s="74" t="s">
        <v>122</v>
      </c>
      <c r="N564" s="75" t="b">
        <v>0</v>
      </c>
    </row>
    <row r="565" ht="13.5" customHeight="1">
      <c r="A565" s="94" t="s">
        <v>130</v>
      </c>
      <c r="B565" s="95" t="s">
        <v>20</v>
      </c>
      <c r="C565" s="96"/>
      <c r="D565" s="10"/>
      <c r="E565" s="97">
        <f t="shared" ref="E565:J565" si="134">E6</f>
        <v>17</v>
      </c>
      <c r="F565" s="97">
        <f t="shared" si="134"/>
        <v>27</v>
      </c>
      <c r="G565" s="97">
        <f t="shared" si="134"/>
        <v>27</v>
      </c>
      <c r="H565" s="97">
        <f t="shared" si="134"/>
        <v>27</v>
      </c>
      <c r="I565" s="97">
        <f t="shared" si="134"/>
        <v>32</v>
      </c>
      <c r="J565" s="97">
        <f t="shared" si="134"/>
        <v>37</v>
      </c>
      <c r="K565" s="95" t="s">
        <v>21</v>
      </c>
      <c r="L565" s="10"/>
      <c r="M565" s="98" t="s">
        <v>118</v>
      </c>
      <c r="N565" s="10"/>
    </row>
    <row r="566" ht="20.25" customHeight="1">
      <c r="A566" s="99" t="s">
        <v>23</v>
      </c>
      <c r="B566" s="100" t="s">
        <v>130</v>
      </c>
      <c r="C566" s="53" t="s">
        <v>30</v>
      </c>
      <c r="D566" s="54"/>
      <c r="E566" s="60"/>
      <c r="F566" s="60"/>
      <c r="G566" s="60"/>
      <c r="H566" s="60"/>
      <c r="I566" s="60"/>
      <c r="J566" s="60"/>
      <c r="K566" s="61" t="s">
        <v>30</v>
      </c>
      <c r="L566" s="62">
        <f>(E566*E565)+(F566*F565)+(G566*G565)+(H566*H565)+(I566*I565)+(J566*J565)</f>
        <v>0</v>
      </c>
      <c r="M566" s="57" t="s">
        <v>119</v>
      </c>
      <c r="N566" s="63" t="b">
        <v>0</v>
      </c>
    </row>
    <row r="567" ht="13.5" customHeight="1">
      <c r="A567" s="103"/>
      <c r="B567" s="59"/>
      <c r="C567" s="53" t="s">
        <v>34</v>
      </c>
      <c r="D567" s="54"/>
      <c r="E567" s="66"/>
      <c r="F567" s="66"/>
      <c r="G567" s="66"/>
      <c r="H567" s="66"/>
      <c r="I567" s="66"/>
      <c r="J567" s="66"/>
      <c r="K567" s="67" t="s">
        <v>35</v>
      </c>
      <c r="L567" s="62">
        <f>(E567*E565)+(F567*F565)+(G567*G565)+(H567*H565)+(I567*I565)+(J567*J565)</f>
        <v>0</v>
      </c>
      <c r="M567" s="57" t="s">
        <v>121</v>
      </c>
      <c r="N567" s="63" t="b">
        <v>0</v>
      </c>
    </row>
    <row r="568" ht="13.5" customHeight="1">
      <c r="A568" s="80"/>
      <c r="B568" s="102" t="s">
        <v>33</v>
      </c>
      <c r="C568" s="70" t="s">
        <v>37</v>
      </c>
      <c r="D568" s="33"/>
      <c r="E568" s="71"/>
      <c r="F568" s="71"/>
      <c r="G568" s="71"/>
      <c r="H568" s="71"/>
      <c r="I568" s="71"/>
      <c r="J568" s="71"/>
      <c r="K568" s="72" t="s">
        <v>38</v>
      </c>
      <c r="L568" s="73">
        <f>L567-L566</f>
        <v>0</v>
      </c>
      <c r="M568" s="74" t="s">
        <v>122</v>
      </c>
      <c r="N568" s="75" t="b">
        <v>0</v>
      </c>
    </row>
    <row r="569" ht="13.5" customHeight="1">
      <c r="A569" s="99" t="s">
        <v>23</v>
      </c>
      <c r="B569" s="100" t="s">
        <v>130</v>
      </c>
      <c r="C569" s="53" t="s">
        <v>30</v>
      </c>
      <c r="D569" s="54"/>
      <c r="E569" s="60"/>
      <c r="F569" s="60"/>
      <c r="G569" s="60"/>
      <c r="H569" s="60"/>
      <c r="I569" s="60"/>
      <c r="J569" s="60"/>
      <c r="K569" s="61" t="s">
        <v>30</v>
      </c>
      <c r="L569" s="62">
        <f>(E569*E565)+(F569*F565)+(G569*G565)+(H569*H565)+(I569*I565)+(J569*J565)</f>
        <v>0</v>
      </c>
      <c r="M569" s="57" t="s">
        <v>119</v>
      </c>
      <c r="N569" s="63" t="b">
        <v>0</v>
      </c>
    </row>
    <row r="570" ht="15.0" customHeight="1">
      <c r="A570" s="103"/>
      <c r="B570" s="59"/>
      <c r="C570" s="53" t="s">
        <v>34</v>
      </c>
      <c r="D570" s="54"/>
      <c r="E570" s="66"/>
      <c r="F570" s="66"/>
      <c r="G570" s="66"/>
      <c r="H570" s="66"/>
      <c r="I570" s="66"/>
      <c r="J570" s="66"/>
      <c r="K570" s="67" t="s">
        <v>35</v>
      </c>
      <c r="L570" s="62">
        <f>(E570*E565)+(F570*F565)+(G570*G565)+(H570*H565)+(I570*I565)+(J570*J565)</f>
        <v>0</v>
      </c>
      <c r="M570" s="57" t="s">
        <v>121</v>
      </c>
      <c r="N570" s="63" t="b">
        <v>0</v>
      </c>
    </row>
    <row r="571" ht="22.5" customHeight="1">
      <c r="A571" s="80"/>
      <c r="B571" s="102" t="s">
        <v>42</v>
      </c>
      <c r="C571" s="70" t="s">
        <v>37</v>
      </c>
      <c r="D571" s="33"/>
      <c r="E571" s="71"/>
      <c r="F571" s="71"/>
      <c r="G571" s="71"/>
      <c r="H571" s="71"/>
      <c r="I571" s="71"/>
      <c r="J571" s="71"/>
      <c r="K571" s="72" t="s">
        <v>38</v>
      </c>
      <c r="L571" s="73">
        <f>L570-L569</f>
        <v>0</v>
      </c>
      <c r="M571" s="74" t="s">
        <v>122</v>
      </c>
      <c r="N571" s="75" t="b">
        <v>0</v>
      </c>
    </row>
    <row r="572" ht="13.5" customHeight="1">
      <c r="A572" s="99" t="s">
        <v>23</v>
      </c>
      <c r="B572" s="100" t="s">
        <v>130</v>
      </c>
      <c r="C572" s="53" t="s">
        <v>30</v>
      </c>
      <c r="D572" s="54"/>
      <c r="E572" s="60"/>
      <c r="F572" s="60"/>
      <c r="G572" s="60"/>
      <c r="H572" s="60"/>
      <c r="I572" s="60"/>
      <c r="J572" s="60"/>
      <c r="K572" s="61" t="s">
        <v>30</v>
      </c>
      <c r="L572" s="62">
        <f>(E572*E565)+(F572*F565)+(G572*G565)+(H572*H565)+(I572*I565)+(J572*J565)</f>
        <v>0</v>
      </c>
      <c r="M572" s="57" t="s">
        <v>119</v>
      </c>
      <c r="N572" s="63" t="b">
        <v>0</v>
      </c>
    </row>
    <row r="573" ht="13.5" customHeight="1">
      <c r="A573" s="103"/>
      <c r="B573" s="59"/>
      <c r="C573" s="53" t="s">
        <v>34</v>
      </c>
      <c r="D573" s="54"/>
      <c r="E573" s="66"/>
      <c r="F573" s="66"/>
      <c r="G573" s="66"/>
      <c r="H573" s="66"/>
      <c r="I573" s="66"/>
      <c r="J573" s="66"/>
      <c r="K573" s="67" t="s">
        <v>35</v>
      </c>
      <c r="L573" s="62">
        <f>(E573*E565)+(F573*F565)+(G573*G565)+(H573*H565)+(I573*I565)+(J573*J565)</f>
        <v>0</v>
      </c>
      <c r="M573" s="57" t="s">
        <v>121</v>
      </c>
      <c r="N573" s="63" t="b">
        <v>0</v>
      </c>
    </row>
    <row r="574" ht="19.5" customHeight="1">
      <c r="A574" s="80"/>
      <c r="B574" s="102" t="s">
        <v>47</v>
      </c>
      <c r="C574" s="70" t="s">
        <v>37</v>
      </c>
      <c r="D574" s="33"/>
      <c r="E574" s="71"/>
      <c r="F574" s="71"/>
      <c r="G574" s="71"/>
      <c r="H574" s="71"/>
      <c r="I574" s="71"/>
      <c r="J574" s="71"/>
      <c r="K574" s="72" t="s">
        <v>38</v>
      </c>
      <c r="L574" s="73">
        <f>L573-L572</f>
        <v>0</v>
      </c>
      <c r="M574" s="74" t="s">
        <v>122</v>
      </c>
      <c r="N574" s="75" t="b">
        <v>0</v>
      </c>
    </row>
    <row r="575" ht="13.5" customHeight="1">
      <c r="A575" s="99" t="s">
        <v>23</v>
      </c>
      <c r="B575" s="100" t="s">
        <v>130</v>
      </c>
      <c r="C575" s="53" t="s">
        <v>30</v>
      </c>
      <c r="D575" s="54"/>
      <c r="E575" s="60"/>
      <c r="F575" s="60"/>
      <c r="G575" s="60"/>
      <c r="H575" s="60"/>
      <c r="I575" s="60"/>
      <c r="J575" s="60"/>
      <c r="K575" s="61" t="s">
        <v>30</v>
      </c>
      <c r="L575" s="62">
        <f>(E575*E565)+(F575*F565)+(G575*G565)+(H575*H565)+(I575*I565)+(J575*J565)</f>
        <v>0</v>
      </c>
      <c r="M575" s="57" t="s">
        <v>119</v>
      </c>
      <c r="N575" s="63" t="b">
        <v>0</v>
      </c>
    </row>
    <row r="576" ht="13.5" customHeight="1">
      <c r="A576" s="103"/>
      <c r="B576" s="59"/>
      <c r="C576" s="53" t="s">
        <v>34</v>
      </c>
      <c r="D576" s="54"/>
      <c r="E576" s="66"/>
      <c r="F576" s="66"/>
      <c r="G576" s="66"/>
      <c r="H576" s="66"/>
      <c r="I576" s="66"/>
      <c r="J576" s="66"/>
      <c r="K576" s="67" t="s">
        <v>35</v>
      </c>
      <c r="L576" s="62">
        <f>(E576*E565)+(F576*F565)+(G576*G565)+(H576*H565)+(I576*I565)+(J576*J565)</f>
        <v>0</v>
      </c>
      <c r="M576" s="57" t="s">
        <v>121</v>
      </c>
      <c r="N576" s="63" t="b">
        <v>0</v>
      </c>
    </row>
    <row r="577" ht="13.5" customHeight="1">
      <c r="A577" s="80"/>
      <c r="B577" s="102" t="s">
        <v>49</v>
      </c>
      <c r="C577" s="70" t="s">
        <v>37</v>
      </c>
      <c r="D577" s="33"/>
      <c r="E577" s="71"/>
      <c r="F577" s="71"/>
      <c r="G577" s="71"/>
      <c r="H577" s="71"/>
      <c r="I577" s="71"/>
      <c r="J577" s="71"/>
      <c r="K577" s="72" t="s">
        <v>38</v>
      </c>
      <c r="L577" s="73">
        <f>L576-L575</f>
        <v>0</v>
      </c>
      <c r="M577" s="74" t="s">
        <v>122</v>
      </c>
      <c r="N577" s="75" t="b">
        <v>0</v>
      </c>
    </row>
    <row r="578" ht="13.5" customHeight="1">
      <c r="A578" s="94" t="s">
        <v>131</v>
      </c>
      <c r="B578" s="95" t="s">
        <v>20</v>
      </c>
      <c r="C578" s="96"/>
      <c r="D578" s="10"/>
      <c r="E578" s="97">
        <f t="shared" ref="E578:J578" si="135">E6</f>
        <v>17</v>
      </c>
      <c r="F578" s="97">
        <f t="shared" si="135"/>
        <v>27</v>
      </c>
      <c r="G578" s="97">
        <f t="shared" si="135"/>
        <v>27</v>
      </c>
      <c r="H578" s="97">
        <f t="shared" si="135"/>
        <v>27</v>
      </c>
      <c r="I578" s="97">
        <f t="shared" si="135"/>
        <v>32</v>
      </c>
      <c r="J578" s="97">
        <f t="shared" si="135"/>
        <v>37</v>
      </c>
      <c r="K578" s="95" t="s">
        <v>21</v>
      </c>
      <c r="L578" s="10"/>
      <c r="M578" s="98" t="s">
        <v>118</v>
      </c>
      <c r="N578" s="10"/>
    </row>
    <row r="579" ht="13.5" customHeight="1">
      <c r="A579" s="99" t="s">
        <v>23</v>
      </c>
      <c r="B579" s="100" t="s">
        <v>131</v>
      </c>
      <c r="C579" s="53" t="s">
        <v>30</v>
      </c>
      <c r="D579" s="54"/>
      <c r="E579" s="60"/>
      <c r="F579" s="60"/>
      <c r="G579" s="60"/>
      <c r="H579" s="60"/>
      <c r="I579" s="60"/>
      <c r="J579" s="60"/>
      <c r="K579" s="61" t="s">
        <v>30</v>
      </c>
      <c r="L579" s="62">
        <f>(E579*E578)+(F579*F578)+(G579*G578)+(H579*H578)+(I579*I578)+(J579*J578)</f>
        <v>0</v>
      </c>
      <c r="M579" s="57" t="s">
        <v>119</v>
      </c>
      <c r="N579" s="63" t="b">
        <v>0</v>
      </c>
    </row>
    <row r="580" ht="13.5" customHeight="1">
      <c r="A580" s="103"/>
      <c r="B580" s="59"/>
      <c r="C580" s="53" t="s">
        <v>34</v>
      </c>
      <c r="D580" s="54"/>
      <c r="E580" s="66"/>
      <c r="F580" s="66"/>
      <c r="G580" s="66"/>
      <c r="H580" s="66"/>
      <c r="I580" s="66"/>
      <c r="J580" s="66"/>
      <c r="K580" s="67" t="s">
        <v>35</v>
      </c>
      <c r="L580" s="62">
        <f>(E580*E578)+(F580*F578)+(G580*G578)+(H580*H578)+(I580*I578)+(J580*J578)</f>
        <v>0</v>
      </c>
      <c r="M580" s="57" t="s">
        <v>121</v>
      </c>
      <c r="N580" s="63" t="b">
        <v>0</v>
      </c>
    </row>
    <row r="581" ht="13.5" customHeight="1">
      <c r="A581" s="80"/>
      <c r="B581" s="102" t="s">
        <v>33</v>
      </c>
      <c r="C581" s="70" t="s">
        <v>37</v>
      </c>
      <c r="D581" s="33"/>
      <c r="E581" s="71"/>
      <c r="F581" s="71"/>
      <c r="G581" s="71"/>
      <c r="H581" s="71"/>
      <c r="I581" s="71"/>
      <c r="J581" s="71"/>
      <c r="K581" s="72" t="s">
        <v>38</v>
      </c>
      <c r="L581" s="73">
        <f>L580-L579</f>
        <v>0</v>
      </c>
      <c r="M581" s="74" t="s">
        <v>122</v>
      </c>
      <c r="N581" s="75" t="b">
        <v>0</v>
      </c>
    </row>
    <row r="582" ht="19.5" customHeight="1">
      <c r="A582" s="99" t="s">
        <v>23</v>
      </c>
      <c r="B582" s="100" t="s">
        <v>131</v>
      </c>
      <c r="C582" s="53" t="s">
        <v>30</v>
      </c>
      <c r="D582" s="54"/>
      <c r="E582" s="60"/>
      <c r="F582" s="60"/>
      <c r="G582" s="60"/>
      <c r="H582" s="60"/>
      <c r="I582" s="60"/>
      <c r="J582" s="60"/>
      <c r="K582" s="61" t="s">
        <v>30</v>
      </c>
      <c r="L582" s="62">
        <f>(E582*E578)+(F582*F578)+(G582*G578)+(H582*H578)+(I582*I578)+(J582*J578)</f>
        <v>0</v>
      </c>
      <c r="M582" s="57" t="s">
        <v>119</v>
      </c>
      <c r="N582" s="63" t="b">
        <v>0</v>
      </c>
    </row>
    <row r="583" ht="13.5" customHeight="1">
      <c r="A583" s="103"/>
      <c r="B583" s="59"/>
      <c r="C583" s="53" t="s">
        <v>34</v>
      </c>
      <c r="D583" s="54"/>
      <c r="E583" s="66"/>
      <c r="F583" s="66"/>
      <c r="G583" s="66"/>
      <c r="H583" s="66"/>
      <c r="I583" s="66"/>
      <c r="J583" s="66"/>
      <c r="K583" s="67" t="s">
        <v>35</v>
      </c>
      <c r="L583" s="62">
        <f>(E583*E578)+(F583*F578)+(G583*G578)+(H583*H578)+(I583*I578)+(J583*J578)</f>
        <v>0</v>
      </c>
      <c r="M583" s="57" t="s">
        <v>121</v>
      </c>
      <c r="N583" s="63" t="b">
        <v>0</v>
      </c>
    </row>
    <row r="584" ht="13.5" customHeight="1">
      <c r="A584" s="80"/>
      <c r="B584" s="102" t="s">
        <v>42</v>
      </c>
      <c r="C584" s="70" t="s">
        <v>37</v>
      </c>
      <c r="D584" s="33"/>
      <c r="E584" s="71"/>
      <c r="F584" s="71"/>
      <c r="G584" s="71"/>
      <c r="H584" s="71"/>
      <c r="I584" s="71"/>
      <c r="J584" s="71"/>
      <c r="K584" s="72" t="s">
        <v>38</v>
      </c>
      <c r="L584" s="73">
        <f>L583-L582</f>
        <v>0</v>
      </c>
      <c r="M584" s="74" t="s">
        <v>122</v>
      </c>
      <c r="N584" s="75" t="b">
        <v>0</v>
      </c>
    </row>
    <row r="585" ht="13.5" customHeight="1">
      <c r="A585" s="99" t="s">
        <v>23</v>
      </c>
      <c r="B585" s="100" t="s">
        <v>131</v>
      </c>
      <c r="C585" s="53" t="s">
        <v>30</v>
      </c>
      <c r="D585" s="54"/>
      <c r="E585" s="60"/>
      <c r="F585" s="60"/>
      <c r="G585" s="60"/>
      <c r="H585" s="60"/>
      <c r="I585" s="60"/>
      <c r="J585" s="60"/>
      <c r="K585" s="61" t="s">
        <v>30</v>
      </c>
      <c r="L585" s="62">
        <f>(E585*E578)+(F585*F578)+(G585*G578)+(H585*H578)+(I585*I578)+(J585*J578)</f>
        <v>0</v>
      </c>
      <c r="M585" s="57" t="s">
        <v>119</v>
      </c>
      <c r="N585" s="63" t="b">
        <v>0</v>
      </c>
    </row>
    <row r="586" ht="15.0" customHeight="1">
      <c r="A586" s="103"/>
      <c r="B586" s="59"/>
      <c r="C586" s="53" t="s">
        <v>34</v>
      </c>
      <c r="D586" s="54"/>
      <c r="E586" s="66"/>
      <c r="F586" s="66"/>
      <c r="G586" s="66"/>
      <c r="H586" s="66"/>
      <c r="I586" s="66"/>
      <c r="J586" s="66"/>
      <c r="K586" s="67" t="s">
        <v>35</v>
      </c>
      <c r="L586" s="62">
        <f>(E586*E578)+(F586*F578)+(G586*G578)+(H586*H578)+(I586*I578)+(J586*J578)</f>
        <v>0</v>
      </c>
      <c r="M586" s="57" t="s">
        <v>121</v>
      </c>
      <c r="N586" s="63" t="b">
        <v>0</v>
      </c>
    </row>
    <row r="587" ht="13.5" customHeight="1">
      <c r="A587" s="80"/>
      <c r="B587" s="102" t="s">
        <v>47</v>
      </c>
      <c r="C587" s="70" t="s">
        <v>37</v>
      </c>
      <c r="D587" s="33"/>
      <c r="E587" s="71"/>
      <c r="F587" s="71"/>
      <c r="G587" s="71"/>
      <c r="H587" s="71"/>
      <c r="I587" s="71"/>
      <c r="J587" s="71"/>
      <c r="K587" s="72" t="s">
        <v>38</v>
      </c>
      <c r="L587" s="73">
        <f>L586-L585</f>
        <v>0</v>
      </c>
      <c r="M587" s="74" t="s">
        <v>122</v>
      </c>
      <c r="N587" s="75" t="b">
        <v>0</v>
      </c>
    </row>
    <row r="588" ht="13.5" customHeight="1">
      <c r="A588" s="99" t="s">
        <v>23</v>
      </c>
      <c r="B588" s="100" t="s">
        <v>131</v>
      </c>
      <c r="C588" s="53" t="s">
        <v>30</v>
      </c>
      <c r="D588" s="54"/>
      <c r="E588" s="60"/>
      <c r="F588" s="60"/>
      <c r="G588" s="60"/>
      <c r="H588" s="60"/>
      <c r="I588" s="60"/>
      <c r="J588" s="60"/>
      <c r="K588" s="61" t="s">
        <v>30</v>
      </c>
      <c r="L588" s="62">
        <f>(E588*E578)+(F588*F578)+(G588*G578)+(H588*H578)+(I588*I578)+(J588*J578)</f>
        <v>0</v>
      </c>
      <c r="M588" s="57" t="s">
        <v>119</v>
      </c>
      <c r="N588" s="63" t="b">
        <v>0</v>
      </c>
    </row>
    <row r="589" ht="13.5" customHeight="1">
      <c r="A589" s="103"/>
      <c r="B589" s="59"/>
      <c r="C589" s="53" t="s">
        <v>34</v>
      </c>
      <c r="D589" s="54"/>
      <c r="E589" s="66"/>
      <c r="F589" s="66"/>
      <c r="G589" s="66"/>
      <c r="H589" s="66"/>
      <c r="I589" s="66"/>
      <c r="J589" s="66"/>
      <c r="K589" s="67" t="s">
        <v>35</v>
      </c>
      <c r="L589" s="62">
        <f>(E589*E578)+(F589*F578)+(G589*G578)+(H589*H578)+(I589*I578)+(J589*J578)</f>
        <v>0</v>
      </c>
      <c r="M589" s="57" t="s">
        <v>121</v>
      </c>
      <c r="N589" s="63" t="b">
        <v>0</v>
      </c>
    </row>
    <row r="590" ht="18.75" customHeight="1">
      <c r="A590" s="80"/>
      <c r="B590" s="102" t="s">
        <v>49</v>
      </c>
      <c r="C590" s="70" t="s">
        <v>37</v>
      </c>
      <c r="D590" s="33"/>
      <c r="E590" s="71"/>
      <c r="F590" s="71"/>
      <c r="G590" s="71"/>
      <c r="H590" s="71"/>
      <c r="I590" s="71"/>
      <c r="J590" s="71"/>
      <c r="K590" s="72" t="s">
        <v>38</v>
      </c>
      <c r="L590" s="73">
        <f>L589-L588</f>
        <v>0</v>
      </c>
      <c r="M590" s="74" t="s">
        <v>122</v>
      </c>
      <c r="N590" s="75" t="b">
        <v>0</v>
      </c>
    </row>
    <row r="591" ht="13.5" customHeight="1">
      <c r="A591" s="104" t="s">
        <v>132</v>
      </c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5"/>
    </row>
    <row r="592" ht="13.5" customHeight="1">
      <c r="A592" s="105"/>
      <c r="B592" s="10"/>
      <c r="C592" s="106" t="s">
        <v>133</v>
      </c>
      <c r="D592" s="24"/>
      <c r="E592" s="24"/>
      <c r="F592" s="24"/>
      <c r="G592" s="24"/>
      <c r="H592" s="24"/>
      <c r="I592" s="24"/>
      <c r="J592" s="24"/>
      <c r="K592" s="24"/>
      <c r="L592" s="25"/>
      <c r="M592" s="107"/>
      <c r="N592" s="108"/>
    </row>
    <row r="593" ht="13.5" customHeight="1">
      <c r="A593" s="109" t="s">
        <v>133</v>
      </c>
      <c r="B593" s="59"/>
      <c r="C593" s="110" t="s">
        <v>15</v>
      </c>
      <c r="D593" s="111"/>
      <c r="E593" s="112">
        <f t="shared" ref="E593:J593" si="136">E7-(E15+E33+E51+E69+E87+E105+E123+E141+E159+E177+E195+E213+E231+E249+E267+E285+E303+E321+E339+E357+E375+E393+E411+E429+E447+E463+E476+E489+E502+E515+E528+E541+E554+E567+E580)</f>
        <v>0</v>
      </c>
      <c r="F593" s="112">
        <f t="shared" si="136"/>
        <v>0</v>
      </c>
      <c r="G593" s="112">
        <f t="shared" si="136"/>
        <v>0</v>
      </c>
      <c r="H593" s="112">
        <f t="shared" si="136"/>
        <v>0</v>
      </c>
      <c r="I593" s="112">
        <f t="shared" si="136"/>
        <v>0</v>
      </c>
      <c r="J593" s="113">
        <f t="shared" si="136"/>
        <v>0</v>
      </c>
      <c r="K593" s="114" t="s">
        <v>134</v>
      </c>
      <c r="L593" s="115">
        <f>L16+L34+L52+L70+L88+L106+L124+L142+L160+L178+L196+L214+L232+L250+L268+L286+L304+L322+L340+L358+L376+L394+L412+L430+L448+L464+L477+L490+L503+L516+L529+L542+L555+L568+L581</f>
        <v>0</v>
      </c>
      <c r="M593" s="116"/>
      <c r="N593" s="117"/>
    </row>
    <row r="594" ht="13.5" customHeight="1">
      <c r="A594" s="38"/>
      <c r="B594" s="59"/>
      <c r="C594" s="118" t="s">
        <v>135</v>
      </c>
      <c r="D594" s="111"/>
      <c r="E594" s="119"/>
      <c r="F594" s="119"/>
      <c r="G594" s="119"/>
      <c r="H594" s="119"/>
      <c r="I594" s="119"/>
      <c r="J594" s="120"/>
      <c r="K594" s="59"/>
      <c r="L594" s="5"/>
      <c r="N594" s="59"/>
    </row>
    <row r="595" ht="13.5" customHeight="1">
      <c r="A595" s="38"/>
      <c r="B595" s="59"/>
      <c r="C595" s="121" t="s">
        <v>136</v>
      </c>
      <c r="D595" s="25"/>
      <c r="E595" s="122">
        <f t="shared" ref="E595:J595" si="137">E593-E594</f>
        <v>0</v>
      </c>
      <c r="F595" s="122">
        <f t="shared" si="137"/>
        <v>0</v>
      </c>
      <c r="G595" s="122">
        <f t="shared" si="137"/>
        <v>0</v>
      </c>
      <c r="H595" s="122">
        <f t="shared" si="137"/>
        <v>0</v>
      </c>
      <c r="I595" s="122">
        <f t="shared" si="137"/>
        <v>0</v>
      </c>
      <c r="J595" s="123">
        <f t="shared" si="137"/>
        <v>0</v>
      </c>
      <c r="K595" s="59"/>
      <c r="L595" s="5"/>
      <c r="N595" s="59"/>
    </row>
    <row r="596" ht="13.5" customHeight="1">
      <c r="A596" s="38"/>
      <c r="B596" s="59"/>
      <c r="C596" s="110" t="s">
        <v>137</v>
      </c>
      <c r="D596" s="111"/>
      <c r="E596" s="112">
        <f t="shared" ref="E596:J596" si="138">E14+E32+E50+E68+E86+E104+E122+E140+E158+E176+E194+E212+E230+E248+E266+E284+E302+E320+E338+E356+E374+E392+E410+E428+E446+E462+E475+E488+E501+E514+E527+E540+E553+E566+E579</f>
        <v>0</v>
      </c>
      <c r="F596" s="112">
        <f t="shared" si="138"/>
        <v>0</v>
      </c>
      <c r="G596" s="112">
        <f t="shared" si="138"/>
        <v>0</v>
      </c>
      <c r="H596" s="112">
        <f t="shared" si="138"/>
        <v>0</v>
      </c>
      <c r="I596" s="112">
        <f t="shared" si="138"/>
        <v>0</v>
      </c>
      <c r="J596" s="113">
        <f t="shared" si="138"/>
        <v>0</v>
      </c>
      <c r="K596" s="54"/>
      <c r="L596" s="111"/>
      <c r="N596" s="59"/>
    </row>
    <row r="597" ht="13.5" customHeight="1">
      <c r="A597" s="38"/>
      <c r="B597" s="59"/>
      <c r="C597" s="118" t="s">
        <v>135</v>
      </c>
      <c r="D597" s="111"/>
      <c r="E597" s="119"/>
      <c r="F597" s="119"/>
      <c r="G597" s="119"/>
      <c r="H597" s="119"/>
      <c r="I597" s="119"/>
      <c r="J597" s="120"/>
      <c r="K597" s="124" t="s">
        <v>135</v>
      </c>
      <c r="L597" s="125"/>
      <c r="N597" s="59"/>
    </row>
    <row r="598" ht="13.5" customHeight="1">
      <c r="A598" s="126"/>
      <c r="B598" s="33"/>
      <c r="C598" s="121" t="s">
        <v>136</v>
      </c>
      <c r="D598" s="25"/>
      <c r="E598" s="122">
        <f t="shared" ref="E598:J598" si="139">E596-E597</f>
        <v>0</v>
      </c>
      <c r="F598" s="122">
        <f t="shared" si="139"/>
        <v>0</v>
      </c>
      <c r="G598" s="122">
        <f t="shared" si="139"/>
        <v>0</v>
      </c>
      <c r="H598" s="122">
        <f t="shared" si="139"/>
        <v>0</v>
      </c>
      <c r="I598" s="122">
        <f t="shared" si="139"/>
        <v>0</v>
      </c>
      <c r="J598" s="123">
        <f t="shared" si="139"/>
        <v>0</v>
      </c>
      <c r="K598" s="127" t="s">
        <v>136</v>
      </c>
      <c r="L598" s="128">
        <f>L593-L597</f>
        <v>0</v>
      </c>
      <c r="M598" s="129"/>
      <c r="N598" s="54"/>
    </row>
    <row r="599" ht="13.5" customHeight="1">
      <c r="A599" s="105"/>
      <c r="B599" s="10"/>
      <c r="C599" s="130" t="s">
        <v>138</v>
      </c>
      <c r="D599" s="24"/>
      <c r="E599" s="24"/>
      <c r="F599" s="24"/>
      <c r="G599" s="24"/>
      <c r="H599" s="24"/>
      <c r="I599" s="24"/>
      <c r="J599" s="24"/>
      <c r="K599" s="24"/>
      <c r="L599" s="25"/>
      <c r="M599" s="131"/>
      <c r="N599" s="108"/>
    </row>
    <row r="600" ht="13.5" customHeight="1">
      <c r="A600" s="109" t="s">
        <v>138</v>
      </c>
      <c r="B600" s="59"/>
      <c r="C600" s="110" t="s">
        <v>15</v>
      </c>
      <c r="D600" s="111"/>
      <c r="E600" s="112">
        <f t="shared" ref="E600:J600" si="140">E8-(E19+E37+E55+E73+E91+E109+E127+E145+E163+E181+E199+E217+E235+E253+E271+E289+E307+E325+E343+E361+E379+E397+E415+E433+E451+E466+E479+E492+E505+E518+E531+E544+E557+E570+E583)</f>
        <v>0</v>
      </c>
      <c r="F600" s="112">
        <f t="shared" si="140"/>
        <v>-22</v>
      </c>
      <c r="G600" s="112">
        <f t="shared" si="140"/>
        <v>-15</v>
      </c>
      <c r="H600" s="112">
        <f t="shared" si="140"/>
        <v>-10</v>
      </c>
      <c r="I600" s="112">
        <f t="shared" si="140"/>
        <v>-10</v>
      </c>
      <c r="J600" s="113">
        <f t="shared" si="140"/>
        <v>-29</v>
      </c>
      <c r="K600" s="114" t="s">
        <v>139</v>
      </c>
      <c r="L600" s="115">
        <f>L20+L38+L56+L74+L92+L110+L128+L146+L164+L182+L200+L218+L236+L254+L272+L290+L308+L326+L344+L362+L380+L398+L416+L434+L452+L467+L480+L493+L506+L519+L532+L545+L558+L571+L584</f>
        <v>1983</v>
      </c>
      <c r="M600" s="116"/>
      <c r="N600" s="117"/>
    </row>
    <row r="601" ht="13.5" customHeight="1">
      <c r="A601" s="38"/>
      <c r="B601" s="59"/>
      <c r="C601" s="118" t="s">
        <v>135</v>
      </c>
      <c r="D601" s="111"/>
      <c r="E601" s="119"/>
      <c r="F601" s="119"/>
      <c r="G601" s="119"/>
      <c r="H601" s="119"/>
      <c r="I601" s="119"/>
      <c r="J601" s="120"/>
      <c r="K601" s="59"/>
      <c r="L601" s="5"/>
      <c r="N601" s="59"/>
    </row>
    <row r="602" ht="13.5" customHeight="1">
      <c r="A602" s="38"/>
      <c r="B602" s="59"/>
      <c r="C602" s="121" t="s">
        <v>136</v>
      </c>
      <c r="D602" s="25"/>
      <c r="E602" s="122">
        <f t="shared" ref="E602:J602" si="141">E600-E601</f>
        <v>0</v>
      </c>
      <c r="F602" s="122">
        <f t="shared" si="141"/>
        <v>-22</v>
      </c>
      <c r="G602" s="122">
        <f t="shared" si="141"/>
        <v>-15</v>
      </c>
      <c r="H602" s="122">
        <f t="shared" si="141"/>
        <v>-10</v>
      </c>
      <c r="I602" s="122">
        <f t="shared" si="141"/>
        <v>-10</v>
      </c>
      <c r="J602" s="123">
        <f t="shared" si="141"/>
        <v>-29</v>
      </c>
      <c r="K602" s="59"/>
      <c r="L602" s="5"/>
      <c r="N602" s="59"/>
    </row>
    <row r="603" ht="13.5" customHeight="1">
      <c r="A603" s="38"/>
      <c r="B603" s="59"/>
      <c r="C603" s="110" t="s">
        <v>137</v>
      </c>
      <c r="D603" s="111"/>
      <c r="E603" s="112">
        <f t="shared" ref="E603:J603" si="142">E18+E36+E54+E72+E90+E108+E126+E144+E162+E180+E198+E216+E234+E252+E270+E288+E306+E324+E342+E360+E378+E396+E414+E432+E450+E465+E478+E491+E504+E517+E530+E543+E556+E569+E582</f>
        <v>0</v>
      </c>
      <c r="F603" s="112">
        <f t="shared" si="142"/>
        <v>3</v>
      </c>
      <c r="G603" s="112">
        <f t="shared" si="142"/>
        <v>5</v>
      </c>
      <c r="H603" s="112">
        <f t="shared" si="142"/>
        <v>2</v>
      </c>
      <c r="I603" s="112">
        <f t="shared" si="142"/>
        <v>7</v>
      </c>
      <c r="J603" s="112">
        <f t="shared" si="142"/>
        <v>5</v>
      </c>
      <c r="K603" s="54"/>
      <c r="L603" s="111"/>
      <c r="N603" s="59"/>
    </row>
    <row r="604" ht="13.5" customHeight="1">
      <c r="A604" s="38"/>
      <c r="B604" s="59"/>
      <c r="C604" s="118" t="s">
        <v>135</v>
      </c>
      <c r="D604" s="111"/>
      <c r="E604" s="119"/>
      <c r="F604" s="119"/>
      <c r="G604" s="119"/>
      <c r="H604" s="119"/>
      <c r="I604" s="119"/>
      <c r="J604" s="120"/>
      <c r="K604" s="124" t="s">
        <v>135</v>
      </c>
      <c r="L604" s="125"/>
      <c r="N604" s="59"/>
    </row>
    <row r="605" ht="13.5" customHeight="1">
      <c r="A605" s="126"/>
      <c r="B605" s="33"/>
      <c r="C605" s="121" t="s">
        <v>136</v>
      </c>
      <c r="D605" s="25"/>
      <c r="E605" s="122">
        <f t="shared" ref="E605:J605" si="143">E603-E604</f>
        <v>0</v>
      </c>
      <c r="F605" s="122">
        <f t="shared" si="143"/>
        <v>3</v>
      </c>
      <c r="G605" s="122">
        <f t="shared" si="143"/>
        <v>5</v>
      </c>
      <c r="H605" s="122">
        <f t="shared" si="143"/>
        <v>2</v>
      </c>
      <c r="I605" s="122">
        <f t="shared" si="143"/>
        <v>7</v>
      </c>
      <c r="J605" s="123">
        <f t="shared" si="143"/>
        <v>5</v>
      </c>
      <c r="K605" s="127" t="s">
        <v>136</v>
      </c>
      <c r="L605" s="128">
        <f>L600-L604</f>
        <v>1983</v>
      </c>
      <c r="M605" s="129"/>
      <c r="N605" s="54"/>
    </row>
    <row r="606" ht="13.5" customHeight="1">
      <c r="A606" s="105"/>
      <c r="B606" s="10"/>
      <c r="C606" s="130" t="s">
        <v>140</v>
      </c>
      <c r="D606" s="24"/>
      <c r="E606" s="24"/>
      <c r="F606" s="24"/>
      <c r="G606" s="24"/>
      <c r="H606" s="24"/>
      <c r="I606" s="24"/>
      <c r="J606" s="24"/>
      <c r="K606" s="24"/>
      <c r="L606" s="25"/>
      <c r="M606" s="131"/>
      <c r="N606" s="108"/>
    </row>
    <row r="607" ht="13.5" customHeight="1">
      <c r="A607" s="109" t="s">
        <v>140</v>
      </c>
      <c r="B607" s="59"/>
      <c r="C607" s="110" t="s">
        <v>15</v>
      </c>
      <c r="D607" s="111"/>
      <c r="E607" s="112">
        <f t="shared" ref="E607:J607" si="144">E9-(E23+E41+E59+E77+E95+E113+E131+E149+E167+E185+E203+E221+E239+E257+E275+E293+E311+E329+E347+E365+E383+E401+E419+E437+E455+E469+E482+E495+E508+E521+E534+E547+E560+E573+E586)</f>
        <v>0</v>
      </c>
      <c r="F607" s="112">
        <f t="shared" si="144"/>
        <v>11</v>
      </c>
      <c r="G607" s="112">
        <f t="shared" si="144"/>
        <v>10</v>
      </c>
      <c r="H607" s="112">
        <f t="shared" si="144"/>
        <v>8</v>
      </c>
      <c r="I607" s="112">
        <f t="shared" si="144"/>
        <v>3</v>
      </c>
      <c r="J607" s="113">
        <f t="shared" si="144"/>
        <v>3</v>
      </c>
      <c r="K607" s="114" t="s">
        <v>141</v>
      </c>
      <c r="L607" s="115">
        <f>L24+L42+L60+L78+L96+L114+L132+L150+L168+L186+L204+L222+L240+L258+L276+L294+L312+L330+L348+L366+L384+L402+L420+L438+L456+L470+L483+L496+L509+L522+L535+L548+L561+L574+L587</f>
        <v>2642</v>
      </c>
      <c r="M607" s="116"/>
      <c r="N607" s="117"/>
    </row>
    <row r="608" ht="13.5" customHeight="1">
      <c r="A608" s="38"/>
      <c r="B608" s="59"/>
      <c r="C608" s="118" t="s">
        <v>135</v>
      </c>
      <c r="D608" s="111"/>
      <c r="E608" s="119"/>
      <c r="F608" s="119"/>
      <c r="G608" s="119"/>
      <c r="H608" s="119"/>
      <c r="I608" s="119"/>
      <c r="J608" s="120"/>
      <c r="K608" s="59"/>
      <c r="L608" s="5"/>
      <c r="N608" s="59"/>
    </row>
    <row r="609" ht="13.5" customHeight="1">
      <c r="A609" s="38"/>
      <c r="B609" s="59"/>
      <c r="C609" s="121" t="s">
        <v>136</v>
      </c>
      <c r="D609" s="25"/>
      <c r="E609" s="122">
        <f t="shared" ref="E609:J609" si="145">E607-E608</f>
        <v>0</v>
      </c>
      <c r="F609" s="122">
        <f t="shared" si="145"/>
        <v>11</v>
      </c>
      <c r="G609" s="122">
        <f t="shared" si="145"/>
        <v>10</v>
      </c>
      <c r="H609" s="122">
        <f t="shared" si="145"/>
        <v>8</v>
      </c>
      <c r="I609" s="122">
        <f t="shared" si="145"/>
        <v>3</v>
      </c>
      <c r="J609" s="123">
        <f t="shared" si="145"/>
        <v>3</v>
      </c>
      <c r="K609" s="59"/>
      <c r="L609" s="5"/>
      <c r="N609" s="59"/>
    </row>
    <row r="610" ht="13.5" customHeight="1">
      <c r="A610" s="38"/>
      <c r="B610" s="59"/>
      <c r="C610" s="110" t="s">
        <v>137</v>
      </c>
      <c r="D610" s="111"/>
      <c r="E610" s="112">
        <f t="shared" ref="E610:J610" si="146">E22+E40+E58+E76+E94+E112+E130+E148+E166+E184+E202+E220+E238+E256+E274+E292+E310+E328+E346+E364+E382+E400+E418+E436+E454+E468+E481+E494+E507+E520+E533+E546+E559+E572+E585</f>
        <v>0</v>
      </c>
      <c r="F610" s="112">
        <f t="shared" si="146"/>
        <v>8</v>
      </c>
      <c r="G610" s="112">
        <f t="shared" si="146"/>
        <v>9</v>
      </c>
      <c r="H610" s="112">
        <f t="shared" si="146"/>
        <v>7</v>
      </c>
      <c r="I610" s="112">
        <f t="shared" si="146"/>
        <v>4</v>
      </c>
      <c r="J610" s="113">
        <f t="shared" si="146"/>
        <v>6</v>
      </c>
      <c r="K610" s="54"/>
      <c r="L610" s="111"/>
      <c r="N610" s="59"/>
    </row>
    <row r="611" ht="13.5" customHeight="1">
      <c r="A611" s="38"/>
      <c r="B611" s="59"/>
      <c r="C611" s="118" t="s">
        <v>135</v>
      </c>
      <c r="D611" s="111"/>
      <c r="E611" s="119"/>
      <c r="F611" s="119"/>
      <c r="G611" s="119"/>
      <c r="H611" s="119"/>
      <c r="I611" s="119"/>
      <c r="J611" s="120"/>
      <c r="K611" s="124" t="s">
        <v>135</v>
      </c>
      <c r="L611" s="125"/>
      <c r="N611" s="59"/>
    </row>
    <row r="612" ht="13.5" customHeight="1">
      <c r="A612" s="126"/>
      <c r="B612" s="33"/>
      <c r="C612" s="121" t="s">
        <v>136</v>
      </c>
      <c r="D612" s="25"/>
      <c r="E612" s="122">
        <f t="shared" ref="E612:J612" si="147">E610-E611</f>
        <v>0</v>
      </c>
      <c r="F612" s="122">
        <f t="shared" si="147"/>
        <v>8</v>
      </c>
      <c r="G612" s="122">
        <f t="shared" si="147"/>
        <v>9</v>
      </c>
      <c r="H612" s="122">
        <f t="shared" si="147"/>
        <v>7</v>
      </c>
      <c r="I612" s="122">
        <f t="shared" si="147"/>
        <v>4</v>
      </c>
      <c r="J612" s="123">
        <f t="shared" si="147"/>
        <v>6</v>
      </c>
      <c r="K612" s="127" t="s">
        <v>136</v>
      </c>
      <c r="L612" s="128">
        <f>L607-L611</f>
        <v>2642</v>
      </c>
      <c r="M612" s="129"/>
      <c r="N612" s="54"/>
    </row>
    <row r="613" ht="13.5" customHeight="1">
      <c r="A613" s="105"/>
      <c r="B613" s="10"/>
      <c r="C613" s="106" t="s">
        <v>142</v>
      </c>
      <c r="D613" s="24"/>
      <c r="E613" s="24"/>
      <c r="F613" s="24"/>
      <c r="G613" s="24"/>
      <c r="H613" s="24"/>
      <c r="I613" s="24"/>
      <c r="J613" s="24"/>
      <c r="K613" s="24"/>
      <c r="L613" s="25"/>
      <c r="M613" s="131"/>
      <c r="N613" s="108"/>
    </row>
    <row r="614" ht="13.5" customHeight="1">
      <c r="A614" s="109" t="s">
        <v>142</v>
      </c>
      <c r="B614" s="59"/>
      <c r="C614" s="110" t="s">
        <v>15</v>
      </c>
      <c r="D614" s="111"/>
      <c r="E614" s="112">
        <f t="shared" ref="E614:J614" si="148">E10-(E27+E45+E63+E81+E99+E117+E135+E153+E171+E189+E207+E225+E243+E261+E279+E297+E315+E333+E351+E369+E387+E405+E423+E441+E459+E472+E485+E498+E511+E524+E537+E550+E563+E576+E589)</f>
        <v>0</v>
      </c>
      <c r="F614" s="112">
        <f t="shared" si="148"/>
        <v>0</v>
      </c>
      <c r="G614" s="112">
        <f t="shared" si="148"/>
        <v>0</v>
      </c>
      <c r="H614" s="112">
        <f t="shared" si="148"/>
        <v>0</v>
      </c>
      <c r="I614" s="112">
        <f t="shared" si="148"/>
        <v>0</v>
      </c>
      <c r="J614" s="113">
        <f t="shared" si="148"/>
        <v>0</v>
      </c>
      <c r="K614" s="132" t="s">
        <v>143</v>
      </c>
      <c r="L614" s="133">
        <f>L28+L46+L64+L82+L100+L118+L136+L154+L172+L190+L208+L226+L244+L262+L280+L298+L316+L334+L352+L370+L388+L406+L424+L442+L460+L473+L486+L499+L512+L525+L538+L551+L564+L577+L590</f>
        <v>0</v>
      </c>
      <c r="M614" s="116"/>
      <c r="N614" s="117"/>
    </row>
    <row r="615" ht="13.5" customHeight="1">
      <c r="A615" s="38"/>
      <c r="B615" s="59"/>
      <c r="C615" s="118" t="s">
        <v>135</v>
      </c>
      <c r="D615" s="111"/>
      <c r="E615" s="119"/>
      <c r="F615" s="119"/>
      <c r="G615" s="119"/>
      <c r="H615" s="119"/>
      <c r="I615" s="119"/>
      <c r="J615" s="120"/>
      <c r="K615" s="59"/>
      <c r="L615" s="5"/>
      <c r="N615" s="59"/>
    </row>
    <row r="616" ht="13.5" customHeight="1">
      <c r="A616" s="38"/>
      <c r="B616" s="59"/>
      <c r="C616" s="121" t="s">
        <v>136</v>
      </c>
      <c r="D616" s="25"/>
      <c r="E616" s="122">
        <f t="shared" ref="E616:J616" si="149">E614-E615</f>
        <v>0</v>
      </c>
      <c r="F616" s="122">
        <f t="shared" si="149"/>
        <v>0</v>
      </c>
      <c r="G616" s="122">
        <f t="shared" si="149"/>
        <v>0</v>
      </c>
      <c r="H616" s="122">
        <f t="shared" si="149"/>
        <v>0</v>
      </c>
      <c r="I616" s="122">
        <f t="shared" si="149"/>
        <v>0</v>
      </c>
      <c r="J616" s="123">
        <f t="shared" si="149"/>
        <v>0</v>
      </c>
      <c r="K616" s="59"/>
      <c r="L616" s="5"/>
      <c r="N616" s="59"/>
    </row>
    <row r="617" ht="13.5" customHeight="1">
      <c r="A617" s="38"/>
      <c r="B617" s="59"/>
      <c r="C617" s="110" t="s">
        <v>137</v>
      </c>
      <c r="D617" s="111"/>
      <c r="E617" s="112">
        <f t="shared" ref="E617:J617" si="150">E26+E44+E62+E80+E98+E116+E134+E152+E170+E188+E206+E224+E242+E260+E278+E296+E314+E332+E350+E368+E386+E404+E422+E440+E458+E471+E484+E497+E510+E523+E536+E549+E562+E575+E588</f>
        <v>0</v>
      </c>
      <c r="F617" s="112">
        <f t="shared" si="150"/>
        <v>0</v>
      </c>
      <c r="G617" s="112">
        <f t="shared" si="150"/>
        <v>0</v>
      </c>
      <c r="H617" s="112">
        <f t="shared" si="150"/>
        <v>0</v>
      </c>
      <c r="I617" s="112">
        <f t="shared" si="150"/>
        <v>0</v>
      </c>
      <c r="J617" s="113">
        <f t="shared" si="150"/>
        <v>0</v>
      </c>
      <c r="K617" s="54"/>
      <c r="L617" s="111"/>
      <c r="N617" s="59"/>
    </row>
    <row r="618" ht="13.5" customHeight="1">
      <c r="A618" s="38"/>
      <c r="B618" s="59"/>
      <c r="C618" s="118" t="s">
        <v>135</v>
      </c>
      <c r="D618" s="111"/>
      <c r="E618" s="119"/>
      <c r="F618" s="119"/>
      <c r="G618" s="119"/>
      <c r="H618" s="119"/>
      <c r="I618" s="119"/>
      <c r="J618" s="120"/>
      <c r="K618" s="134" t="s">
        <v>135</v>
      </c>
      <c r="L618" s="135"/>
      <c r="N618" s="59"/>
    </row>
    <row r="619" ht="13.5" customHeight="1">
      <c r="A619" s="126"/>
      <c r="B619" s="33"/>
      <c r="C619" s="121" t="s">
        <v>136</v>
      </c>
      <c r="D619" s="25"/>
      <c r="E619" s="122">
        <f t="shared" ref="E619:J619" si="151">E617-E618</f>
        <v>0</v>
      </c>
      <c r="F619" s="122">
        <f t="shared" si="151"/>
        <v>0</v>
      </c>
      <c r="G619" s="122">
        <f t="shared" si="151"/>
        <v>0</v>
      </c>
      <c r="H619" s="122">
        <f t="shared" si="151"/>
        <v>0</v>
      </c>
      <c r="I619" s="122">
        <f t="shared" si="151"/>
        <v>0</v>
      </c>
      <c r="J619" s="123">
        <f t="shared" si="151"/>
        <v>0</v>
      </c>
      <c r="K619" s="136" t="s">
        <v>136</v>
      </c>
      <c r="L619" s="137">
        <f>L614-L618</f>
        <v>0</v>
      </c>
      <c r="M619" s="129"/>
      <c r="N619" s="54"/>
    </row>
    <row r="620" ht="13.5" customHeight="1">
      <c r="A620" s="138" t="s">
        <v>144</v>
      </c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5"/>
    </row>
    <row r="621" ht="13.5" customHeight="1">
      <c r="A621" s="139"/>
      <c r="B621" s="140"/>
      <c r="C621" s="140"/>
      <c r="D621" s="140"/>
      <c r="E621" s="141" t="s">
        <v>7</v>
      </c>
      <c r="F621" s="141" t="s">
        <v>145</v>
      </c>
      <c r="G621" s="141" t="s">
        <v>9</v>
      </c>
      <c r="H621" s="141" t="s">
        <v>10</v>
      </c>
      <c r="I621" s="141" t="s">
        <v>11</v>
      </c>
      <c r="J621" s="142" t="s">
        <v>146</v>
      </c>
      <c r="K621" s="140"/>
      <c r="L621" s="140"/>
      <c r="M621" s="140"/>
      <c r="N621" s="140"/>
    </row>
    <row r="622" ht="13.5" customHeight="1">
      <c r="A622" s="143">
        <v>1.0</v>
      </c>
      <c r="B622" s="144" t="s">
        <v>147</v>
      </c>
      <c r="C622" s="129"/>
      <c r="D622" s="111"/>
      <c r="E622" s="145">
        <f t="shared" ref="E622:J622" si="152">E13+E31+E49+E67+E85+E103+E121+E139+E157+E175+E193+E211+E229+E247+E265+E283+E301+E319+E337+E355+E373+E391+E409+E427+E445</f>
        <v>0</v>
      </c>
      <c r="F622" s="145">
        <f t="shared" si="152"/>
        <v>0</v>
      </c>
      <c r="G622" s="145">
        <f t="shared" si="152"/>
        <v>0</v>
      </c>
      <c r="H622" s="145">
        <f t="shared" si="152"/>
        <v>0</v>
      </c>
      <c r="I622" s="145">
        <f t="shared" si="152"/>
        <v>0</v>
      </c>
      <c r="J622" s="146">
        <f t="shared" si="152"/>
        <v>0</v>
      </c>
      <c r="K622" s="147"/>
      <c r="L622" s="2"/>
      <c r="M622" s="2"/>
      <c r="N622" s="3"/>
    </row>
    <row r="623" ht="13.5" customHeight="1">
      <c r="A623" s="68"/>
      <c r="B623" s="148" t="s">
        <v>148</v>
      </c>
      <c r="C623" s="129"/>
      <c r="D623" s="54"/>
      <c r="E623" s="149">
        <f t="shared" ref="E623:J623" si="153">E15+E33+E51+E69+E87+E105+E123+E141+E159+E177+E195+E213+E231+E249+E267+E285+E303+E321+E339+E357+E375+E393+E411+E429+E447+E463+E476+E489+E502+E515+E528+E541+E554+E567+E580</f>
        <v>0</v>
      </c>
      <c r="F623" s="149">
        <f t="shared" si="153"/>
        <v>0</v>
      </c>
      <c r="G623" s="149">
        <f t="shared" si="153"/>
        <v>0</v>
      </c>
      <c r="H623" s="149">
        <f t="shared" si="153"/>
        <v>0</v>
      </c>
      <c r="I623" s="149">
        <f t="shared" si="153"/>
        <v>0</v>
      </c>
      <c r="J623" s="150">
        <f t="shared" si="153"/>
        <v>0</v>
      </c>
      <c r="K623" s="38"/>
      <c r="N623" s="5"/>
    </row>
    <row r="624" ht="13.5" customHeight="1">
      <c r="A624" s="68"/>
      <c r="B624" s="148" t="s">
        <v>149</v>
      </c>
      <c r="C624" s="129"/>
      <c r="D624" s="54"/>
      <c r="E624" s="151">
        <f t="shared" ref="E624:J624" si="154">E16+E34+E52+E70+E88+E106+E124+E142+E160+E178+E196+E214+E232+E250+E268+E286+E304+E322+E340+E358+E376+E394+E412+E430+E448+E464+E477+E490+E503+E516+E529+E542+E555+E568+E581</f>
        <v>0</v>
      </c>
      <c r="F624" s="151">
        <f t="shared" si="154"/>
        <v>0</v>
      </c>
      <c r="G624" s="151">
        <f t="shared" si="154"/>
        <v>0</v>
      </c>
      <c r="H624" s="151">
        <f t="shared" si="154"/>
        <v>0</v>
      </c>
      <c r="I624" s="151">
        <f t="shared" si="154"/>
        <v>0</v>
      </c>
      <c r="J624" s="152">
        <f t="shared" si="154"/>
        <v>0</v>
      </c>
      <c r="K624" s="38"/>
      <c r="N624" s="5"/>
    </row>
    <row r="625" ht="13.5" customHeight="1">
      <c r="A625" s="68"/>
      <c r="B625" s="148" t="s">
        <v>150</v>
      </c>
      <c r="C625" s="129"/>
      <c r="D625" s="54"/>
      <c r="E625" s="153">
        <f t="shared" ref="E625:J625" si="155">E14+E32+E50+E68+E86+E104+E122+E140+E158+E176+E194+E212+E230+E248+E266+E284+E302+E320+E338+E356+E374+E392+E410+E428+E446+E462+E475+E488+E501+E514+E527+E540+E553+E566+E579</f>
        <v>0</v>
      </c>
      <c r="F625" s="153">
        <f t="shared" si="155"/>
        <v>0</v>
      </c>
      <c r="G625" s="153">
        <f t="shared" si="155"/>
        <v>0</v>
      </c>
      <c r="H625" s="153">
        <f t="shared" si="155"/>
        <v>0</v>
      </c>
      <c r="I625" s="153">
        <f t="shared" si="155"/>
        <v>0</v>
      </c>
      <c r="J625" s="154">
        <f t="shared" si="155"/>
        <v>0</v>
      </c>
      <c r="K625" s="38"/>
      <c r="N625" s="5"/>
    </row>
    <row r="626" ht="13.5" customHeight="1">
      <c r="A626" s="80"/>
      <c r="B626" s="155" t="s">
        <v>151</v>
      </c>
      <c r="C626" s="24"/>
      <c r="D626" s="33"/>
      <c r="E626" s="156">
        <f t="shared" ref="E626:J626" si="156">(E623+E624)</f>
        <v>0</v>
      </c>
      <c r="F626" s="156">
        <f t="shared" si="156"/>
        <v>0</v>
      </c>
      <c r="G626" s="156">
        <f t="shared" si="156"/>
        <v>0</v>
      </c>
      <c r="H626" s="156">
        <f t="shared" si="156"/>
        <v>0</v>
      </c>
      <c r="I626" s="156">
        <f t="shared" si="156"/>
        <v>0</v>
      </c>
      <c r="J626" s="157">
        <f t="shared" si="156"/>
        <v>0</v>
      </c>
      <c r="K626" s="126"/>
      <c r="L626" s="24"/>
      <c r="M626" s="24"/>
      <c r="N626" s="25"/>
    </row>
    <row r="627" ht="13.5" customHeight="1">
      <c r="A627" s="139"/>
      <c r="B627" s="140"/>
      <c r="C627" s="140"/>
      <c r="D627" s="140"/>
      <c r="E627" s="141" t="s">
        <v>7</v>
      </c>
      <c r="F627" s="141" t="s">
        <v>145</v>
      </c>
      <c r="G627" s="141" t="s">
        <v>9</v>
      </c>
      <c r="H627" s="141" t="s">
        <v>10</v>
      </c>
      <c r="I627" s="141" t="s">
        <v>11</v>
      </c>
      <c r="J627" s="142" t="s">
        <v>146</v>
      </c>
      <c r="K627" s="140"/>
      <c r="L627" s="140"/>
      <c r="M627" s="140"/>
      <c r="N627" s="140"/>
    </row>
    <row r="628" ht="13.5" customHeight="1">
      <c r="A628" s="143">
        <v>2.0</v>
      </c>
      <c r="B628" s="144" t="s">
        <v>147</v>
      </c>
      <c r="C628" s="129"/>
      <c r="D628" s="111"/>
      <c r="E628" s="145">
        <f t="shared" ref="E628:J628" si="157">E17+E35+E53+E71+E89+E107+E125+E143+E161+E179+E197+E215+E233+E251+E269+E287+E305+E323+E341+E359+E377+E395+E413+E431+E449</f>
        <v>0</v>
      </c>
      <c r="F628" s="145">
        <f t="shared" si="157"/>
        <v>-3</v>
      </c>
      <c r="G628" s="145">
        <f t="shared" si="157"/>
        <v>-5</v>
      </c>
      <c r="H628" s="145">
        <f t="shared" si="157"/>
        <v>-2</v>
      </c>
      <c r="I628" s="145">
        <f t="shared" si="157"/>
        <v>-7</v>
      </c>
      <c r="J628" s="146">
        <f t="shared" si="157"/>
        <v>-5</v>
      </c>
      <c r="K628" s="147"/>
      <c r="L628" s="2"/>
      <c r="M628" s="2"/>
      <c r="N628" s="3"/>
    </row>
    <row r="629" ht="13.5" customHeight="1">
      <c r="A629" s="68"/>
      <c r="B629" s="148" t="s">
        <v>148</v>
      </c>
      <c r="C629" s="129"/>
      <c r="D629" s="54"/>
      <c r="E629" s="149">
        <f t="shared" ref="E629:J629" si="158">E19+E37+E55+E73+E91+E109+E127+E145+E163+E181+E199+E217+E235+E253+E271+E289+E307+E325+E343+E361+E379+E397+E415+E433+E451+E466+E479+E492+E505+E518+E531+E544+E557+E570+E583</f>
        <v>0</v>
      </c>
      <c r="F629" s="149">
        <f t="shared" si="158"/>
        <v>22</v>
      </c>
      <c r="G629" s="149">
        <f t="shared" si="158"/>
        <v>15</v>
      </c>
      <c r="H629" s="149">
        <f t="shared" si="158"/>
        <v>10</v>
      </c>
      <c r="I629" s="149">
        <f t="shared" si="158"/>
        <v>10</v>
      </c>
      <c r="J629" s="150">
        <f t="shared" si="158"/>
        <v>29</v>
      </c>
      <c r="K629" s="38"/>
      <c r="N629" s="5"/>
    </row>
    <row r="630" ht="13.5" customHeight="1">
      <c r="A630" s="68"/>
      <c r="B630" s="148" t="s">
        <v>149</v>
      </c>
      <c r="C630" s="129"/>
      <c r="D630" s="54"/>
      <c r="E630" s="151">
        <f t="shared" ref="E630:J630" si="159">E20+E38+E56+E74+E92+E110+E128+E146+E164+E182+E200+E218+E236+E254+E272+E290+E308+E326+E344+E362+E380+E398+E416+E434+E452+E467+E480+E493+E506+E519+E532+E545+E558+E571+E584</f>
        <v>0</v>
      </c>
      <c r="F630" s="151">
        <f t="shared" si="159"/>
        <v>0</v>
      </c>
      <c r="G630" s="151">
        <f t="shared" si="159"/>
        <v>0</v>
      </c>
      <c r="H630" s="151">
        <f t="shared" si="159"/>
        <v>0</v>
      </c>
      <c r="I630" s="151">
        <f t="shared" si="159"/>
        <v>0</v>
      </c>
      <c r="J630" s="152">
        <f t="shared" si="159"/>
        <v>0</v>
      </c>
      <c r="K630" s="38"/>
      <c r="N630" s="5"/>
    </row>
    <row r="631" ht="13.5" customHeight="1">
      <c r="A631" s="68"/>
      <c r="B631" s="148" t="s">
        <v>150</v>
      </c>
      <c r="C631" s="129"/>
      <c r="D631" s="54"/>
      <c r="E631" s="153">
        <f t="shared" ref="E631:J631" si="160">E18+E36+E54+E72+E90+E108+E126+E144+E162+E180+E198+E216+E234+E252+E270+E288+E306+E324+E342+E360+E378+E396+E414+E432+E450+E465+E478+E491+E504+E517+E530+E543+E556+E569+E582</f>
        <v>0</v>
      </c>
      <c r="F631" s="153">
        <f t="shared" si="160"/>
        <v>3</v>
      </c>
      <c r="G631" s="153">
        <f t="shared" si="160"/>
        <v>5</v>
      </c>
      <c r="H631" s="153">
        <f t="shared" si="160"/>
        <v>2</v>
      </c>
      <c r="I631" s="153">
        <f t="shared" si="160"/>
        <v>7</v>
      </c>
      <c r="J631" s="154">
        <f t="shared" si="160"/>
        <v>5</v>
      </c>
      <c r="K631" s="38"/>
      <c r="N631" s="5"/>
    </row>
    <row r="632" ht="13.5" customHeight="1">
      <c r="A632" s="80"/>
      <c r="B632" s="155" t="s">
        <v>151</v>
      </c>
      <c r="C632" s="24"/>
      <c r="D632" s="33"/>
      <c r="E632" s="156">
        <f t="shared" ref="E632:J632" si="161">(E629+E630)</f>
        <v>0</v>
      </c>
      <c r="F632" s="156">
        <f t="shared" si="161"/>
        <v>22</v>
      </c>
      <c r="G632" s="156">
        <f t="shared" si="161"/>
        <v>15</v>
      </c>
      <c r="H632" s="156">
        <f t="shared" si="161"/>
        <v>10</v>
      </c>
      <c r="I632" s="156">
        <f t="shared" si="161"/>
        <v>10</v>
      </c>
      <c r="J632" s="157">
        <f t="shared" si="161"/>
        <v>29</v>
      </c>
      <c r="K632" s="126"/>
      <c r="L632" s="24"/>
      <c r="M632" s="24"/>
      <c r="N632" s="25"/>
    </row>
    <row r="633" ht="13.5" customHeight="1">
      <c r="A633" s="139"/>
      <c r="B633" s="140"/>
      <c r="C633" s="140"/>
      <c r="D633" s="140"/>
      <c r="E633" s="141" t="s">
        <v>7</v>
      </c>
      <c r="F633" s="141" t="s">
        <v>145</v>
      </c>
      <c r="G633" s="141" t="s">
        <v>9</v>
      </c>
      <c r="H633" s="141" t="s">
        <v>10</v>
      </c>
      <c r="I633" s="141" t="s">
        <v>11</v>
      </c>
      <c r="J633" s="142" t="s">
        <v>146</v>
      </c>
      <c r="K633" s="140"/>
      <c r="L633" s="140"/>
      <c r="M633" s="140"/>
      <c r="N633" s="140"/>
    </row>
    <row r="634" ht="13.5" customHeight="1">
      <c r="A634" s="143">
        <v>3.0</v>
      </c>
      <c r="B634" s="144" t="s">
        <v>147</v>
      </c>
      <c r="C634" s="129"/>
      <c r="D634" s="111"/>
      <c r="E634" s="145">
        <f t="shared" ref="E634:J634" si="162">E21+E39+E57+E75+E93+E111+E129+E147+E165+E183+E201+E219+E237+E255+E273+E291+E309+E327+E345+E363+E381+E399+E417+E435+E453</f>
        <v>0</v>
      </c>
      <c r="F634" s="145">
        <f t="shared" si="162"/>
        <v>14</v>
      </c>
      <c r="G634" s="145">
        <f t="shared" si="162"/>
        <v>6</v>
      </c>
      <c r="H634" s="145">
        <f t="shared" si="162"/>
        <v>3</v>
      </c>
      <c r="I634" s="145">
        <f t="shared" si="162"/>
        <v>6</v>
      </c>
      <c r="J634" s="146">
        <f t="shared" si="162"/>
        <v>23</v>
      </c>
      <c r="K634" s="147"/>
      <c r="L634" s="2"/>
      <c r="M634" s="2"/>
      <c r="N634" s="3"/>
    </row>
    <row r="635" ht="13.5" customHeight="1">
      <c r="A635" s="68"/>
      <c r="B635" s="148" t="s">
        <v>148</v>
      </c>
      <c r="C635" s="129"/>
      <c r="D635" s="54"/>
      <c r="E635" s="158">
        <f t="shared" ref="E635:J635" si="163">E23+E41+E59+E77+E95+E113+E131+E149+E167+E185+E203+E221+E239+E257+E275+E293+E311+E329+E347+E365+E383+E401+E419+E437+E455+E469+E482+E495+E508+E521+E534+E547+E573+E586</f>
        <v>0</v>
      </c>
      <c r="F635" s="158">
        <f t="shared" si="163"/>
        <v>28</v>
      </c>
      <c r="G635" s="158">
        <f t="shared" si="163"/>
        <v>28</v>
      </c>
      <c r="H635" s="158">
        <f t="shared" si="163"/>
        <v>16</v>
      </c>
      <c r="I635" s="158">
        <f t="shared" si="163"/>
        <v>16</v>
      </c>
      <c r="J635" s="159">
        <f t="shared" si="163"/>
        <v>32</v>
      </c>
      <c r="K635" s="38"/>
      <c r="N635" s="5"/>
    </row>
    <row r="636" ht="13.5" customHeight="1">
      <c r="A636" s="68"/>
      <c r="B636" s="148" t="s">
        <v>149</v>
      </c>
      <c r="C636" s="129"/>
      <c r="D636" s="54"/>
      <c r="E636" s="160">
        <f t="shared" ref="E636:J636" si="164">E24+E42+E60+E78+E96+E114+E132+E150+E168+E186+E204+E222+E240+E258+E276+E294+E312+E330+E348+E366+E384+E402+E420+E438+E456+E470+E483+E496+E509+E522+E535+E548+E561+E574+E587</f>
        <v>0</v>
      </c>
      <c r="F636" s="160">
        <f t="shared" si="164"/>
        <v>0</v>
      </c>
      <c r="G636" s="160">
        <f t="shared" si="164"/>
        <v>0</v>
      </c>
      <c r="H636" s="160">
        <f t="shared" si="164"/>
        <v>0</v>
      </c>
      <c r="I636" s="160">
        <f t="shared" si="164"/>
        <v>0</v>
      </c>
      <c r="J636" s="161">
        <f t="shared" si="164"/>
        <v>0</v>
      </c>
      <c r="K636" s="38"/>
      <c r="N636" s="5"/>
    </row>
    <row r="637" ht="13.5" customHeight="1">
      <c r="A637" s="68"/>
      <c r="B637" s="148" t="s">
        <v>150</v>
      </c>
      <c r="C637" s="129"/>
      <c r="D637" s="54"/>
      <c r="E637" s="162">
        <f t="shared" ref="E637:J637" si="165">E22+E40+E58+E76+E94+E112+E130+E148+E166+E184+E202+E220+E238+E256+E274+E292+E310+E328+E346+E364+E382+E400+E418+E436+E454+E468+E481+E494+E507+E520+E533+E546+E559+E572+E585</f>
        <v>0</v>
      </c>
      <c r="F637" s="162">
        <f t="shared" si="165"/>
        <v>8</v>
      </c>
      <c r="G637" s="162">
        <f t="shared" si="165"/>
        <v>9</v>
      </c>
      <c r="H637" s="162">
        <f t="shared" si="165"/>
        <v>7</v>
      </c>
      <c r="I637" s="162">
        <f t="shared" si="165"/>
        <v>4</v>
      </c>
      <c r="J637" s="163">
        <f t="shared" si="165"/>
        <v>6</v>
      </c>
      <c r="K637" s="38"/>
      <c r="N637" s="5"/>
    </row>
    <row r="638" ht="13.5" customHeight="1">
      <c r="A638" s="80"/>
      <c r="B638" s="155" t="s">
        <v>151</v>
      </c>
      <c r="C638" s="24"/>
      <c r="D638" s="33"/>
      <c r="E638" s="164">
        <f t="shared" ref="E638:J638" si="166">(E635+E636)</f>
        <v>0</v>
      </c>
      <c r="F638" s="164">
        <f t="shared" si="166"/>
        <v>28</v>
      </c>
      <c r="G638" s="164">
        <f t="shared" si="166"/>
        <v>28</v>
      </c>
      <c r="H638" s="164">
        <f t="shared" si="166"/>
        <v>16</v>
      </c>
      <c r="I638" s="164">
        <f t="shared" si="166"/>
        <v>16</v>
      </c>
      <c r="J638" s="165">
        <f t="shared" si="166"/>
        <v>32</v>
      </c>
      <c r="K638" s="126"/>
      <c r="L638" s="24"/>
      <c r="M638" s="24"/>
      <c r="N638" s="25"/>
    </row>
    <row r="639" ht="13.5" customHeight="1">
      <c r="A639" s="139"/>
      <c r="B639" s="140"/>
      <c r="C639" s="140"/>
      <c r="D639" s="140"/>
      <c r="E639" s="141" t="s">
        <v>7</v>
      </c>
      <c r="F639" s="141" t="s">
        <v>145</v>
      </c>
      <c r="G639" s="141" t="s">
        <v>9</v>
      </c>
      <c r="H639" s="141" t="s">
        <v>10</v>
      </c>
      <c r="I639" s="141" t="s">
        <v>11</v>
      </c>
      <c r="J639" s="142" t="s">
        <v>146</v>
      </c>
      <c r="K639" s="140"/>
      <c r="L639" s="140"/>
      <c r="M639" s="140"/>
      <c r="N639" s="140"/>
    </row>
    <row r="640" ht="13.5" customHeight="1">
      <c r="A640" s="143">
        <v>4.0</v>
      </c>
      <c r="B640" s="144" t="s">
        <v>147</v>
      </c>
      <c r="C640" s="129"/>
      <c r="D640" s="111"/>
      <c r="E640" s="145">
        <f t="shared" ref="E640:J640" si="167">E25+E43+E61+E79+E97+E115+E133+E151+E169+E187+E205+E223+E241+E259+E277+E295+E313+E331+E349+E367+E385+E403+E421+E439+E457</f>
        <v>0</v>
      </c>
      <c r="F640" s="145">
        <f t="shared" si="167"/>
        <v>28</v>
      </c>
      <c r="G640" s="145">
        <f t="shared" si="167"/>
        <v>28</v>
      </c>
      <c r="H640" s="145">
        <f t="shared" si="167"/>
        <v>16</v>
      </c>
      <c r="I640" s="145">
        <f t="shared" si="167"/>
        <v>16</v>
      </c>
      <c r="J640" s="146">
        <f t="shared" si="167"/>
        <v>32</v>
      </c>
      <c r="K640" s="147"/>
      <c r="L640" s="2"/>
      <c r="M640" s="2"/>
      <c r="N640" s="3"/>
    </row>
    <row r="641" ht="13.5" customHeight="1">
      <c r="A641" s="68"/>
      <c r="B641" s="148" t="s">
        <v>148</v>
      </c>
      <c r="C641" s="129"/>
      <c r="D641" s="54"/>
      <c r="E641" s="149">
        <f t="shared" ref="E641:J641" si="168">E27+E45+E63+E81+E99+E117+E135+E153+E171+E189+E207+E225+E243+E261+E279+E297+E315+E333+E351+E369+E387+E405+E423+E441+E459+E472+E485+E498+E511+E524+E537+E550+E563+E576+E589</f>
        <v>0</v>
      </c>
      <c r="F641" s="149">
        <f t="shared" si="168"/>
        <v>0</v>
      </c>
      <c r="G641" s="149">
        <f t="shared" si="168"/>
        <v>0</v>
      </c>
      <c r="H641" s="149">
        <f t="shared" si="168"/>
        <v>0</v>
      </c>
      <c r="I641" s="149">
        <f t="shared" si="168"/>
        <v>0</v>
      </c>
      <c r="J641" s="150">
        <f t="shared" si="168"/>
        <v>0</v>
      </c>
      <c r="K641" s="38"/>
      <c r="N641" s="5"/>
    </row>
    <row r="642" ht="13.5" customHeight="1">
      <c r="A642" s="68"/>
      <c r="B642" s="148" t="s">
        <v>149</v>
      </c>
      <c r="C642" s="129"/>
      <c r="D642" s="54"/>
      <c r="E642" s="151">
        <f t="shared" ref="E642:J642" si="169">E28+E46+E64+E82+E100+E118+E136+E154+E172+E190+E208+E226+E244+E262+E280+E298+E316+E334+E352+E370+E388+E406+E424+E442+E460+E473+E486+E499+E512+E525+E538+E551+E564+E577+E590</f>
        <v>0</v>
      </c>
      <c r="F642" s="151">
        <f t="shared" si="169"/>
        <v>0</v>
      </c>
      <c r="G642" s="151">
        <f t="shared" si="169"/>
        <v>0</v>
      </c>
      <c r="H642" s="151">
        <f t="shared" si="169"/>
        <v>0</v>
      </c>
      <c r="I642" s="151">
        <f t="shared" si="169"/>
        <v>0</v>
      </c>
      <c r="J642" s="152">
        <f t="shared" si="169"/>
        <v>0</v>
      </c>
      <c r="K642" s="38"/>
      <c r="N642" s="5"/>
    </row>
    <row r="643" ht="13.5" customHeight="1">
      <c r="A643" s="68"/>
      <c r="B643" s="148" t="s">
        <v>150</v>
      </c>
      <c r="C643" s="129"/>
      <c r="D643" s="54"/>
      <c r="E643" s="153">
        <f t="shared" ref="E643:J643" si="170">E26+E44+E62+E80+E98+E116+E134+E152+E170+E188+E206+E224+E242+E260+E278+E296+E314+E332+E350+E368+E386+E404+E422+E440+E458+E471+E484+E497+E510+E523+E536+E549+E562+E575+E588</f>
        <v>0</v>
      </c>
      <c r="F643" s="153">
        <f t="shared" si="170"/>
        <v>0</v>
      </c>
      <c r="G643" s="153">
        <f t="shared" si="170"/>
        <v>0</v>
      </c>
      <c r="H643" s="153">
        <f t="shared" si="170"/>
        <v>0</v>
      </c>
      <c r="I643" s="153">
        <f t="shared" si="170"/>
        <v>0</v>
      </c>
      <c r="J643" s="154">
        <f t="shared" si="170"/>
        <v>0</v>
      </c>
      <c r="K643" s="38"/>
      <c r="N643" s="5"/>
    </row>
    <row r="644" ht="13.5" customHeight="1">
      <c r="A644" s="80"/>
      <c r="B644" s="155" t="s">
        <v>151</v>
      </c>
      <c r="C644" s="24"/>
      <c r="D644" s="33"/>
      <c r="E644" s="156">
        <f t="shared" ref="E644:J644" si="171">(E641+E642)</f>
        <v>0</v>
      </c>
      <c r="F644" s="156">
        <f t="shared" si="171"/>
        <v>0</v>
      </c>
      <c r="G644" s="156">
        <f t="shared" si="171"/>
        <v>0</v>
      </c>
      <c r="H644" s="156">
        <f t="shared" si="171"/>
        <v>0</v>
      </c>
      <c r="I644" s="156">
        <f t="shared" si="171"/>
        <v>0</v>
      </c>
      <c r="J644" s="157">
        <f t="shared" si="171"/>
        <v>0</v>
      </c>
      <c r="K644" s="126"/>
      <c r="L644" s="24"/>
      <c r="M644" s="24"/>
      <c r="N644" s="25"/>
    </row>
    <row r="645" ht="13.5" customHeight="1">
      <c r="A645" s="166" t="s">
        <v>152</v>
      </c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5"/>
    </row>
    <row r="646" ht="13.5" customHeight="1">
      <c r="A646" s="139"/>
      <c r="B646" s="140"/>
      <c r="C646" s="140"/>
      <c r="D646" s="140"/>
      <c r="E646" s="141" t="s">
        <v>7</v>
      </c>
      <c r="F646" s="141" t="s">
        <v>145</v>
      </c>
      <c r="G646" s="141" t="s">
        <v>9</v>
      </c>
      <c r="H646" s="141" t="s">
        <v>10</v>
      </c>
      <c r="I646" s="141" t="s">
        <v>11</v>
      </c>
      <c r="J646" s="142" t="s">
        <v>146</v>
      </c>
      <c r="K646" s="140"/>
      <c r="L646" s="140"/>
      <c r="M646" s="140"/>
      <c r="N646" s="140"/>
    </row>
    <row r="647" ht="13.5" customHeight="1">
      <c r="A647" s="167" t="s">
        <v>2</v>
      </c>
      <c r="B647" s="144" t="s">
        <v>147</v>
      </c>
      <c r="C647" s="129"/>
      <c r="D647" s="111"/>
      <c r="E647" s="145">
        <f t="shared" ref="E647:J647" si="172">E622+E628+E634+E640</f>
        <v>0</v>
      </c>
      <c r="F647" s="145">
        <f t="shared" si="172"/>
        <v>39</v>
      </c>
      <c r="G647" s="145">
        <f t="shared" si="172"/>
        <v>29</v>
      </c>
      <c r="H647" s="145">
        <f t="shared" si="172"/>
        <v>17</v>
      </c>
      <c r="I647" s="145">
        <f t="shared" si="172"/>
        <v>15</v>
      </c>
      <c r="J647" s="146">
        <f t="shared" si="172"/>
        <v>50</v>
      </c>
      <c r="K647" s="147"/>
      <c r="L647" s="2"/>
      <c r="M647" s="2"/>
      <c r="N647" s="3"/>
    </row>
    <row r="648" ht="13.5" customHeight="1">
      <c r="A648" s="68"/>
      <c r="B648" s="148" t="s">
        <v>148</v>
      </c>
      <c r="C648" s="129"/>
      <c r="D648" s="54"/>
      <c r="E648" s="149">
        <f t="shared" ref="E648:J648" si="173">E623+E629+E635+E641</f>
        <v>0</v>
      </c>
      <c r="F648" s="149">
        <f t="shared" si="173"/>
        <v>50</v>
      </c>
      <c r="G648" s="149">
        <f t="shared" si="173"/>
        <v>43</v>
      </c>
      <c r="H648" s="149">
        <f t="shared" si="173"/>
        <v>26</v>
      </c>
      <c r="I648" s="149">
        <f t="shared" si="173"/>
        <v>26</v>
      </c>
      <c r="J648" s="150">
        <f t="shared" si="173"/>
        <v>61</v>
      </c>
      <c r="K648" s="38"/>
      <c r="N648" s="5"/>
    </row>
    <row r="649" ht="13.5" customHeight="1">
      <c r="A649" s="68"/>
      <c r="B649" s="148" t="s">
        <v>149</v>
      </c>
      <c r="C649" s="129"/>
      <c r="D649" s="54"/>
      <c r="E649" s="151">
        <f t="shared" ref="E649:J649" si="174">E624+E630+E636+E642</f>
        <v>0</v>
      </c>
      <c r="F649" s="151">
        <f t="shared" si="174"/>
        <v>0</v>
      </c>
      <c r="G649" s="151">
        <f t="shared" si="174"/>
        <v>0</v>
      </c>
      <c r="H649" s="151">
        <f t="shared" si="174"/>
        <v>0</v>
      </c>
      <c r="I649" s="151">
        <f t="shared" si="174"/>
        <v>0</v>
      </c>
      <c r="J649" s="152">
        <f t="shared" si="174"/>
        <v>0</v>
      </c>
      <c r="K649" s="38"/>
      <c r="N649" s="5"/>
    </row>
    <row r="650" ht="13.5" customHeight="1">
      <c r="A650" s="68"/>
      <c r="B650" s="148" t="s">
        <v>153</v>
      </c>
      <c r="C650" s="129"/>
      <c r="D650" s="54"/>
      <c r="E650" s="153">
        <f t="shared" ref="E650:J650" si="175">E625+E631+E637+E643</f>
        <v>0</v>
      </c>
      <c r="F650" s="153">
        <f t="shared" si="175"/>
        <v>11</v>
      </c>
      <c r="G650" s="153">
        <f t="shared" si="175"/>
        <v>14</v>
      </c>
      <c r="H650" s="153">
        <f t="shared" si="175"/>
        <v>9</v>
      </c>
      <c r="I650" s="153">
        <f t="shared" si="175"/>
        <v>11</v>
      </c>
      <c r="J650" s="154">
        <f t="shared" si="175"/>
        <v>11</v>
      </c>
      <c r="K650" s="38"/>
      <c r="N650" s="5"/>
    </row>
    <row r="651" ht="13.5" customHeight="1">
      <c r="A651" s="80"/>
      <c r="B651" s="155" t="s">
        <v>151</v>
      </c>
      <c r="C651" s="24"/>
      <c r="D651" s="25"/>
      <c r="E651" s="156">
        <f t="shared" ref="E651:J651" si="176">(E648+E649)-E650</f>
        <v>0</v>
      </c>
      <c r="F651" s="156">
        <f t="shared" si="176"/>
        <v>39</v>
      </c>
      <c r="G651" s="156">
        <f t="shared" si="176"/>
        <v>29</v>
      </c>
      <c r="H651" s="156">
        <f t="shared" si="176"/>
        <v>17</v>
      </c>
      <c r="I651" s="156">
        <f t="shared" si="176"/>
        <v>15</v>
      </c>
      <c r="J651" s="157">
        <f t="shared" si="176"/>
        <v>50</v>
      </c>
      <c r="K651" s="126"/>
      <c r="L651" s="24"/>
      <c r="M651" s="24"/>
      <c r="N651" s="25"/>
    </row>
  </sheetData>
  <mergeCells count="1188">
    <mergeCell ref="B327:B328"/>
    <mergeCell ref="B331:B332"/>
    <mergeCell ref="C331:D331"/>
    <mergeCell ref="A332:A334"/>
    <mergeCell ref="C332:D332"/>
    <mergeCell ref="C333:D333"/>
    <mergeCell ref="C334:D334"/>
    <mergeCell ref="B335:D335"/>
    <mergeCell ref="C336:D336"/>
    <mergeCell ref="C337:D337"/>
    <mergeCell ref="C338:D338"/>
    <mergeCell ref="A339:A340"/>
    <mergeCell ref="C339:D339"/>
    <mergeCell ref="C340:D340"/>
    <mergeCell ref="C398:D398"/>
    <mergeCell ref="C399:D399"/>
    <mergeCell ref="B391:B392"/>
    <mergeCell ref="B395:B396"/>
    <mergeCell ref="C395:D395"/>
    <mergeCell ref="C396:D396"/>
    <mergeCell ref="C397:D397"/>
    <mergeCell ref="B399:B400"/>
    <mergeCell ref="C400:D400"/>
    <mergeCell ref="C404:D404"/>
    <mergeCell ref="C405:D405"/>
    <mergeCell ref="A396:A397"/>
    <mergeCell ref="A401:A402"/>
    <mergeCell ref="C401:D401"/>
    <mergeCell ref="C402:D402"/>
    <mergeCell ref="B403:B404"/>
    <mergeCell ref="C403:D403"/>
    <mergeCell ref="A404:A406"/>
    <mergeCell ref="C411:D411"/>
    <mergeCell ref="C412:D412"/>
    <mergeCell ref="C406:D406"/>
    <mergeCell ref="B407:D407"/>
    <mergeCell ref="C408:D408"/>
    <mergeCell ref="B409:B410"/>
    <mergeCell ref="C409:D409"/>
    <mergeCell ref="C410:D410"/>
    <mergeCell ref="A411:A412"/>
    <mergeCell ref="C417:D417"/>
    <mergeCell ref="C418:D418"/>
    <mergeCell ref="B413:B414"/>
    <mergeCell ref="C413:D413"/>
    <mergeCell ref="A414:A415"/>
    <mergeCell ref="C414:D414"/>
    <mergeCell ref="C415:D415"/>
    <mergeCell ref="C416:D416"/>
    <mergeCell ref="B417:B418"/>
    <mergeCell ref="C423:D423"/>
    <mergeCell ref="C424:D424"/>
    <mergeCell ref="A419:A420"/>
    <mergeCell ref="C419:D419"/>
    <mergeCell ref="C420:D420"/>
    <mergeCell ref="B421:B422"/>
    <mergeCell ref="C421:D421"/>
    <mergeCell ref="A422:A424"/>
    <mergeCell ref="C422:D422"/>
    <mergeCell ref="B427:B428"/>
    <mergeCell ref="B431:B432"/>
    <mergeCell ref="B425:D425"/>
    <mergeCell ref="C426:D426"/>
    <mergeCell ref="C427:D427"/>
    <mergeCell ref="C428:D428"/>
    <mergeCell ref="C429:D429"/>
    <mergeCell ref="C430:D430"/>
    <mergeCell ref="C431:D431"/>
    <mergeCell ref="B381:B382"/>
    <mergeCell ref="B385:B386"/>
    <mergeCell ref="C385:D385"/>
    <mergeCell ref="A386:A388"/>
    <mergeCell ref="C386:D386"/>
    <mergeCell ref="C387:D387"/>
    <mergeCell ref="C388:D388"/>
    <mergeCell ref="B389:D389"/>
    <mergeCell ref="C390:D390"/>
    <mergeCell ref="C391:D391"/>
    <mergeCell ref="C392:D392"/>
    <mergeCell ref="A393:A394"/>
    <mergeCell ref="C393:D393"/>
    <mergeCell ref="C394:D394"/>
    <mergeCell ref="A432:A433"/>
    <mergeCell ref="A437:A438"/>
    <mergeCell ref="A429:A430"/>
    <mergeCell ref="C432:D432"/>
    <mergeCell ref="C433:D433"/>
    <mergeCell ref="C434:D434"/>
    <mergeCell ref="B435:B436"/>
    <mergeCell ref="C435:D435"/>
    <mergeCell ref="C436:D436"/>
    <mergeCell ref="C195:D195"/>
    <mergeCell ref="C196:D196"/>
    <mergeCell ref="C190:D190"/>
    <mergeCell ref="B191:D191"/>
    <mergeCell ref="C192:D192"/>
    <mergeCell ref="B193:B194"/>
    <mergeCell ref="C193:D193"/>
    <mergeCell ref="C194:D194"/>
    <mergeCell ref="A195:A196"/>
    <mergeCell ref="C201:D201"/>
    <mergeCell ref="C202:D202"/>
    <mergeCell ref="B197:B198"/>
    <mergeCell ref="C197:D197"/>
    <mergeCell ref="A198:A199"/>
    <mergeCell ref="C198:D198"/>
    <mergeCell ref="C199:D199"/>
    <mergeCell ref="C200:D200"/>
    <mergeCell ref="B201:B202"/>
    <mergeCell ref="C207:D207"/>
    <mergeCell ref="C208:D208"/>
    <mergeCell ref="A203:A204"/>
    <mergeCell ref="C203:D203"/>
    <mergeCell ref="C204:D204"/>
    <mergeCell ref="B205:B206"/>
    <mergeCell ref="C205:D205"/>
    <mergeCell ref="A206:A208"/>
    <mergeCell ref="C206:D206"/>
    <mergeCell ref="C437:D437"/>
    <mergeCell ref="C438:D438"/>
    <mergeCell ref="B439:B440"/>
    <mergeCell ref="C439:D439"/>
    <mergeCell ref="A440:A442"/>
    <mergeCell ref="C440:D440"/>
    <mergeCell ref="C441:D441"/>
    <mergeCell ref="C459:D459"/>
    <mergeCell ref="C460:D460"/>
    <mergeCell ref="A455:A456"/>
    <mergeCell ref="C455:D455"/>
    <mergeCell ref="C456:D456"/>
    <mergeCell ref="C457:D457"/>
    <mergeCell ref="C458:D458"/>
    <mergeCell ref="B461:D461"/>
    <mergeCell ref="C462:D462"/>
    <mergeCell ref="C477:D477"/>
    <mergeCell ref="C478:D478"/>
    <mergeCell ref="C470:D470"/>
    <mergeCell ref="C471:D471"/>
    <mergeCell ref="C472:D472"/>
    <mergeCell ref="C473:D473"/>
    <mergeCell ref="B474:D474"/>
    <mergeCell ref="C475:D475"/>
    <mergeCell ref="C476:D476"/>
    <mergeCell ref="B481:B482"/>
    <mergeCell ref="B484:B485"/>
    <mergeCell ref="B488:B489"/>
    <mergeCell ref="B491:B492"/>
    <mergeCell ref="B494:B495"/>
    <mergeCell ref="B457:B458"/>
    <mergeCell ref="B462:B463"/>
    <mergeCell ref="B465:B466"/>
    <mergeCell ref="B468:B469"/>
    <mergeCell ref="B471:B472"/>
    <mergeCell ref="B475:B476"/>
    <mergeCell ref="B478:B479"/>
    <mergeCell ref="C486:D486"/>
    <mergeCell ref="B487:D487"/>
    <mergeCell ref="C488:D488"/>
    <mergeCell ref="C479:D479"/>
    <mergeCell ref="C480:D480"/>
    <mergeCell ref="C481:D481"/>
    <mergeCell ref="C482:D482"/>
    <mergeCell ref="C483:D483"/>
    <mergeCell ref="C484:D484"/>
    <mergeCell ref="C485:D485"/>
    <mergeCell ref="C492:D492"/>
    <mergeCell ref="C493:D493"/>
    <mergeCell ref="C494:D494"/>
    <mergeCell ref="A482:A483"/>
    <mergeCell ref="A485:A486"/>
    <mergeCell ref="A489:A490"/>
    <mergeCell ref="C489:D489"/>
    <mergeCell ref="C490:D490"/>
    <mergeCell ref="C491:D491"/>
    <mergeCell ref="A492:A493"/>
    <mergeCell ref="C447:D447"/>
    <mergeCell ref="C448:D448"/>
    <mergeCell ref="C442:D442"/>
    <mergeCell ref="B443:D443"/>
    <mergeCell ref="C444:D444"/>
    <mergeCell ref="B445:B446"/>
    <mergeCell ref="C445:D445"/>
    <mergeCell ref="C446:D446"/>
    <mergeCell ref="A447:A448"/>
    <mergeCell ref="C453:D453"/>
    <mergeCell ref="C454:D454"/>
    <mergeCell ref="B449:B450"/>
    <mergeCell ref="C449:D449"/>
    <mergeCell ref="A450:A451"/>
    <mergeCell ref="C450:D450"/>
    <mergeCell ref="C451:D451"/>
    <mergeCell ref="C452:D452"/>
    <mergeCell ref="B453:B454"/>
    <mergeCell ref="C463:D463"/>
    <mergeCell ref="C464:D464"/>
    <mergeCell ref="C465:D465"/>
    <mergeCell ref="C466:D466"/>
    <mergeCell ref="C467:D467"/>
    <mergeCell ref="C468:D468"/>
    <mergeCell ref="C469:D469"/>
    <mergeCell ref="A458:A460"/>
    <mergeCell ref="A463:A464"/>
    <mergeCell ref="A466:A467"/>
    <mergeCell ref="A469:A470"/>
    <mergeCell ref="A472:A473"/>
    <mergeCell ref="A476:A477"/>
    <mergeCell ref="A479:A480"/>
    <mergeCell ref="A495:A496"/>
    <mergeCell ref="C495:D495"/>
    <mergeCell ref="C496:D496"/>
    <mergeCell ref="B497:B498"/>
    <mergeCell ref="C497:D497"/>
    <mergeCell ref="A498:A499"/>
    <mergeCell ref="C498:D498"/>
    <mergeCell ref="C522:D522"/>
    <mergeCell ref="C523:D523"/>
    <mergeCell ref="C515:D515"/>
    <mergeCell ref="C516:D516"/>
    <mergeCell ref="C517:D517"/>
    <mergeCell ref="C518:D518"/>
    <mergeCell ref="C519:D519"/>
    <mergeCell ref="C520:D520"/>
    <mergeCell ref="C521:D521"/>
    <mergeCell ref="C503:D503"/>
    <mergeCell ref="C504:D504"/>
    <mergeCell ref="B504:B505"/>
    <mergeCell ref="C505:D505"/>
    <mergeCell ref="C499:D499"/>
    <mergeCell ref="B500:D500"/>
    <mergeCell ref="B501:B502"/>
    <mergeCell ref="C501:D501"/>
    <mergeCell ref="A502:A503"/>
    <mergeCell ref="C502:D502"/>
    <mergeCell ref="C506:D506"/>
    <mergeCell ref="B513:D513"/>
    <mergeCell ref="C514:D514"/>
    <mergeCell ref="C507:D507"/>
    <mergeCell ref="C508:D508"/>
    <mergeCell ref="C509:D509"/>
    <mergeCell ref="C510:D510"/>
    <mergeCell ref="C511:D511"/>
    <mergeCell ref="C512:D512"/>
    <mergeCell ref="B514:B515"/>
    <mergeCell ref="B517:B518"/>
    <mergeCell ref="B520:B521"/>
    <mergeCell ref="B523:B524"/>
    <mergeCell ref="B527:B528"/>
    <mergeCell ref="A505:A506"/>
    <mergeCell ref="B507:B508"/>
    <mergeCell ref="A508:A509"/>
    <mergeCell ref="B510:B511"/>
    <mergeCell ref="A511:A512"/>
    <mergeCell ref="A515:A516"/>
    <mergeCell ref="A518:A519"/>
    <mergeCell ref="C549:D549"/>
    <mergeCell ref="C550:D550"/>
    <mergeCell ref="C542:D542"/>
    <mergeCell ref="C543:D543"/>
    <mergeCell ref="C544:D544"/>
    <mergeCell ref="C545:D545"/>
    <mergeCell ref="C546:D546"/>
    <mergeCell ref="C547:D547"/>
    <mergeCell ref="C548:D548"/>
    <mergeCell ref="C556:D556"/>
    <mergeCell ref="C557:D557"/>
    <mergeCell ref="B546:B547"/>
    <mergeCell ref="B549:B550"/>
    <mergeCell ref="C551:D551"/>
    <mergeCell ref="B552:D552"/>
    <mergeCell ref="C553:D553"/>
    <mergeCell ref="C554:D554"/>
    <mergeCell ref="C555:D555"/>
    <mergeCell ref="B562:B563"/>
    <mergeCell ref="B566:B567"/>
    <mergeCell ref="C560:D560"/>
    <mergeCell ref="C561:D561"/>
    <mergeCell ref="C562:D562"/>
    <mergeCell ref="C563:D563"/>
    <mergeCell ref="C564:D564"/>
    <mergeCell ref="B565:D565"/>
    <mergeCell ref="C566:D566"/>
    <mergeCell ref="A583:A584"/>
    <mergeCell ref="B585:B586"/>
    <mergeCell ref="A586:A587"/>
    <mergeCell ref="B588:B589"/>
    <mergeCell ref="A589:A590"/>
    <mergeCell ref="A592:B592"/>
    <mergeCell ref="A593:B598"/>
    <mergeCell ref="A599:B599"/>
    <mergeCell ref="A600:B605"/>
    <mergeCell ref="A606:B606"/>
    <mergeCell ref="A607:B612"/>
    <mergeCell ref="A613:B613"/>
    <mergeCell ref="A614:B619"/>
    <mergeCell ref="A622:A626"/>
    <mergeCell ref="B582:B583"/>
    <mergeCell ref="C583:D583"/>
    <mergeCell ref="C577:D577"/>
    <mergeCell ref="B578:D578"/>
    <mergeCell ref="B579:B580"/>
    <mergeCell ref="C579:D579"/>
    <mergeCell ref="A580:A581"/>
    <mergeCell ref="C580:D580"/>
    <mergeCell ref="C584:D584"/>
    <mergeCell ref="C585:D585"/>
    <mergeCell ref="C586:D586"/>
    <mergeCell ref="C587:D587"/>
    <mergeCell ref="C588:D588"/>
    <mergeCell ref="C589:D589"/>
    <mergeCell ref="C590:D590"/>
    <mergeCell ref="C593:D593"/>
    <mergeCell ref="C594:D594"/>
    <mergeCell ref="C595:D595"/>
    <mergeCell ref="C596:D596"/>
    <mergeCell ref="C597:D597"/>
    <mergeCell ref="C598:D598"/>
    <mergeCell ref="C600:D600"/>
    <mergeCell ref="C601:D601"/>
    <mergeCell ref="C602:D602"/>
    <mergeCell ref="C603:D603"/>
    <mergeCell ref="C604:D604"/>
    <mergeCell ref="C605:D605"/>
    <mergeCell ref="C607:D607"/>
    <mergeCell ref="C608:D608"/>
    <mergeCell ref="C609:D609"/>
    <mergeCell ref="A634:A638"/>
    <mergeCell ref="A640:A644"/>
    <mergeCell ref="A647:A651"/>
    <mergeCell ref="A628:A632"/>
    <mergeCell ref="B632:D632"/>
    <mergeCell ref="B634:D634"/>
    <mergeCell ref="B635:D635"/>
    <mergeCell ref="B636:D636"/>
    <mergeCell ref="B637:D637"/>
    <mergeCell ref="B638:D638"/>
    <mergeCell ref="B651:D651"/>
    <mergeCell ref="A557:A558"/>
    <mergeCell ref="A560:A561"/>
    <mergeCell ref="A550:A551"/>
    <mergeCell ref="B553:B554"/>
    <mergeCell ref="A554:A555"/>
    <mergeCell ref="B556:B557"/>
    <mergeCell ref="C558:D558"/>
    <mergeCell ref="B559:B560"/>
    <mergeCell ref="C559:D559"/>
    <mergeCell ref="C570:D570"/>
    <mergeCell ref="C571:D571"/>
    <mergeCell ref="A563:A564"/>
    <mergeCell ref="A567:A568"/>
    <mergeCell ref="C567:D567"/>
    <mergeCell ref="C568:D568"/>
    <mergeCell ref="B569:B570"/>
    <mergeCell ref="C569:D569"/>
    <mergeCell ref="A570:A571"/>
    <mergeCell ref="C575:D575"/>
    <mergeCell ref="C576:D576"/>
    <mergeCell ref="B572:B573"/>
    <mergeCell ref="C572:D572"/>
    <mergeCell ref="A573:A574"/>
    <mergeCell ref="C573:D573"/>
    <mergeCell ref="C574:D574"/>
    <mergeCell ref="B575:B576"/>
    <mergeCell ref="A576:A577"/>
    <mergeCell ref="C528:D528"/>
    <mergeCell ref="C529:D529"/>
    <mergeCell ref="A521:A522"/>
    <mergeCell ref="A524:A525"/>
    <mergeCell ref="C524:D524"/>
    <mergeCell ref="C525:D525"/>
    <mergeCell ref="B526:D526"/>
    <mergeCell ref="C527:D527"/>
    <mergeCell ref="A528:A529"/>
    <mergeCell ref="C533:D533"/>
    <mergeCell ref="C534:D534"/>
    <mergeCell ref="B530:B531"/>
    <mergeCell ref="C530:D530"/>
    <mergeCell ref="A531:A532"/>
    <mergeCell ref="C531:D531"/>
    <mergeCell ref="C532:D532"/>
    <mergeCell ref="A534:A535"/>
    <mergeCell ref="C535:D535"/>
    <mergeCell ref="C536:D536"/>
    <mergeCell ref="C537:D537"/>
    <mergeCell ref="C538:D538"/>
    <mergeCell ref="B539:D539"/>
    <mergeCell ref="B540:B541"/>
    <mergeCell ref="C540:D540"/>
    <mergeCell ref="C541:D541"/>
    <mergeCell ref="B533:B534"/>
    <mergeCell ref="B536:B537"/>
    <mergeCell ref="A537:A538"/>
    <mergeCell ref="A541:A542"/>
    <mergeCell ref="B543:B544"/>
    <mergeCell ref="A544:A545"/>
    <mergeCell ref="A547:A548"/>
    <mergeCell ref="C581:D581"/>
    <mergeCell ref="C582:D582"/>
    <mergeCell ref="C618:D618"/>
    <mergeCell ref="C619:D619"/>
    <mergeCell ref="C610:D610"/>
    <mergeCell ref="C611:D611"/>
    <mergeCell ref="C612:D612"/>
    <mergeCell ref="C614:D614"/>
    <mergeCell ref="C615:D615"/>
    <mergeCell ref="C616:D616"/>
    <mergeCell ref="C617:D617"/>
    <mergeCell ref="B630:D630"/>
    <mergeCell ref="B631:D631"/>
    <mergeCell ref="B622:D622"/>
    <mergeCell ref="B623:D623"/>
    <mergeCell ref="B624:D624"/>
    <mergeCell ref="B625:D625"/>
    <mergeCell ref="B626:D626"/>
    <mergeCell ref="B628:D628"/>
    <mergeCell ref="B629:D629"/>
    <mergeCell ref="B649:D649"/>
    <mergeCell ref="B650:D650"/>
    <mergeCell ref="B640:D640"/>
    <mergeCell ref="B641:D641"/>
    <mergeCell ref="B642:D642"/>
    <mergeCell ref="B643:D643"/>
    <mergeCell ref="B644:D644"/>
    <mergeCell ref="B647:D647"/>
    <mergeCell ref="B648:D648"/>
    <mergeCell ref="A5:D5"/>
    <mergeCell ref="A6:D6"/>
    <mergeCell ref="A7:B7"/>
    <mergeCell ref="C7:D7"/>
    <mergeCell ref="D3:E3"/>
    <mergeCell ref="A8:B8"/>
    <mergeCell ref="C8:D8"/>
    <mergeCell ref="A9:B9"/>
    <mergeCell ref="C9:D9"/>
    <mergeCell ref="A1:N1"/>
    <mergeCell ref="A2:N2"/>
    <mergeCell ref="F3:J3"/>
    <mergeCell ref="L3:N3"/>
    <mergeCell ref="A4:N4"/>
    <mergeCell ref="K5:N6"/>
    <mergeCell ref="K7:N10"/>
    <mergeCell ref="B13:B14"/>
    <mergeCell ref="B17:B18"/>
    <mergeCell ref="C18:D18"/>
    <mergeCell ref="C19:D19"/>
    <mergeCell ref="A15:A16"/>
    <mergeCell ref="A18:A19"/>
    <mergeCell ref="K39:L39"/>
    <mergeCell ref="K43:L43"/>
    <mergeCell ref="A10:B10"/>
    <mergeCell ref="C10:D10"/>
    <mergeCell ref="B11:D11"/>
    <mergeCell ref="C12:D12"/>
    <mergeCell ref="C13:D13"/>
    <mergeCell ref="C16:D16"/>
    <mergeCell ref="C17:D17"/>
    <mergeCell ref="C23:D23"/>
    <mergeCell ref="C24:D24"/>
    <mergeCell ref="C14:D14"/>
    <mergeCell ref="C15:D15"/>
    <mergeCell ref="C20:D20"/>
    <mergeCell ref="B21:B22"/>
    <mergeCell ref="C21:D21"/>
    <mergeCell ref="C22:D22"/>
    <mergeCell ref="A23:A24"/>
    <mergeCell ref="B25:B26"/>
    <mergeCell ref="B31:B32"/>
    <mergeCell ref="B35:B36"/>
    <mergeCell ref="B39:B40"/>
    <mergeCell ref="B43:B44"/>
    <mergeCell ref="C25:D25"/>
    <mergeCell ref="A26:A28"/>
    <mergeCell ref="C26:D26"/>
    <mergeCell ref="C27:D27"/>
    <mergeCell ref="C28:D28"/>
    <mergeCell ref="B29:D29"/>
    <mergeCell ref="C30:D30"/>
    <mergeCell ref="C31:D31"/>
    <mergeCell ref="C32:D32"/>
    <mergeCell ref="A33:A34"/>
    <mergeCell ref="C33:D33"/>
    <mergeCell ref="C34:D34"/>
    <mergeCell ref="C35:D35"/>
    <mergeCell ref="A36:A37"/>
    <mergeCell ref="C42:D42"/>
    <mergeCell ref="C43:D43"/>
    <mergeCell ref="C41:D41"/>
    <mergeCell ref="C44:D44"/>
    <mergeCell ref="C45:D45"/>
    <mergeCell ref="C46:D46"/>
    <mergeCell ref="C36:D36"/>
    <mergeCell ref="C37:D37"/>
    <mergeCell ref="C38:D38"/>
    <mergeCell ref="C39:D39"/>
    <mergeCell ref="C40:D40"/>
    <mergeCell ref="A41:A42"/>
    <mergeCell ref="A44:A46"/>
    <mergeCell ref="B49:B50"/>
    <mergeCell ref="B53:B54"/>
    <mergeCell ref="B57:B58"/>
    <mergeCell ref="B61:B62"/>
    <mergeCell ref="A51:A52"/>
    <mergeCell ref="A54:A55"/>
    <mergeCell ref="A59:A60"/>
    <mergeCell ref="A62:A64"/>
    <mergeCell ref="B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89:D89"/>
    <mergeCell ref="C90:D90"/>
    <mergeCell ref="C85:D85"/>
    <mergeCell ref="C86:D86"/>
    <mergeCell ref="A87:A88"/>
    <mergeCell ref="C87:D87"/>
    <mergeCell ref="C88:D88"/>
    <mergeCell ref="B89:B90"/>
    <mergeCell ref="A90:A91"/>
    <mergeCell ref="C61:D61"/>
    <mergeCell ref="C62:D62"/>
    <mergeCell ref="C63:D63"/>
    <mergeCell ref="C64:D64"/>
    <mergeCell ref="B65:D65"/>
    <mergeCell ref="C66:D66"/>
    <mergeCell ref="B67:B68"/>
    <mergeCell ref="C71:D71"/>
    <mergeCell ref="C72:D72"/>
    <mergeCell ref="C67:D67"/>
    <mergeCell ref="C68:D68"/>
    <mergeCell ref="A69:A70"/>
    <mergeCell ref="C69:D69"/>
    <mergeCell ref="C70:D70"/>
    <mergeCell ref="B71:B72"/>
    <mergeCell ref="A72:A73"/>
    <mergeCell ref="B75:B76"/>
    <mergeCell ref="B79:B80"/>
    <mergeCell ref="A80:A82"/>
    <mergeCell ref="C73:D73"/>
    <mergeCell ref="C74:D74"/>
    <mergeCell ref="C75:D75"/>
    <mergeCell ref="C76:D76"/>
    <mergeCell ref="A77:A78"/>
    <mergeCell ref="C77:D77"/>
    <mergeCell ref="C78:D78"/>
    <mergeCell ref="C79:D79"/>
    <mergeCell ref="C80:D80"/>
    <mergeCell ref="C81:D81"/>
    <mergeCell ref="C82:D82"/>
    <mergeCell ref="B83:D83"/>
    <mergeCell ref="C84:D84"/>
    <mergeCell ref="B85:B86"/>
    <mergeCell ref="C97:D97"/>
    <mergeCell ref="C98:D98"/>
    <mergeCell ref="B121:B122"/>
    <mergeCell ref="B125:B126"/>
    <mergeCell ref="B119:D119"/>
    <mergeCell ref="C120:D120"/>
    <mergeCell ref="C121:D121"/>
    <mergeCell ref="C122:D122"/>
    <mergeCell ref="C123:D123"/>
    <mergeCell ref="C124:D124"/>
    <mergeCell ref="C125:D125"/>
    <mergeCell ref="C126:D126"/>
    <mergeCell ref="K103:L103"/>
    <mergeCell ref="K107:L107"/>
    <mergeCell ref="K111:L111"/>
    <mergeCell ref="K115:L115"/>
    <mergeCell ref="K119:L119"/>
    <mergeCell ref="M119:N119"/>
    <mergeCell ref="M120:N120"/>
    <mergeCell ref="K120:L120"/>
    <mergeCell ref="K121:L121"/>
    <mergeCell ref="K125:L125"/>
    <mergeCell ref="K129:L129"/>
    <mergeCell ref="K133:L133"/>
    <mergeCell ref="K137:L137"/>
    <mergeCell ref="M137:N137"/>
    <mergeCell ref="C130:D130"/>
    <mergeCell ref="C131:D131"/>
    <mergeCell ref="A123:A124"/>
    <mergeCell ref="A126:A127"/>
    <mergeCell ref="C127:D127"/>
    <mergeCell ref="C128:D128"/>
    <mergeCell ref="C129:D129"/>
    <mergeCell ref="A131:A132"/>
    <mergeCell ref="C132:D132"/>
    <mergeCell ref="C146:D146"/>
    <mergeCell ref="C147:D147"/>
    <mergeCell ref="B139:B140"/>
    <mergeCell ref="B143:B144"/>
    <mergeCell ref="C143:D143"/>
    <mergeCell ref="C144:D144"/>
    <mergeCell ref="C145:D145"/>
    <mergeCell ref="B147:B148"/>
    <mergeCell ref="C148:D148"/>
    <mergeCell ref="C152:D152"/>
    <mergeCell ref="C153:D153"/>
    <mergeCell ref="A144:A145"/>
    <mergeCell ref="A149:A150"/>
    <mergeCell ref="C149:D149"/>
    <mergeCell ref="C150:D150"/>
    <mergeCell ref="B151:B152"/>
    <mergeCell ref="C151:D151"/>
    <mergeCell ref="A152:A154"/>
    <mergeCell ref="C159:D159"/>
    <mergeCell ref="C160:D160"/>
    <mergeCell ref="C154:D154"/>
    <mergeCell ref="B155:D155"/>
    <mergeCell ref="C156:D156"/>
    <mergeCell ref="B157:B158"/>
    <mergeCell ref="C157:D157"/>
    <mergeCell ref="C158:D158"/>
    <mergeCell ref="A159:A160"/>
    <mergeCell ref="C165:D165"/>
    <mergeCell ref="C166:D166"/>
    <mergeCell ref="B161:B162"/>
    <mergeCell ref="C161:D161"/>
    <mergeCell ref="A162:A163"/>
    <mergeCell ref="C162:D162"/>
    <mergeCell ref="C163:D163"/>
    <mergeCell ref="C164:D164"/>
    <mergeCell ref="B165:B166"/>
    <mergeCell ref="C171:D171"/>
    <mergeCell ref="C172:D172"/>
    <mergeCell ref="A167:A168"/>
    <mergeCell ref="C167:D167"/>
    <mergeCell ref="C168:D168"/>
    <mergeCell ref="B169:B170"/>
    <mergeCell ref="C169:D169"/>
    <mergeCell ref="A170:A172"/>
    <mergeCell ref="C170:D170"/>
    <mergeCell ref="B175:B176"/>
    <mergeCell ref="B179:B180"/>
    <mergeCell ref="B173:D173"/>
    <mergeCell ref="C174:D174"/>
    <mergeCell ref="C175:D175"/>
    <mergeCell ref="C176:D176"/>
    <mergeCell ref="C177:D177"/>
    <mergeCell ref="C178:D178"/>
    <mergeCell ref="C179:D179"/>
    <mergeCell ref="B129:B130"/>
    <mergeCell ref="B133:B134"/>
    <mergeCell ref="C133:D133"/>
    <mergeCell ref="A134:A136"/>
    <mergeCell ref="C134:D134"/>
    <mergeCell ref="C135:D135"/>
    <mergeCell ref="C136:D136"/>
    <mergeCell ref="B137:D137"/>
    <mergeCell ref="C138:D138"/>
    <mergeCell ref="C139:D139"/>
    <mergeCell ref="C140:D140"/>
    <mergeCell ref="A141:A142"/>
    <mergeCell ref="C141:D141"/>
    <mergeCell ref="C142:D142"/>
    <mergeCell ref="A180:A181"/>
    <mergeCell ref="A185:A186"/>
    <mergeCell ref="A177:A178"/>
    <mergeCell ref="C180:D180"/>
    <mergeCell ref="C181:D181"/>
    <mergeCell ref="C182:D182"/>
    <mergeCell ref="B183:B184"/>
    <mergeCell ref="C183:D183"/>
    <mergeCell ref="C184:D184"/>
    <mergeCell ref="C91:D91"/>
    <mergeCell ref="C92:D92"/>
    <mergeCell ref="C93:D93"/>
    <mergeCell ref="C94:D94"/>
    <mergeCell ref="A95:A96"/>
    <mergeCell ref="C95:D95"/>
    <mergeCell ref="C96:D96"/>
    <mergeCell ref="C99:D99"/>
    <mergeCell ref="C100:D100"/>
    <mergeCell ref="B101:D101"/>
    <mergeCell ref="C102:D102"/>
    <mergeCell ref="B103:B104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B111:B112"/>
    <mergeCell ref="B115:B116"/>
    <mergeCell ref="B93:B94"/>
    <mergeCell ref="B97:B98"/>
    <mergeCell ref="A98:A100"/>
    <mergeCell ref="A105:A106"/>
    <mergeCell ref="B107:B108"/>
    <mergeCell ref="A108:A109"/>
    <mergeCell ref="A113:A114"/>
    <mergeCell ref="A116:A118"/>
    <mergeCell ref="C112:D112"/>
    <mergeCell ref="C113:D113"/>
    <mergeCell ref="C114:D114"/>
    <mergeCell ref="C115:D115"/>
    <mergeCell ref="C116:D116"/>
    <mergeCell ref="C117:D117"/>
    <mergeCell ref="C118:D118"/>
    <mergeCell ref="C185:D185"/>
    <mergeCell ref="C186:D186"/>
    <mergeCell ref="B187:B188"/>
    <mergeCell ref="C187:D187"/>
    <mergeCell ref="A188:A190"/>
    <mergeCell ref="C188:D188"/>
    <mergeCell ref="C189:D189"/>
    <mergeCell ref="B211:B212"/>
    <mergeCell ref="B215:B216"/>
    <mergeCell ref="B209:D209"/>
    <mergeCell ref="C210:D210"/>
    <mergeCell ref="C211:D211"/>
    <mergeCell ref="C212:D212"/>
    <mergeCell ref="C213:D213"/>
    <mergeCell ref="C214:D214"/>
    <mergeCell ref="C215:D215"/>
    <mergeCell ref="C216:D216"/>
    <mergeCell ref="C220:D220"/>
    <mergeCell ref="C221:D221"/>
    <mergeCell ref="A213:A214"/>
    <mergeCell ref="A216:A217"/>
    <mergeCell ref="C217:D217"/>
    <mergeCell ref="C218:D218"/>
    <mergeCell ref="C219:D219"/>
    <mergeCell ref="A221:A222"/>
    <mergeCell ref="C222:D222"/>
    <mergeCell ref="C236:D236"/>
    <mergeCell ref="C237:D237"/>
    <mergeCell ref="B229:B230"/>
    <mergeCell ref="B233:B234"/>
    <mergeCell ref="C233:D233"/>
    <mergeCell ref="C234:D234"/>
    <mergeCell ref="C235:D235"/>
    <mergeCell ref="B237:B238"/>
    <mergeCell ref="C238:D238"/>
    <mergeCell ref="C242:D242"/>
    <mergeCell ref="C243:D243"/>
    <mergeCell ref="A234:A235"/>
    <mergeCell ref="A239:A240"/>
    <mergeCell ref="C239:D239"/>
    <mergeCell ref="C240:D240"/>
    <mergeCell ref="B241:B242"/>
    <mergeCell ref="C241:D241"/>
    <mergeCell ref="A242:A244"/>
    <mergeCell ref="B219:B220"/>
    <mergeCell ref="B223:B224"/>
    <mergeCell ref="C223:D223"/>
    <mergeCell ref="A224:A226"/>
    <mergeCell ref="C224:D224"/>
    <mergeCell ref="C225:D225"/>
    <mergeCell ref="C226:D226"/>
    <mergeCell ref="B227:D227"/>
    <mergeCell ref="C228:D228"/>
    <mergeCell ref="C229:D229"/>
    <mergeCell ref="C230:D230"/>
    <mergeCell ref="A231:A232"/>
    <mergeCell ref="C231:D231"/>
    <mergeCell ref="C232:D232"/>
    <mergeCell ref="C249:D249"/>
    <mergeCell ref="C250:D250"/>
    <mergeCell ref="C244:D244"/>
    <mergeCell ref="B245:D245"/>
    <mergeCell ref="C246:D246"/>
    <mergeCell ref="B247:B248"/>
    <mergeCell ref="C247:D247"/>
    <mergeCell ref="C248:D248"/>
    <mergeCell ref="A249:A250"/>
    <mergeCell ref="C255:D255"/>
    <mergeCell ref="C256:D256"/>
    <mergeCell ref="B251:B252"/>
    <mergeCell ref="C251:D251"/>
    <mergeCell ref="A252:A253"/>
    <mergeCell ref="C252:D252"/>
    <mergeCell ref="C253:D253"/>
    <mergeCell ref="C254:D254"/>
    <mergeCell ref="B255:B256"/>
    <mergeCell ref="C261:D261"/>
    <mergeCell ref="C262:D262"/>
    <mergeCell ref="A257:A258"/>
    <mergeCell ref="C257:D257"/>
    <mergeCell ref="C258:D258"/>
    <mergeCell ref="B259:B260"/>
    <mergeCell ref="C259:D259"/>
    <mergeCell ref="A260:A262"/>
    <mergeCell ref="C260:D260"/>
    <mergeCell ref="B265:B266"/>
    <mergeCell ref="B269:B270"/>
    <mergeCell ref="B263:D263"/>
    <mergeCell ref="C264:D264"/>
    <mergeCell ref="C265:D265"/>
    <mergeCell ref="C266:D266"/>
    <mergeCell ref="C267:D267"/>
    <mergeCell ref="C268:D268"/>
    <mergeCell ref="C269:D269"/>
    <mergeCell ref="C270:D270"/>
    <mergeCell ref="C274:D274"/>
    <mergeCell ref="C275:D275"/>
    <mergeCell ref="A267:A268"/>
    <mergeCell ref="A270:A271"/>
    <mergeCell ref="C271:D271"/>
    <mergeCell ref="C272:D272"/>
    <mergeCell ref="C273:D273"/>
    <mergeCell ref="A275:A276"/>
    <mergeCell ref="C276:D276"/>
    <mergeCell ref="C290:D290"/>
    <mergeCell ref="C291:D291"/>
    <mergeCell ref="B283:B284"/>
    <mergeCell ref="B287:B288"/>
    <mergeCell ref="C287:D287"/>
    <mergeCell ref="C288:D288"/>
    <mergeCell ref="C289:D289"/>
    <mergeCell ref="B291:B292"/>
    <mergeCell ref="C292:D292"/>
    <mergeCell ref="B273:B274"/>
    <mergeCell ref="B277:B278"/>
    <mergeCell ref="C277:D277"/>
    <mergeCell ref="A278:A280"/>
    <mergeCell ref="C278:D278"/>
    <mergeCell ref="C279:D279"/>
    <mergeCell ref="C280:D280"/>
    <mergeCell ref="B281:D281"/>
    <mergeCell ref="C282:D282"/>
    <mergeCell ref="C283:D283"/>
    <mergeCell ref="C284:D284"/>
    <mergeCell ref="A285:A286"/>
    <mergeCell ref="C285:D285"/>
    <mergeCell ref="C286:D286"/>
    <mergeCell ref="C296:D296"/>
    <mergeCell ref="C297:D297"/>
    <mergeCell ref="A288:A289"/>
    <mergeCell ref="A293:A294"/>
    <mergeCell ref="C293:D293"/>
    <mergeCell ref="C294:D294"/>
    <mergeCell ref="B295:B296"/>
    <mergeCell ref="C295:D295"/>
    <mergeCell ref="A296:A298"/>
    <mergeCell ref="C303:D303"/>
    <mergeCell ref="C304:D304"/>
    <mergeCell ref="C298:D298"/>
    <mergeCell ref="B299:D299"/>
    <mergeCell ref="C300:D300"/>
    <mergeCell ref="B301:B302"/>
    <mergeCell ref="C301:D301"/>
    <mergeCell ref="C302:D302"/>
    <mergeCell ref="A303:A304"/>
    <mergeCell ref="C309:D309"/>
    <mergeCell ref="C310:D310"/>
    <mergeCell ref="B305:B306"/>
    <mergeCell ref="C305:D305"/>
    <mergeCell ref="A306:A307"/>
    <mergeCell ref="C306:D306"/>
    <mergeCell ref="C307:D307"/>
    <mergeCell ref="C308:D308"/>
    <mergeCell ref="B309:B310"/>
    <mergeCell ref="C315:D315"/>
    <mergeCell ref="C316:D316"/>
    <mergeCell ref="A311:A312"/>
    <mergeCell ref="C311:D311"/>
    <mergeCell ref="C312:D312"/>
    <mergeCell ref="B313:B314"/>
    <mergeCell ref="C313:D313"/>
    <mergeCell ref="A314:A316"/>
    <mergeCell ref="C314:D314"/>
    <mergeCell ref="B319:B320"/>
    <mergeCell ref="B323:B324"/>
    <mergeCell ref="B317:D317"/>
    <mergeCell ref="C318:D318"/>
    <mergeCell ref="C319:D319"/>
    <mergeCell ref="C320:D320"/>
    <mergeCell ref="C321:D321"/>
    <mergeCell ref="C322:D322"/>
    <mergeCell ref="C323:D323"/>
    <mergeCell ref="C324:D324"/>
    <mergeCell ref="C328:D328"/>
    <mergeCell ref="C329:D329"/>
    <mergeCell ref="A321:A322"/>
    <mergeCell ref="A324:A325"/>
    <mergeCell ref="C325:D325"/>
    <mergeCell ref="C326:D326"/>
    <mergeCell ref="C327:D327"/>
    <mergeCell ref="A329:A330"/>
    <mergeCell ref="C330:D330"/>
    <mergeCell ref="C344:D344"/>
    <mergeCell ref="C345:D345"/>
    <mergeCell ref="B337:B338"/>
    <mergeCell ref="B341:B342"/>
    <mergeCell ref="C341:D341"/>
    <mergeCell ref="C342:D342"/>
    <mergeCell ref="C343:D343"/>
    <mergeCell ref="B345:B346"/>
    <mergeCell ref="C346:D346"/>
    <mergeCell ref="C350:D350"/>
    <mergeCell ref="C351:D351"/>
    <mergeCell ref="A342:A343"/>
    <mergeCell ref="A347:A348"/>
    <mergeCell ref="C347:D347"/>
    <mergeCell ref="C348:D348"/>
    <mergeCell ref="B349:B350"/>
    <mergeCell ref="C349:D349"/>
    <mergeCell ref="A350:A352"/>
    <mergeCell ref="C357:D357"/>
    <mergeCell ref="C358:D358"/>
    <mergeCell ref="C352:D352"/>
    <mergeCell ref="B353:D353"/>
    <mergeCell ref="C354:D354"/>
    <mergeCell ref="B355:B356"/>
    <mergeCell ref="C355:D355"/>
    <mergeCell ref="C356:D356"/>
    <mergeCell ref="A357:A358"/>
    <mergeCell ref="C363:D363"/>
    <mergeCell ref="C364:D364"/>
    <mergeCell ref="B359:B360"/>
    <mergeCell ref="C359:D359"/>
    <mergeCell ref="A360:A361"/>
    <mergeCell ref="C360:D360"/>
    <mergeCell ref="C361:D361"/>
    <mergeCell ref="C362:D362"/>
    <mergeCell ref="B363:B364"/>
    <mergeCell ref="C369:D369"/>
    <mergeCell ref="C370:D370"/>
    <mergeCell ref="A365:A366"/>
    <mergeCell ref="C365:D365"/>
    <mergeCell ref="C366:D366"/>
    <mergeCell ref="B367:B368"/>
    <mergeCell ref="C367:D367"/>
    <mergeCell ref="A368:A370"/>
    <mergeCell ref="C368:D368"/>
    <mergeCell ref="B373:B374"/>
    <mergeCell ref="B377:B378"/>
    <mergeCell ref="B371:D371"/>
    <mergeCell ref="C372:D372"/>
    <mergeCell ref="C373:D373"/>
    <mergeCell ref="C374:D374"/>
    <mergeCell ref="C375:D375"/>
    <mergeCell ref="C376:D376"/>
    <mergeCell ref="C377:D377"/>
    <mergeCell ref="C378:D378"/>
    <mergeCell ref="A375:A376"/>
    <mergeCell ref="A378:A379"/>
    <mergeCell ref="C379:D379"/>
    <mergeCell ref="C380:D380"/>
    <mergeCell ref="C381:D381"/>
    <mergeCell ref="A383:A384"/>
    <mergeCell ref="C384:D384"/>
    <mergeCell ref="C382:D382"/>
    <mergeCell ref="C383:D383"/>
    <mergeCell ref="A591:N591"/>
    <mergeCell ref="C592:L592"/>
    <mergeCell ref="M592:N592"/>
    <mergeCell ref="K593:K596"/>
    <mergeCell ref="M593:N598"/>
    <mergeCell ref="M599:N599"/>
    <mergeCell ref="L593:L596"/>
    <mergeCell ref="C599:L599"/>
    <mergeCell ref="K600:K603"/>
    <mergeCell ref="L600:L603"/>
    <mergeCell ref="M600:N605"/>
    <mergeCell ref="C606:L606"/>
    <mergeCell ref="M606:N606"/>
    <mergeCell ref="M614:N619"/>
    <mergeCell ref="A620:N620"/>
    <mergeCell ref="K622:N626"/>
    <mergeCell ref="K628:N632"/>
    <mergeCell ref="K634:N638"/>
    <mergeCell ref="K640:N644"/>
    <mergeCell ref="A645:N645"/>
    <mergeCell ref="K647:N651"/>
    <mergeCell ref="K607:K610"/>
    <mergeCell ref="L607:L610"/>
    <mergeCell ref="M607:N612"/>
    <mergeCell ref="C613:L613"/>
    <mergeCell ref="M613:N613"/>
    <mergeCell ref="K614:K617"/>
    <mergeCell ref="L614:L617"/>
    <mergeCell ref="K353:L353"/>
    <mergeCell ref="K354:L354"/>
    <mergeCell ref="K355:L355"/>
    <mergeCell ref="K359:L359"/>
    <mergeCell ref="K363:L363"/>
    <mergeCell ref="K367:L367"/>
    <mergeCell ref="M371:N371"/>
    <mergeCell ref="M372:N372"/>
    <mergeCell ref="K371:L371"/>
    <mergeCell ref="K372:L372"/>
    <mergeCell ref="K373:L373"/>
    <mergeCell ref="K377:L377"/>
    <mergeCell ref="K381:L381"/>
    <mergeCell ref="K385:L385"/>
    <mergeCell ref="M389:N389"/>
    <mergeCell ref="K247:L247"/>
    <mergeCell ref="K251:L251"/>
    <mergeCell ref="K255:L255"/>
    <mergeCell ref="K259:L259"/>
    <mergeCell ref="K263:L263"/>
    <mergeCell ref="M263:N263"/>
    <mergeCell ref="M264:N264"/>
    <mergeCell ref="K264:L264"/>
    <mergeCell ref="K265:L265"/>
    <mergeCell ref="K269:L269"/>
    <mergeCell ref="K273:L273"/>
    <mergeCell ref="K277:L277"/>
    <mergeCell ref="K281:L281"/>
    <mergeCell ref="M281:N281"/>
    <mergeCell ref="K282:L282"/>
    <mergeCell ref="M282:N282"/>
    <mergeCell ref="K283:L283"/>
    <mergeCell ref="K287:L287"/>
    <mergeCell ref="K291:L291"/>
    <mergeCell ref="K295:L295"/>
    <mergeCell ref="M299:N299"/>
    <mergeCell ref="M300:N300"/>
    <mergeCell ref="K299:L299"/>
    <mergeCell ref="K300:L300"/>
    <mergeCell ref="K301:L301"/>
    <mergeCell ref="K305:L305"/>
    <mergeCell ref="K309:L309"/>
    <mergeCell ref="K313:L313"/>
    <mergeCell ref="M317:N317"/>
    <mergeCell ref="M318:N318"/>
    <mergeCell ref="K317:L317"/>
    <mergeCell ref="K318:L318"/>
    <mergeCell ref="K319:L319"/>
    <mergeCell ref="K323:L323"/>
    <mergeCell ref="K327:L327"/>
    <mergeCell ref="K331:L331"/>
    <mergeCell ref="M335:N335"/>
    <mergeCell ref="M336:N336"/>
    <mergeCell ref="K335:L335"/>
    <mergeCell ref="K336:L336"/>
    <mergeCell ref="K337:L337"/>
    <mergeCell ref="K341:L341"/>
    <mergeCell ref="K345:L345"/>
    <mergeCell ref="K349:L349"/>
    <mergeCell ref="M353:N353"/>
    <mergeCell ref="M354:N354"/>
    <mergeCell ref="K449:L449"/>
    <mergeCell ref="K453:L453"/>
    <mergeCell ref="K457:L457"/>
    <mergeCell ref="K461:L461"/>
    <mergeCell ref="M461:N461"/>
    <mergeCell ref="K474:L474"/>
    <mergeCell ref="M474:N474"/>
    <mergeCell ref="K138:L138"/>
    <mergeCell ref="M138:N138"/>
    <mergeCell ref="K139:L139"/>
    <mergeCell ref="K143:L143"/>
    <mergeCell ref="K147:L147"/>
    <mergeCell ref="K151:L151"/>
    <mergeCell ref="M155:N155"/>
    <mergeCell ref="M156:N156"/>
    <mergeCell ref="K155:L155"/>
    <mergeCell ref="K156:L156"/>
    <mergeCell ref="K157:L157"/>
    <mergeCell ref="K161:L161"/>
    <mergeCell ref="K165:L165"/>
    <mergeCell ref="K169:L169"/>
    <mergeCell ref="M173:N173"/>
    <mergeCell ref="K173:L173"/>
    <mergeCell ref="K174:L174"/>
    <mergeCell ref="M174:N174"/>
    <mergeCell ref="K175:L175"/>
    <mergeCell ref="K179:L179"/>
    <mergeCell ref="K183:L183"/>
    <mergeCell ref="K187:L187"/>
    <mergeCell ref="K191:L191"/>
    <mergeCell ref="M191:N191"/>
    <mergeCell ref="K192:L192"/>
    <mergeCell ref="M192:N192"/>
    <mergeCell ref="K193:L193"/>
    <mergeCell ref="K197:L197"/>
    <mergeCell ref="K201:L201"/>
    <mergeCell ref="K205:L205"/>
    <mergeCell ref="K209:L209"/>
    <mergeCell ref="M209:N209"/>
    <mergeCell ref="K210:L210"/>
    <mergeCell ref="M210:N210"/>
    <mergeCell ref="K211:L211"/>
    <mergeCell ref="K215:L215"/>
    <mergeCell ref="K219:L219"/>
    <mergeCell ref="K223:L223"/>
    <mergeCell ref="K227:L227"/>
    <mergeCell ref="M227:N227"/>
    <mergeCell ref="K228:L228"/>
    <mergeCell ref="M228:N228"/>
    <mergeCell ref="K229:L229"/>
    <mergeCell ref="K11:L11"/>
    <mergeCell ref="M11:N11"/>
    <mergeCell ref="K12:L12"/>
    <mergeCell ref="M12:N12"/>
    <mergeCell ref="K13:L13"/>
    <mergeCell ref="K17:L17"/>
    <mergeCell ref="K21:L21"/>
    <mergeCell ref="K25:L25"/>
    <mergeCell ref="K29:L29"/>
    <mergeCell ref="M29:N29"/>
    <mergeCell ref="K30:L30"/>
    <mergeCell ref="M30:N30"/>
    <mergeCell ref="K31:L31"/>
    <mergeCell ref="K35:L35"/>
    <mergeCell ref="K47:L47"/>
    <mergeCell ref="M47:N47"/>
    <mergeCell ref="K48:L48"/>
    <mergeCell ref="M48:N48"/>
    <mergeCell ref="K49:L49"/>
    <mergeCell ref="K53:L53"/>
    <mergeCell ref="K57:L57"/>
    <mergeCell ref="K61:L61"/>
    <mergeCell ref="K65:L65"/>
    <mergeCell ref="M65:N65"/>
    <mergeCell ref="K66:L66"/>
    <mergeCell ref="M66:N66"/>
    <mergeCell ref="K67:L67"/>
    <mergeCell ref="K71:L71"/>
    <mergeCell ref="K75:L75"/>
    <mergeCell ref="K79:L79"/>
    <mergeCell ref="K83:L83"/>
    <mergeCell ref="M83:N83"/>
    <mergeCell ref="K84:L84"/>
    <mergeCell ref="M84:N84"/>
    <mergeCell ref="K85:L85"/>
    <mergeCell ref="K89:L89"/>
    <mergeCell ref="K93:L93"/>
    <mergeCell ref="K97:L97"/>
    <mergeCell ref="K101:L101"/>
    <mergeCell ref="M101:N101"/>
    <mergeCell ref="K102:L102"/>
    <mergeCell ref="M102:N102"/>
    <mergeCell ref="K233:L233"/>
    <mergeCell ref="K237:L237"/>
    <mergeCell ref="K241:L241"/>
    <mergeCell ref="K245:L245"/>
    <mergeCell ref="M245:N245"/>
    <mergeCell ref="K246:L246"/>
    <mergeCell ref="M246:N246"/>
    <mergeCell ref="K389:L389"/>
    <mergeCell ref="K390:L390"/>
    <mergeCell ref="M390:N390"/>
    <mergeCell ref="K391:L391"/>
    <mergeCell ref="K395:L395"/>
    <mergeCell ref="K399:L399"/>
    <mergeCell ref="K403:L403"/>
    <mergeCell ref="K407:L407"/>
    <mergeCell ref="M407:N407"/>
    <mergeCell ref="K408:L408"/>
    <mergeCell ref="M408:N408"/>
    <mergeCell ref="K409:L409"/>
    <mergeCell ref="K413:L413"/>
    <mergeCell ref="K417:L417"/>
    <mergeCell ref="K421:L421"/>
    <mergeCell ref="K425:L425"/>
    <mergeCell ref="M425:N425"/>
    <mergeCell ref="K426:L426"/>
    <mergeCell ref="M426:N426"/>
    <mergeCell ref="K427:L427"/>
    <mergeCell ref="K431:L431"/>
    <mergeCell ref="K435:L435"/>
    <mergeCell ref="K439:L439"/>
    <mergeCell ref="K443:L443"/>
    <mergeCell ref="M443:N443"/>
    <mergeCell ref="K444:L444"/>
    <mergeCell ref="M444:N444"/>
    <mergeCell ref="K445:L445"/>
    <mergeCell ref="K487:L487"/>
    <mergeCell ref="M487:N487"/>
    <mergeCell ref="K500:L500"/>
    <mergeCell ref="M500:N500"/>
    <mergeCell ref="K513:L513"/>
    <mergeCell ref="M513:N513"/>
    <mergeCell ref="M526:N526"/>
    <mergeCell ref="K578:L578"/>
    <mergeCell ref="M578:N578"/>
    <mergeCell ref="K526:L526"/>
    <mergeCell ref="K539:L539"/>
    <mergeCell ref="M539:N539"/>
    <mergeCell ref="K552:L552"/>
    <mergeCell ref="M552:N552"/>
    <mergeCell ref="K565:L565"/>
    <mergeCell ref="M565:N565"/>
  </mergeCells>
  <hyperlinks>
    <hyperlink r:id="rId1" ref="A26"/>
    <hyperlink r:id="rId2" ref="A44"/>
    <hyperlink r:id="rId3" ref="A62"/>
  </hyperlinks>
  <printOptions/>
  <pageMargins bottom="1.025" footer="0.0" header="0.0" left="0.7875" right="0.7875" top="1.025"/>
  <pageSetup paperSize="9" orientation="portrait"/>
  <headerFooter>
    <oddHeader>&amp;C&amp;A</oddHeader>
    <oddFooter>&amp;CPágina &amp;P</oddFooter>
  </headerFooter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3.63"/>
    <col customWidth="1" min="2" max="2" width="21.0"/>
    <col customWidth="1" min="3" max="3" width="12.13"/>
    <col customWidth="1" min="4" max="4" width="2.88"/>
    <col customWidth="1" min="5" max="9" width="5.63"/>
    <col customWidth="1" min="10" max="10" width="5.75"/>
    <col customWidth="1" min="11" max="11" width="15.5"/>
    <col customWidth="1" min="12" max="12" width="11.38"/>
    <col customWidth="1" min="13" max="13" width="19.5"/>
    <col customWidth="1" min="14" max="14" width="7.63"/>
  </cols>
  <sheetData>
    <row r="1" ht="35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13.5" customHeight="1">
      <c r="A2" s="4" t="s">
        <v>154</v>
      </c>
      <c r="N2" s="5"/>
    </row>
    <row r="3" ht="13.5" customHeight="1">
      <c r="A3" s="6" t="s">
        <v>2</v>
      </c>
      <c r="B3" s="7" t="s">
        <v>3</v>
      </c>
      <c r="C3" s="8" t="s">
        <v>4</v>
      </c>
      <c r="D3" s="9">
        <v>2026.0</v>
      </c>
      <c r="E3" s="10"/>
      <c r="F3" s="11" t="s">
        <v>5</v>
      </c>
      <c r="K3" s="12">
        <f>COUNTA(A13,A31,A49,A67,A85,A103,A121,A139,A157,A175,A193,A211,A229,A247,A265,A283,A301,A319,A337,A355,A373,A391,A409,A427,A445)</f>
        <v>8</v>
      </c>
      <c r="L3" s="13"/>
    </row>
    <row r="4" ht="13.5" customHeight="1">
      <c r="A4" s="14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6"/>
    </row>
    <row r="5" ht="13.5" customHeight="1">
      <c r="A5" s="17" t="s">
        <v>6</v>
      </c>
      <c r="D5" s="5"/>
      <c r="E5" s="18" t="s">
        <v>7</v>
      </c>
      <c r="F5" s="19" t="s">
        <v>8</v>
      </c>
      <c r="G5" s="18" t="s">
        <v>9</v>
      </c>
      <c r="H5" s="18" t="s">
        <v>10</v>
      </c>
      <c r="I5" s="18" t="s">
        <v>11</v>
      </c>
      <c r="J5" s="19" t="s">
        <v>12</v>
      </c>
      <c r="K5" s="20"/>
      <c r="L5" s="21"/>
      <c r="M5" s="21"/>
      <c r="N5" s="22"/>
    </row>
    <row r="6" ht="13.5" customHeight="1">
      <c r="A6" s="23" t="s">
        <v>13</v>
      </c>
      <c r="B6" s="24"/>
      <c r="C6" s="24"/>
      <c r="D6" s="25"/>
      <c r="E6" s="26">
        <v>17.0</v>
      </c>
      <c r="F6" s="27">
        <v>27.0</v>
      </c>
      <c r="G6" s="27">
        <v>27.0</v>
      </c>
      <c r="H6" s="27">
        <v>27.0</v>
      </c>
      <c r="I6" s="27">
        <v>32.0</v>
      </c>
      <c r="J6" s="28">
        <v>37.0</v>
      </c>
      <c r="K6" s="29"/>
      <c r="L6" s="29"/>
      <c r="M6" s="29"/>
      <c r="N6" s="30"/>
    </row>
    <row r="7" ht="13.5" customHeight="1">
      <c r="A7" s="31" t="s">
        <v>14</v>
      </c>
      <c r="B7" s="25"/>
      <c r="C7" s="32" t="s">
        <v>15</v>
      </c>
      <c r="D7" s="33"/>
      <c r="E7" s="34"/>
      <c r="F7" s="35"/>
      <c r="G7" s="35"/>
      <c r="H7" s="35"/>
      <c r="I7" s="35"/>
      <c r="J7" s="36"/>
      <c r="K7" s="37"/>
      <c r="N7" s="5"/>
    </row>
    <row r="8" ht="13.5" customHeight="1">
      <c r="A8" s="31" t="s">
        <v>16</v>
      </c>
      <c r="B8" s="25"/>
      <c r="C8" s="32" t="s">
        <v>15</v>
      </c>
      <c r="D8" s="33"/>
      <c r="E8" s="34"/>
      <c r="F8" s="35"/>
      <c r="G8" s="35"/>
      <c r="H8" s="35"/>
      <c r="I8" s="35"/>
      <c r="J8" s="36"/>
      <c r="K8" s="38"/>
      <c r="N8" s="5"/>
    </row>
    <row r="9" ht="13.5" customHeight="1">
      <c r="A9" s="31" t="s">
        <v>17</v>
      </c>
      <c r="B9" s="25"/>
      <c r="C9" s="32" t="s">
        <v>15</v>
      </c>
      <c r="D9" s="33"/>
      <c r="E9" s="39"/>
      <c r="F9" s="35">
        <v>44.0</v>
      </c>
      <c r="G9" s="35">
        <v>42.0</v>
      </c>
      <c r="H9" s="35">
        <v>24.0</v>
      </c>
      <c r="I9" s="35">
        <v>22.0</v>
      </c>
      <c r="J9" s="36">
        <v>37.0</v>
      </c>
      <c r="K9" s="38"/>
      <c r="N9" s="5"/>
    </row>
    <row r="10" ht="13.5" customHeight="1">
      <c r="A10" s="31" t="s">
        <v>18</v>
      </c>
      <c r="B10" s="25"/>
      <c r="C10" s="32" t="s">
        <v>15</v>
      </c>
      <c r="D10" s="33"/>
      <c r="E10" s="34"/>
      <c r="F10" s="34"/>
      <c r="G10" s="34"/>
      <c r="H10" s="34"/>
      <c r="I10" s="34"/>
      <c r="J10" s="40"/>
      <c r="K10" s="38"/>
      <c r="N10" s="5"/>
    </row>
    <row r="11" ht="13.5" customHeight="1">
      <c r="A11" s="41" t="s">
        <v>19</v>
      </c>
      <c r="B11" s="42" t="s">
        <v>20</v>
      </c>
      <c r="C11" s="24"/>
      <c r="D11" s="33"/>
      <c r="E11" s="43">
        <f t="shared" ref="E11:J11" si="1">E6</f>
        <v>17</v>
      </c>
      <c r="F11" s="43">
        <f t="shared" si="1"/>
        <v>27</v>
      </c>
      <c r="G11" s="43">
        <f t="shared" si="1"/>
        <v>27</v>
      </c>
      <c r="H11" s="43">
        <f t="shared" si="1"/>
        <v>27</v>
      </c>
      <c r="I11" s="43">
        <f t="shared" si="1"/>
        <v>32</v>
      </c>
      <c r="J11" s="44">
        <f t="shared" si="1"/>
        <v>37</v>
      </c>
      <c r="K11" s="42" t="s">
        <v>21</v>
      </c>
      <c r="L11" s="25"/>
      <c r="M11" s="45" t="s">
        <v>22</v>
      </c>
      <c r="N11" s="25"/>
    </row>
    <row r="12" ht="13.5" customHeight="1">
      <c r="A12" s="46" t="s">
        <v>23</v>
      </c>
      <c r="B12" s="47" t="s">
        <v>24</v>
      </c>
      <c r="C12" s="32" t="s">
        <v>25</v>
      </c>
      <c r="D12" s="33"/>
      <c r="E12" s="48"/>
      <c r="F12" s="48"/>
      <c r="G12" s="48"/>
      <c r="H12" s="48"/>
      <c r="I12" s="48"/>
      <c r="J12" s="48"/>
      <c r="K12" s="49"/>
      <c r="L12" s="25"/>
      <c r="M12" s="50"/>
      <c r="N12" s="10"/>
    </row>
    <row r="13" ht="15.0" customHeight="1">
      <c r="A13" s="51">
        <v>1.0</v>
      </c>
      <c r="B13" s="52" t="s">
        <v>26</v>
      </c>
      <c r="C13" s="53" t="s">
        <v>27</v>
      </c>
      <c r="D13" s="54"/>
      <c r="E13" s="55">
        <f t="shared" ref="E13:J13" si="2">E12-E14</f>
        <v>0</v>
      </c>
      <c r="F13" s="55">
        <f t="shared" si="2"/>
        <v>0</v>
      </c>
      <c r="G13" s="55">
        <f t="shared" si="2"/>
        <v>-1</v>
      </c>
      <c r="H13" s="55">
        <f t="shared" si="2"/>
        <v>0</v>
      </c>
      <c r="I13" s="55">
        <f t="shared" si="2"/>
        <v>0</v>
      </c>
      <c r="J13" s="55">
        <f t="shared" si="2"/>
        <v>-1</v>
      </c>
      <c r="K13" s="56"/>
      <c r="L13" s="30"/>
      <c r="M13" s="57" t="s">
        <v>28</v>
      </c>
      <c r="N13" s="58" t="b">
        <v>0</v>
      </c>
    </row>
    <row r="14" ht="13.5" customHeight="1">
      <c r="A14" s="46" t="s">
        <v>29</v>
      </c>
      <c r="B14" s="59"/>
      <c r="C14" s="53" t="s">
        <v>30</v>
      </c>
      <c r="D14" s="54"/>
      <c r="E14" s="60"/>
      <c r="F14" s="60"/>
      <c r="G14" s="84">
        <v>1.0</v>
      </c>
      <c r="H14" s="60"/>
      <c r="I14" s="60"/>
      <c r="J14" s="84">
        <v>1.0</v>
      </c>
      <c r="K14" s="61" t="s">
        <v>30</v>
      </c>
      <c r="L14" s="62">
        <f>(E14*E11)+(F14*F11)+(G14*G11)+(H14*H11)+(I14*I11)+(J14*J11)</f>
        <v>64</v>
      </c>
      <c r="M14" s="57" t="s">
        <v>31</v>
      </c>
      <c r="N14" s="63" t="b">
        <v>0</v>
      </c>
    </row>
    <row r="15" ht="13.5" customHeight="1">
      <c r="A15" s="64" t="s">
        <v>155</v>
      </c>
      <c r="B15" s="65" t="s">
        <v>33</v>
      </c>
      <c r="C15" s="53" t="s">
        <v>34</v>
      </c>
      <c r="D15" s="54"/>
      <c r="E15" s="66"/>
      <c r="F15" s="76">
        <v>2.0</v>
      </c>
      <c r="G15" s="76">
        <v>2.0</v>
      </c>
      <c r="H15" s="76">
        <v>2.0</v>
      </c>
      <c r="I15" s="76">
        <v>1.0</v>
      </c>
      <c r="J15" s="76">
        <v>2.0</v>
      </c>
      <c r="K15" s="67" t="s">
        <v>35</v>
      </c>
      <c r="L15" s="62">
        <f>(E15*E11)+(F15*F11)+(G15*G11)+(H15*H11)+(I15*I11)+(J15*J11)</f>
        <v>268</v>
      </c>
      <c r="M15" s="57" t="s">
        <v>36</v>
      </c>
      <c r="N15" s="63" t="b">
        <v>0</v>
      </c>
    </row>
    <row r="16" ht="13.5" customHeight="1">
      <c r="A16" s="68"/>
      <c r="B16" s="69">
        <f>IFS(L16=0,"",B16&lt;&gt;"",B16,TRUE,NOW())</f>
        <v>46140.43911</v>
      </c>
      <c r="C16" s="70" t="s">
        <v>37</v>
      </c>
      <c r="D16" s="33"/>
      <c r="E16" s="71"/>
      <c r="F16" s="71"/>
      <c r="G16" s="71"/>
      <c r="H16" s="71"/>
      <c r="I16" s="71"/>
      <c r="J16" s="71"/>
      <c r="K16" s="72" t="s">
        <v>38</v>
      </c>
      <c r="L16" s="73">
        <f>L15-L14</f>
        <v>204</v>
      </c>
      <c r="M16" s="74" t="s">
        <v>39</v>
      </c>
      <c r="N16" s="75" t="b">
        <v>0</v>
      </c>
    </row>
    <row r="17" ht="15.0" customHeight="1">
      <c r="A17" s="46" t="s">
        <v>40</v>
      </c>
      <c r="B17" s="52" t="s">
        <v>26</v>
      </c>
      <c r="C17" s="53" t="s">
        <v>27</v>
      </c>
      <c r="D17" s="54"/>
      <c r="E17" s="55">
        <f t="shared" ref="E17:J17" si="3">E15-E18</f>
        <v>0</v>
      </c>
      <c r="F17" s="55">
        <f t="shared" si="3"/>
        <v>2</v>
      </c>
      <c r="G17" s="55">
        <f t="shared" si="3"/>
        <v>2</v>
      </c>
      <c r="H17" s="55">
        <f t="shared" si="3"/>
        <v>2</v>
      </c>
      <c r="I17" s="55">
        <f t="shared" si="3"/>
        <v>1</v>
      </c>
      <c r="J17" s="55">
        <f t="shared" si="3"/>
        <v>2</v>
      </c>
      <c r="K17" s="56"/>
      <c r="L17" s="30"/>
      <c r="M17" s="57" t="s">
        <v>28</v>
      </c>
      <c r="N17" s="58" t="b">
        <v>0</v>
      </c>
    </row>
    <row r="18" ht="13.5" customHeight="1">
      <c r="A18" s="64"/>
      <c r="B18" s="59"/>
      <c r="C18" s="53" t="s">
        <v>30</v>
      </c>
      <c r="D18" s="54"/>
      <c r="E18" s="60"/>
      <c r="F18" s="60"/>
      <c r="G18" s="60"/>
      <c r="H18" s="60"/>
      <c r="I18" s="60"/>
      <c r="J18" s="60"/>
      <c r="K18" s="61" t="s">
        <v>30</v>
      </c>
      <c r="L18" s="62">
        <f>(E18*E11)+(F18*F11)+(G18*G11)+(H18*H11)+(I18*I11)+(J18*J11)</f>
        <v>0</v>
      </c>
      <c r="M18" s="57" t="s">
        <v>31</v>
      </c>
      <c r="N18" s="63" t="b">
        <v>0</v>
      </c>
    </row>
    <row r="19" ht="13.5" customHeight="1">
      <c r="A19" s="68"/>
      <c r="B19" s="65" t="s">
        <v>42</v>
      </c>
      <c r="C19" s="53" t="s">
        <v>34</v>
      </c>
      <c r="D19" s="54"/>
      <c r="E19" s="66"/>
      <c r="F19" s="76">
        <v>3.0</v>
      </c>
      <c r="G19" s="76">
        <v>3.0</v>
      </c>
      <c r="H19" s="76">
        <v>1.0</v>
      </c>
      <c r="I19" s="76"/>
      <c r="J19" s="76">
        <v>3.0</v>
      </c>
      <c r="K19" s="67" t="s">
        <v>35</v>
      </c>
      <c r="L19" s="62">
        <f>(E19*E11)+(F19*F11)+(G19*G11)+(H19*H11)+(I19*I11)+(J19*J11)</f>
        <v>300</v>
      </c>
      <c r="M19" s="57" t="s">
        <v>36</v>
      </c>
      <c r="N19" s="63" t="b">
        <v>0</v>
      </c>
    </row>
    <row r="20" ht="13.5" customHeight="1">
      <c r="A20" s="46" t="s">
        <v>43</v>
      </c>
      <c r="B20" s="69">
        <f>IFS(L20=0,"",B20&lt;&gt;"",B20,TRUE,NOW())</f>
        <v>46147.45873</v>
      </c>
      <c r="C20" s="70" t="s">
        <v>37</v>
      </c>
      <c r="D20" s="33"/>
      <c r="E20" s="71"/>
      <c r="F20" s="71"/>
      <c r="G20" s="71"/>
      <c r="H20" s="71"/>
      <c r="I20" s="71"/>
      <c r="J20" s="71"/>
      <c r="K20" s="72" t="s">
        <v>38</v>
      </c>
      <c r="L20" s="73">
        <f>L19-L18</f>
        <v>300</v>
      </c>
      <c r="M20" s="74" t="s">
        <v>39</v>
      </c>
      <c r="N20" s="75" t="b">
        <v>0</v>
      </c>
    </row>
    <row r="21" ht="13.5" customHeight="1">
      <c r="A21" s="64"/>
      <c r="B21" s="52" t="s">
        <v>26</v>
      </c>
      <c r="C21" s="53" t="s">
        <v>27</v>
      </c>
      <c r="D21" s="54"/>
      <c r="E21" s="55">
        <f t="shared" ref="E21:J21" si="4">E19-E22</f>
        <v>0</v>
      </c>
      <c r="F21" s="55">
        <f t="shared" si="4"/>
        <v>3</v>
      </c>
      <c r="G21" s="55">
        <f t="shared" si="4"/>
        <v>3</v>
      </c>
      <c r="H21" s="55">
        <f t="shared" si="4"/>
        <v>1</v>
      </c>
      <c r="I21" s="55">
        <f t="shared" si="4"/>
        <v>0</v>
      </c>
      <c r="J21" s="55">
        <f t="shared" si="4"/>
        <v>3</v>
      </c>
      <c r="K21" s="56"/>
      <c r="L21" s="30"/>
      <c r="M21" s="57" t="s">
        <v>28</v>
      </c>
      <c r="N21" s="58" t="b">
        <v>0</v>
      </c>
    </row>
    <row r="22" ht="13.5" customHeight="1">
      <c r="A22" s="46" t="s">
        <v>45</v>
      </c>
      <c r="B22" s="59"/>
      <c r="C22" s="53" t="s">
        <v>30</v>
      </c>
      <c r="D22" s="54"/>
      <c r="E22" s="60"/>
      <c r="F22" s="60"/>
      <c r="G22" s="60"/>
      <c r="H22" s="60"/>
      <c r="I22" s="60"/>
      <c r="J22" s="60"/>
      <c r="K22" s="61" t="s">
        <v>30</v>
      </c>
      <c r="L22" s="62">
        <f>(E22*E11)+(F22*F11)+(G22*G11)+(H22*H11)+(I22*I11)+(J22*J11)</f>
        <v>0</v>
      </c>
      <c r="M22" s="57" t="s">
        <v>31</v>
      </c>
      <c r="N22" s="63" t="b">
        <v>0</v>
      </c>
    </row>
    <row r="23" ht="13.5" customHeight="1">
      <c r="A23" s="77"/>
      <c r="B23" s="65" t="s">
        <v>47</v>
      </c>
      <c r="C23" s="53" t="s">
        <v>34</v>
      </c>
      <c r="D23" s="54"/>
      <c r="E23" s="66"/>
      <c r="F23" s="66"/>
      <c r="G23" s="66"/>
      <c r="H23" s="66"/>
      <c r="I23" s="66"/>
      <c r="J23" s="66"/>
      <c r="K23" s="67" t="s">
        <v>35</v>
      </c>
      <c r="L23" s="62">
        <f>(E23*E11)+(F23*F11)+(G23*G11)+(H23*H11)+(I23*I11)+(J23*J11)</f>
        <v>0</v>
      </c>
      <c r="M23" s="57" t="s">
        <v>36</v>
      </c>
      <c r="N23" s="63" t="b">
        <v>0</v>
      </c>
    </row>
    <row r="24" ht="15.0" customHeight="1">
      <c r="A24" s="68"/>
      <c r="B24" s="69" t="str">
        <f>IFS(L24=0,"",B24&lt;&gt;"",B24,TRUE,NOW())</f>
        <v/>
      </c>
      <c r="C24" s="70" t="s">
        <v>37</v>
      </c>
      <c r="D24" s="33"/>
      <c r="E24" s="71"/>
      <c r="F24" s="71"/>
      <c r="G24" s="71"/>
      <c r="H24" s="71"/>
      <c r="I24" s="71"/>
      <c r="J24" s="71"/>
      <c r="K24" s="72" t="s">
        <v>38</v>
      </c>
      <c r="L24" s="73">
        <f>L23-L22</f>
        <v>0</v>
      </c>
      <c r="M24" s="74" t="s">
        <v>39</v>
      </c>
      <c r="N24" s="75" t="b">
        <v>0</v>
      </c>
    </row>
    <row r="25" ht="13.5" customHeight="1">
      <c r="A25" s="78" t="s">
        <v>48</v>
      </c>
      <c r="B25" s="52" t="s">
        <v>26</v>
      </c>
      <c r="C25" s="53" t="s">
        <v>27</v>
      </c>
      <c r="D25" s="54"/>
      <c r="E25" s="55">
        <f t="shared" ref="E25:J25" si="5">E23-E26</f>
        <v>0</v>
      </c>
      <c r="F25" s="55">
        <f t="shared" si="5"/>
        <v>0</v>
      </c>
      <c r="G25" s="55">
        <f t="shared" si="5"/>
        <v>0</v>
      </c>
      <c r="H25" s="55">
        <f t="shared" si="5"/>
        <v>0</v>
      </c>
      <c r="I25" s="55">
        <f t="shared" si="5"/>
        <v>0</v>
      </c>
      <c r="J25" s="55">
        <f t="shared" si="5"/>
        <v>0</v>
      </c>
      <c r="K25" s="56"/>
      <c r="L25" s="30"/>
      <c r="M25" s="57" t="s">
        <v>28</v>
      </c>
      <c r="N25" s="58" t="b">
        <v>0</v>
      </c>
    </row>
    <row r="26" ht="13.5" customHeight="1">
      <c r="A26" s="87"/>
      <c r="B26" s="59"/>
      <c r="C26" s="53" t="s">
        <v>30</v>
      </c>
      <c r="D26" s="54"/>
      <c r="E26" s="60"/>
      <c r="F26" s="60"/>
      <c r="G26" s="60"/>
      <c r="H26" s="60"/>
      <c r="I26" s="60"/>
      <c r="J26" s="60"/>
      <c r="K26" s="61" t="s">
        <v>30</v>
      </c>
      <c r="L26" s="62">
        <f>(E26*E11)+(F26*F11)+(G26*G11)+(H26*H11)+(I26*I11)+(J26*J11)</f>
        <v>0</v>
      </c>
      <c r="M26" s="57" t="s">
        <v>31</v>
      </c>
      <c r="N26" s="63" t="b">
        <v>0</v>
      </c>
    </row>
    <row r="27" ht="13.5" customHeight="1">
      <c r="A27" s="68"/>
      <c r="B27" s="65" t="s">
        <v>49</v>
      </c>
      <c r="C27" s="53" t="s">
        <v>34</v>
      </c>
      <c r="D27" s="54"/>
      <c r="E27" s="66"/>
      <c r="F27" s="66"/>
      <c r="G27" s="66"/>
      <c r="H27" s="66"/>
      <c r="I27" s="66"/>
      <c r="J27" s="66"/>
      <c r="K27" s="67" t="s">
        <v>35</v>
      </c>
      <c r="L27" s="62">
        <f>(E27*E11)+(F27*F11)+(G27*G11)+(H27*H11)+(I27*I11)+(J27*J11)</f>
        <v>0</v>
      </c>
      <c r="M27" s="57" t="s">
        <v>36</v>
      </c>
      <c r="N27" s="63" t="b">
        <v>0</v>
      </c>
    </row>
    <row r="28" ht="13.5" customHeight="1">
      <c r="A28" s="80"/>
      <c r="B28" s="69" t="str">
        <f>IFS(L28=0,"",B28&lt;&gt;"",B28,TRUE,NOW())</f>
        <v/>
      </c>
      <c r="C28" s="53" t="s">
        <v>37</v>
      </c>
      <c r="D28" s="54"/>
      <c r="E28" s="81"/>
      <c r="F28" s="81"/>
      <c r="G28" s="81"/>
      <c r="H28" s="82"/>
      <c r="I28" s="81"/>
      <c r="J28" s="81"/>
      <c r="K28" s="72" t="s">
        <v>38</v>
      </c>
      <c r="L28" s="73">
        <f>L27-L26</f>
        <v>0</v>
      </c>
      <c r="M28" s="74" t="s">
        <v>39</v>
      </c>
      <c r="N28" s="75" t="b">
        <v>0</v>
      </c>
    </row>
    <row r="29" ht="13.5" customHeight="1">
      <c r="A29" s="83" t="s">
        <v>50</v>
      </c>
      <c r="B29" s="42" t="s">
        <v>20</v>
      </c>
      <c r="C29" s="24"/>
      <c r="D29" s="33"/>
      <c r="E29" s="43">
        <f t="shared" ref="E29:J29" si="6">E6</f>
        <v>17</v>
      </c>
      <c r="F29" s="43">
        <f t="shared" si="6"/>
        <v>27</v>
      </c>
      <c r="G29" s="43">
        <f t="shared" si="6"/>
        <v>27</v>
      </c>
      <c r="H29" s="43">
        <f t="shared" si="6"/>
        <v>27</v>
      </c>
      <c r="I29" s="43">
        <f t="shared" si="6"/>
        <v>32</v>
      </c>
      <c r="J29" s="44">
        <f t="shared" si="6"/>
        <v>37</v>
      </c>
      <c r="K29" s="42" t="s">
        <v>21</v>
      </c>
      <c r="L29" s="25"/>
      <c r="M29" s="45" t="s">
        <v>22</v>
      </c>
      <c r="N29" s="25"/>
    </row>
    <row r="30" ht="13.5" customHeight="1">
      <c r="A30" s="46" t="s">
        <v>23</v>
      </c>
      <c r="B30" s="47" t="s">
        <v>24</v>
      </c>
      <c r="C30" s="32" t="s">
        <v>25</v>
      </c>
      <c r="D30" s="33"/>
      <c r="E30" s="48"/>
      <c r="F30" s="48"/>
      <c r="G30" s="48"/>
      <c r="H30" s="48"/>
      <c r="I30" s="48"/>
      <c r="J30" s="48"/>
      <c r="K30" s="49"/>
      <c r="L30" s="25"/>
      <c r="M30" s="50"/>
      <c r="N30" s="10"/>
    </row>
    <row r="31" ht="15.0" customHeight="1">
      <c r="A31" s="51">
        <v>2.0</v>
      </c>
      <c r="B31" s="52" t="s">
        <v>51</v>
      </c>
      <c r="C31" s="53" t="s">
        <v>27</v>
      </c>
      <c r="D31" s="54"/>
      <c r="E31" s="55">
        <f t="shared" ref="E31:J31" si="7">E30-E32</f>
        <v>0</v>
      </c>
      <c r="F31" s="55">
        <f t="shared" si="7"/>
        <v>-2</v>
      </c>
      <c r="G31" s="55">
        <f t="shared" si="7"/>
        <v>0</v>
      </c>
      <c r="H31" s="55">
        <f t="shared" si="7"/>
        <v>0</v>
      </c>
      <c r="I31" s="55">
        <f t="shared" si="7"/>
        <v>0</v>
      </c>
      <c r="J31" s="55">
        <f t="shared" si="7"/>
        <v>0</v>
      </c>
      <c r="K31" s="56"/>
      <c r="L31" s="30"/>
      <c r="M31" s="57" t="s">
        <v>28</v>
      </c>
      <c r="N31" s="58" t="b">
        <v>0</v>
      </c>
    </row>
    <row r="32" ht="13.5" customHeight="1">
      <c r="A32" s="46" t="s">
        <v>29</v>
      </c>
      <c r="B32" s="59"/>
      <c r="C32" s="53" t="s">
        <v>30</v>
      </c>
      <c r="D32" s="54"/>
      <c r="E32" s="60"/>
      <c r="F32" s="84">
        <v>2.0</v>
      </c>
      <c r="G32" s="60"/>
      <c r="H32" s="60"/>
      <c r="I32" s="60"/>
      <c r="J32" s="60"/>
      <c r="K32" s="61" t="s">
        <v>30</v>
      </c>
      <c r="L32" s="62">
        <f>(E32*E29)+(F32*F29)+(G32*G29)+(H32*H29)+(I32*I29)+(J32*J29)</f>
        <v>54</v>
      </c>
      <c r="M32" s="57" t="s">
        <v>31</v>
      </c>
      <c r="N32" s="63" t="b">
        <v>0</v>
      </c>
    </row>
    <row r="33" ht="13.5" customHeight="1">
      <c r="A33" s="64" t="s">
        <v>156</v>
      </c>
      <c r="B33" s="65" t="s">
        <v>33</v>
      </c>
      <c r="C33" s="53" t="s">
        <v>34</v>
      </c>
      <c r="D33" s="54"/>
      <c r="E33" s="66"/>
      <c r="F33" s="76">
        <v>3.0</v>
      </c>
      <c r="G33" s="76">
        <v>3.0</v>
      </c>
      <c r="H33" s="76">
        <v>3.0</v>
      </c>
      <c r="I33" s="76">
        <v>3.0</v>
      </c>
      <c r="J33" s="76">
        <v>3.0</v>
      </c>
      <c r="K33" s="67" t="s">
        <v>35</v>
      </c>
      <c r="L33" s="62">
        <f>(E33*E29)+(F33*F29)+(G33*G29)+(H33*H29)+(I33*I29)+(J33*J29)</f>
        <v>450</v>
      </c>
      <c r="M33" s="57" t="s">
        <v>36</v>
      </c>
      <c r="N33" s="63" t="b">
        <v>0</v>
      </c>
    </row>
    <row r="34" ht="13.5" customHeight="1">
      <c r="A34" s="68"/>
      <c r="B34" s="69">
        <f>IFS(L34=0,"",B34&lt;&gt;"",B34,TRUE,NOW())</f>
        <v>46140.45644</v>
      </c>
      <c r="C34" s="70" t="s">
        <v>37</v>
      </c>
      <c r="D34" s="33"/>
      <c r="E34" s="71"/>
      <c r="F34" s="71"/>
      <c r="G34" s="71"/>
      <c r="H34" s="71"/>
      <c r="I34" s="71"/>
      <c r="J34" s="71"/>
      <c r="K34" s="72" t="s">
        <v>38</v>
      </c>
      <c r="L34" s="73">
        <f>L33-L32</f>
        <v>396</v>
      </c>
      <c r="M34" s="74" t="s">
        <v>39</v>
      </c>
      <c r="N34" s="75" t="b">
        <v>0</v>
      </c>
    </row>
    <row r="35" ht="13.5" customHeight="1">
      <c r="A35" s="46" t="s">
        <v>40</v>
      </c>
      <c r="B35" s="52" t="s">
        <v>51</v>
      </c>
      <c r="C35" s="53" t="s">
        <v>27</v>
      </c>
      <c r="D35" s="54"/>
      <c r="E35" s="55">
        <f t="shared" ref="E35:J35" si="8">E33-E36</f>
        <v>0</v>
      </c>
      <c r="F35" s="55">
        <f t="shared" si="8"/>
        <v>3</v>
      </c>
      <c r="G35" s="55">
        <f t="shared" si="8"/>
        <v>3</v>
      </c>
      <c r="H35" s="55">
        <f t="shared" si="8"/>
        <v>3</v>
      </c>
      <c r="I35" s="55">
        <f t="shared" si="8"/>
        <v>1</v>
      </c>
      <c r="J35" s="55">
        <f t="shared" si="8"/>
        <v>1</v>
      </c>
      <c r="K35" s="56"/>
      <c r="L35" s="30"/>
      <c r="M35" s="57" t="s">
        <v>28</v>
      </c>
      <c r="N35" s="58" t="b">
        <v>0</v>
      </c>
    </row>
    <row r="36" ht="15.0" customHeight="1">
      <c r="A36" s="64"/>
      <c r="B36" s="59"/>
      <c r="C36" s="53" t="s">
        <v>30</v>
      </c>
      <c r="D36" s="54"/>
      <c r="E36" s="60"/>
      <c r="F36" s="60"/>
      <c r="G36" s="60"/>
      <c r="H36" s="60"/>
      <c r="I36" s="84">
        <v>2.0</v>
      </c>
      <c r="J36" s="84">
        <v>2.0</v>
      </c>
      <c r="K36" s="61" t="s">
        <v>30</v>
      </c>
      <c r="L36" s="62">
        <f>(E36*E29)+(F36*F29)+(G36*G29)+(H36*H29)+(I36*I29)+(J36*J29)</f>
        <v>138</v>
      </c>
      <c r="M36" s="57" t="s">
        <v>31</v>
      </c>
      <c r="N36" s="63" t="b">
        <v>0</v>
      </c>
    </row>
    <row r="37" ht="13.5" customHeight="1">
      <c r="A37" s="68"/>
      <c r="B37" s="65" t="s">
        <v>42</v>
      </c>
      <c r="C37" s="53" t="s">
        <v>34</v>
      </c>
      <c r="D37" s="54"/>
      <c r="E37" s="66"/>
      <c r="F37" s="76">
        <v>3.0</v>
      </c>
      <c r="G37" s="66"/>
      <c r="H37" s="66"/>
      <c r="I37" s="76">
        <v>2.0</v>
      </c>
      <c r="J37" s="76">
        <v>2.0</v>
      </c>
      <c r="K37" s="67" t="s">
        <v>35</v>
      </c>
      <c r="L37" s="62">
        <f>(E37*E29)+(F37*F29)+(G37*G29)+(H37*H29)+(I37*I29)+(J37*J29)</f>
        <v>219</v>
      </c>
      <c r="M37" s="57" t="s">
        <v>36</v>
      </c>
      <c r="N37" s="63" t="b">
        <v>0</v>
      </c>
    </row>
    <row r="38" ht="13.5" customHeight="1">
      <c r="A38" s="46" t="s">
        <v>43</v>
      </c>
      <c r="B38" s="69">
        <f>IFS(L38=0,"",B38&lt;&gt;"",B38,TRUE,NOW())</f>
        <v>46147.47956</v>
      </c>
      <c r="C38" s="70" t="s">
        <v>37</v>
      </c>
      <c r="D38" s="33"/>
      <c r="E38" s="71"/>
      <c r="F38" s="71"/>
      <c r="G38" s="71"/>
      <c r="H38" s="71"/>
      <c r="I38" s="71"/>
      <c r="J38" s="71"/>
      <c r="K38" s="72" t="s">
        <v>38</v>
      </c>
      <c r="L38" s="73">
        <f>L37-L36</f>
        <v>81</v>
      </c>
      <c r="M38" s="74" t="s">
        <v>39</v>
      </c>
      <c r="N38" s="75" t="b">
        <v>0</v>
      </c>
    </row>
    <row r="39" ht="13.5" customHeight="1">
      <c r="A39" s="64"/>
      <c r="B39" s="52" t="s">
        <v>51</v>
      </c>
      <c r="C39" s="53" t="s">
        <v>27</v>
      </c>
      <c r="D39" s="54"/>
      <c r="E39" s="55">
        <f t="shared" ref="E39:J39" si="9">E37-E40</f>
        <v>0</v>
      </c>
      <c r="F39" s="55">
        <f t="shared" si="9"/>
        <v>3</v>
      </c>
      <c r="G39" s="55">
        <f t="shared" si="9"/>
        <v>-2</v>
      </c>
      <c r="H39" s="55">
        <f t="shared" si="9"/>
        <v>-1</v>
      </c>
      <c r="I39" s="55">
        <f t="shared" si="9"/>
        <v>2</v>
      </c>
      <c r="J39" s="55">
        <f t="shared" si="9"/>
        <v>1</v>
      </c>
      <c r="K39" s="56"/>
      <c r="L39" s="30"/>
      <c r="M39" s="57" t="s">
        <v>28</v>
      </c>
      <c r="N39" s="58" t="b">
        <v>0</v>
      </c>
    </row>
    <row r="40" ht="13.5" customHeight="1">
      <c r="A40" s="46" t="s">
        <v>45</v>
      </c>
      <c r="B40" s="59"/>
      <c r="C40" s="53" t="s">
        <v>30</v>
      </c>
      <c r="D40" s="54"/>
      <c r="E40" s="60"/>
      <c r="F40" s="60"/>
      <c r="G40" s="84">
        <v>2.0</v>
      </c>
      <c r="H40" s="84">
        <v>1.0</v>
      </c>
      <c r="I40" s="60"/>
      <c r="J40" s="84">
        <v>1.0</v>
      </c>
      <c r="K40" s="61" t="s">
        <v>30</v>
      </c>
      <c r="L40" s="62">
        <f>(E40*E29)+(F40*F29)+(G40*G29)+(H40*H29)+(I40*I29)+(J40*J29)</f>
        <v>118</v>
      </c>
      <c r="M40" s="57" t="s">
        <v>31</v>
      </c>
      <c r="N40" s="63" t="b">
        <v>0</v>
      </c>
    </row>
    <row r="41" ht="15.0" customHeight="1">
      <c r="A41" s="77"/>
      <c r="B41" s="65" t="s">
        <v>47</v>
      </c>
      <c r="C41" s="53" t="s">
        <v>34</v>
      </c>
      <c r="D41" s="54"/>
      <c r="E41" s="66"/>
      <c r="F41" s="76">
        <v>3.0</v>
      </c>
      <c r="G41" s="76">
        <v>3.0</v>
      </c>
      <c r="H41" s="76">
        <v>2.0</v>
      </c>
      <c r="I41" s="76">
        <v>2.0</v>
      </c>
      <c r="J41" s="76">
        <v>3.0</v>
      </c>
      <c r="K41" s="67" t="s">
        <v>35</v>
      </c>
      <c r="L41" s="62">
        <f>(E41*E29)+(F41*F29)+(G41*G29)+(H41*H29)+(I41*I29)+(J41*J29)</f>
        <v>391</v>
      </c>
      <c r="M41" s="57" t="s">
        <v>36</v>
      </c>
      <c r="N41" s="63" t="b">
        <v>0</v>
      </c>
    </row>
    <row r="42" ht="13.5" customHeight="1">
      <c r="A42" s="68"/>
      <c r="B42" s="69">
        <f>IFS(L42=0,"",B42&lt;&gt;"",B42,TRUE,NOW())</f>
        <v>46154.55779</v>
      </c>
      <c r="C42" s="70" t="s">
        <v>37</v>
      </c>
      <c r="D42" s="33"/>
      <c r="E42" s="71"/>
      <c r="F42" s="71"/>
      <c r="G42" s="71"/>
      <c r="H42" s="71"/>
      <c r="I42" s="71"/>
      <c r="J42" s="71"/>
      <c r="K42" s="72" t="s">
        <v>38</v>
      </c>
      <c r="L42" s="73">
        <f>L41-L40</f>
        <v>273</v>
      </c>
      <c r="M42" s="74" t="s">
        <v>39</v>
      </c>
      <c r="N42" s="75" t="b">
        <v>0</v>
      </c>
    </row>
    <row r="43" ht="13.5" customHeight="1">
      <c r="A43" s="78" t="s">
        <v>48</v>
      </c>
      <c r="B43" s="52" t="s">
        <v>51</v>
      </c>
      <c r="C43" s="53" t="s">
        <v>27</v>
      </c>
      <c r="D43" s="54"/>
      <c r="E43" s="55">
        <f t="shared" ref="E43:J43" si="10">E41-E44</f>
        <v>0</v>
      </c>
      <c r="F43" s="55">
        <f t="shared" si="10"/>
        <v>3</v>
      </c>
      <c r="G43" s="55">
        <f t="shared" si="10"/>
        <v>3</v>
      </c>
      <c r="H43" s="55">
        <f t="shared" si="10"/>
        <v>2</v>
      </c>
      <c r="I43" s="55">
        <f t="shared" si="10"/>
        <v>2</v>
      </c>
      <c r="J43" s="55">
        <f t="shared" si="10"/>
        <v>3</v>
      </c>
      <c r="K43" s="56"/>
      <c r="L43" s="30"/>
      <c r="M43" s="57" t="s">
        <v>28</v>
      </c>
      <c r="N43" s="58" t="b">
        <v>0</v>
      </c>
    </row>
    <row r="44" ht="13.5" customHeight="1">
      <c r="A44" s="87"/>
      <c r="B44" s="59"/>
      <c r="C44" s="53" t="s">
        <v>30</v>
      </c>
      <c r="D44" s="54"/>
      <c r="E44" s="60"/>
      <c r="F44" s="60"/>
      <c r="G44" s="60"/>
      <c r="H44" s="60"/>
      <c r="I44" s="60"/>
      <c r="J44" s="60"/>
      <c r="K44" s="61" t="s">
        <v>30</v>
      </c>
      <c r="L44" s="62">
        <f>(E44*E29)+(F44*F29)+(G44*G29)+(H44*H29)+(I44*I29)+(J44*J29)</f>
        <v>0</v>
      </c>
      <c r="M44" s="57" t="s">
        <v>31</v>
      </c>
      <c r="N44" s="63" t="b">
        <v>0</v>
      </c>
    </row>
    <row r="45" ht="13.5" customHeight="1">
      <c r="A45" s="68"/>
      <c r="B45" s="65" t="s">
        <v>49</v>
      </c>
      <c r="C45" s="53" t="s">
        <v>34</v>
      </c>
      <c r="D45" s="54"/>
      <c r="E45" s="66"/>
      <c r="F45" s="66"/>
      <c r="G45" s="66"/>
      <c r="H45" s="66"/>
      <c r="I45" s="66"/>
      <c r="J45" s="66"/>
      <c r="K45" s="67" t="s">
        <v>35</v>
      </c>
      <c r="L45" s="62">
        <f>(E45*E29)+(F45*F29)+(G45*G29)+(H45*H29)+(I45*I29)+(J45*J29)</f>
        <v>0</v>
      </c>
      <c r="M45" s="57" t="s">
        <v>36</v>
      </c>
      <c r="N45" s="63" t="b">
        <v>0</v>
      </c>
    </row>
    <row r="46" ht="15.0" customHeight="1">
      <c r="A46" s="80"/>
      <c r="B46" s="69" t="str">
        <f>IFS(L46=0,"",B46&lt;&gt;"",B46,TRUE,NOW())</f>
        <v/>
      </c>
      <c r="C46" s="53" t="s">
        <v>37</v>
      </c>
      <c r="D46" s="54"/>
      <c r="E46" s="81"/>
      <c r="F46" s="81"/>
      <c r="G46" s="81"/>
      <c r="H46" s="82"/>
      <c r="I46" s="81"/>
      <c r="J46" s="81"/>
      <c r="K46" s="72" t="s">
        <v>38</v>
      </c>
      <c r="L46" s="73">
        <f>L45-L44</f>
        <v>0</v>
      </c>
      <c r="M46" s="74" t="s">
        <v>39</v>
      </c>
      <c r="N46" s="75" t="b">
        <v>0</v>
      </c>
    </row>
    <row r="47" ht="13.5" customHeight="1">
      <c r="A47" s="83" t="s">
        <v>56</v>
      </c>
      <c r="B47" s="42" t="s">
        <v>20</v>
      </c>
      <c r="C47" s="24"/>
      <c r="D47" s="33"/>
      <c r="E47" s="43">
        <f t="shared" ref="E47:J47" si="11">E6</f>
        <v>17</v>
      </c>
      <c r="F47" s="43">
        <f t="shared" si="11"/>
        <v>27</v>
      </c>
      <c r="G47" s="43">
        <f t="shared" si="11"/>
        <v>27</v>
      </c>
      <c r="H47" s="43">
        <f t="shared" si="11"/>
        <v>27</v>
      </c>
      <c r="I47" s="43">
        <f t="shared" si="11"/>
        <v>32</v>
      </c>
      <c r="J47" s="44">
        <f t="shared" si="11"/>
        <v>37</v>
      </c>
      <c r="K47" s="42" t="s">
        <v>21</v>
      </c>
      <c r="L47" s="25"/>
      <c r="M47" s="45" t="s">
        <v>22</v>
      </c>
      <c r="N47" s="25"/>
    </row>
    <row r="48" ht="13.5" customHeight="1">
      <c r="A48" s="46" t="s">
        <v>23</v>
      </c>
      <c r="B48" s="47" t="s">
        <v>24</v>
      </c>
      <c r="C48" s="32" t="s">
        <v>25</v>
      </c>
      <c r="D48" s="33"/>
      <c r="E48" s="48"/>
      <c r="F48" s="48"/>
      <c r="G48" s="48"/>
      <c r="H48" s="48"/>
      <c r="I48" s="48"/>
      <c r="J48" s="48"/>
      <c r="K48" s="49"/>
      <c r="L48" s="25"/>
      <c r="M48" s="50"/>
      <c r="N48" s="10"/>
    </row>
    <row r="49" ht="13.5" customHeight="1">
      <c r="A49" s="51">
        <v>3.0</v>
      </c>
      <c r="B49" s="52" t="s">
        <v>57</v>
      </c>
      <c r="C49" s="53" t="s">
        <v>27</v>
      </c>
      <c r="D49" s="54"/>
      <c r="E49" s="55">
        <f t="shared" ref="E49:J49" si="12">E48-E50</f>
        <v>0</v>
      </c>
      <c r="F49" s="55">
        <f t="shared" si="12"/>
        <v>0</v>
      </c>
      <c r="G49" s="55">
        <f t="shared" si="12"/>
        <v>0</v>
      </c>
      <c r="H49" s="55">
        <f t="shared" si="12"/>
        <v>0</v>
      </c>
      <c r="I49" s="55">
        <f t="shared" si="12"/>
        <v>-2</v>
      </c>
      <c r="J49" s="55">
        <f t="shared" si="12"/>
        <v>-1</v>
      </c>
      <c r="K49" s="56"/>
      <c r="L49" s="30"/>
      <c r="M49" s="57" t="s">
        <v>28</v>
      </c>
      <c r="N49" s="58" t="b">
        <v>0</v>
      </c>
    </row>
    <row r="50" ht="13.5" customHeight="1">
      <c r="A50" s="46" t="s">
        <v>29</v>
      </c>
      <c r="B50" s="59"/>
      <c r="C50" s="53" t="s">
        <v>30</v>
      </c>
      <c r="D50" s="54"/>
      <c r="E50" s="60"/>
      <c r="F50" s="60"/>
      <c r="G50" s="60"/>
      <c r="H50" s="60"/>
      <c r="I50" s="84">
        <v>2.0</v>
      </c>
      <c r="J50" s="84">
        <v>1.0</v>
      </c>
      <c r="K50" s="61" t="s">
        <v>30</v>
      </c>
      <c r="L50" s="62">
        <f>(E50*E47)+(F50*F47)+(G50*G47)+(H50*H47)+(I50*I47)+(J50*J47)</f>
        <v>101</v>
      </c>
      <c r="M50" s="57" t="s">
        <v>31</v>
      </c>
      <c r="N50" s="63" t="b">
        <v>0</v>
      </c>
    </row>
    <row r="51" ht="13.5" customHeight="1">
      <c r="A51" s="64" t="s">
        <v>157</v>
      </c>
      <c r="B51" s="65" t="s">
        <v>33</v>
      </c>
      <c r="C51" s="53" t="s">
        <v>34</v>
      </c>
      <c r="D51" s="54"/>
      <c r="E51" s="66"/>
      <c r="F51" s="76">
        <v>10.0</v>
      </c>
      <c r="G51" s="66"/>
      <c r="H51" s="76">
        <v>3.0</v>
      </c>
      <c r="I51" s="76">
        <v>3.0</v>
      </c>
      <c r="J51" s="76">
        <v>8.0</v>
      </c>
      <c r="K51" s="67" t="s">
        <v>35</v>
      </c>
      <c r="L51" s="62">
        <f>(E51*E47)+(F51*F47)+(G51*G47)+(H51*H47)+(I51*I47)+(J51*J47)</f>
        <v>743</v>
      </c>
      <c r="M51" s="57" t="s">
        <v>36</v>
      </c>
      <c r="N51" s="63" t="b">
        <v>0</v>
      </c>
    </row>
    <row r="52" ht="13.5" customHeight="1">
      <c r="A52" s="68"/>
      <c r="B52" s="69">
        <f>IFS(L52=0,"",B52&lt;&gt;"",B52,TRUE,NOW())</f>
        <v>46140.52288</v>
      </c>
      <c r="C52" s="70" t="s">
        <v>37</v>
      </c>
      <c r="D52" s="33"/>
      <c r="E52" s="71"/>
      <c r="F52" s="71"/>
      <c r="G52" s="71"/>
      <c r="H52" s="71"/>
      <c r="I52" s="71"/>
      <c r="J52" s="71"/>
      <c r="K52" s="72" t="s">
        <v>38</v>
      </c>
      <c r="L52" s="73">
        <f>L51-L50</f>
        <v>642</v>
      </c>
      <c r="M52" s="74" t="s">
        <v>39</v>
      </c>
      <c r="N52" s="75" t="b">
        <v>0</v>
      </c>
    </row>
    <row r="53" ht="15.0" customHeight="1">
      <c r="A53" s="46" t="s">
        <v>40</v>
      </c>
      <c r="B53" s="52" t="s">
        <v>57</v>
      </c>
      <c r="C53" s="53" t="s">
        <v>27</v>
      </c>
      <c r="D53" s="54"/>
      <c r="E53" s="55">
        <f t="shared" ref="E53:J53" si="13">E51-E54</f>
        <v>0</v>
      </c>
      <c r="F53" s="55">
        <f t="shared" si="13"/>
        <v>9</v>
      </c>
      <c r="G53" s="55">
        <f t="shared" si="13"/>
        <v>0</v>
      </c>
      <c r="H53" s="55">
        <f t="shared" si="13"/>
        <v>2</v>
      </c>
      <c r="I53" s="55">
        <f t="shared" si="13"/>
        <v>0</v>
      </c>
      <c r="J53" s="55">
        <f t="shared" si="13"/>
        <v>8</v>
      </c>
      <c r="K53" s="56"/>
      <c r="L53" s="30"/>
      <c r="M53" s="57" t="s">
        <v>28</v>
      </c>
      <c r="N53" s="58" t="b">
        <v>0</v>
      </c>
    </row>
    <row r="54" ht="13.5" customHeight="1">
      <c r="A54" s="64"/>
      <c r="B54" s="59"/>
      <c r="C54" s="53" t="s">
        <v>30</v>
      </c>
      <c r="D54" s="54"/>
      <c r="E54" s="60"/>
      <c r="F54" s="84">
        <v>1.0</v>
      </c>
      <c r="G54" s="84"/>
      <c r="H54" s="84">
        <v>1.0</v>
      </c>
      <c r="I54" s="84">
        <v>3.0</v>
      </c>
      <c r="J54" s="84"/>
      <c r="K54" s="61" t="s">
        <v>30</v>
      </c>
      <c r="L54" s="62">
        <f>(E54*E47)+(F54*F47)+(G54*G47)+(H54*H47)+(I54*I47)+(J54*J47)</f>
        <v>150</v>
      </c>
      <c r="M54" s="57" t="s">
        <v>31</v>
      </c>
      <c r="N54" s="63" t="b">
        <v>0</v>
      </c>
    </row>
    <row r="55" ht="13.5" customHeight="1">
      <c r="A55" s="68"/>
      <c r="B55" s="65" t="s">
        <v>42</v>
      </c>
      <c r="C55" s="53" t="s">
        <v>34</v>
      </c>
      <c r="D55" s="54"/>
      <c r="E55" s="66"/>
      <c r="F55" s="76">
        <v>10.0</v>
      </c>
      <c r="G55" s="76"/>
      <c r="H55" s="76">
        <v>3.0</v>
      </c>
      <c r="I55" s="76">
        <v>3.0</v>
      </c>
      <c r="J55" s="76">
        <v>8.0</v>
      </c>
      <c r="K55" s="67" t="s">
        <v>35</v>
      </c>
      <c r="L55" s="62">
        <f>(E55*E47)+(F55*F47)+(G55*G47)+(H55*H47)+(I55*I47)+(J55*J47)</f>
        <v>743</v>
      </c>
      <c r="M55" s="57" t="s">
        <v>36</v>
      </c>
      <c r="N55" s="63" t="b">
        <v>0</v>
      </c>
    </row>
    <row r="56" ht="13.5" customHeight="1">
      <c r="A56" s="46" t="s">
        <v>43</v>
      </c>
      <c r="B56" s="69">
        <f>IFS(L56=0,"",B56&lt;&gt;"",B56,TRUE,NOW())</f>
        <v>46147.48944</v>
      </c>
      <c r="C56" s="70" t="s">
        <v>37</v>
      </c>
      <c r="D56" s="33"/>
      <c r="E56" s="71"/>
      <c r="F56" s="71"/>
      <c r="G56" s="71"/>
      <c r="H56" s="71"/>
      <c r="I56" s="71"/>
      <c r="J56" s="71"/>
      <c r="K56" s="72" t="s">
        <v>38</v>
      </c>
      <c r="L56" s="73">
        <f>L55-L54</f>
        <v>593</v>
      </c>
      <c r="M56" s="74" t="s">
        <v>39</v>
      </c>
      <c r="N56" s="75" t="b">
        <v>0</v>
      </c>
    </row>
    <row r="57" ht="13.5" customHeight="1">
      <c r="A57" s="64"/>
      <c r="B57" s="52" t="s">
        <v>57</v>
      </c>
      <c r="C57" s="53" t="s">
        <v>27</v>
      </c>
      <c r="D57" s="54"/>
      <c r="E57" s="55">
        <f t="shared" ref="E57:J57" si="14">E55-E58</f>
        <v>0</v>
      </c>
      <c r="F57" s="55">
        <f t="shared" si="14"/>
        <v>7</v>
      </c>
      <c r="G57" s="55">
        <f t="shared" si="14"/>
        <v>0</v>
      </c>
      <c r="H57" s="55">
        <f t="shared" si="14"/>
        <v>1</v>
      </c>
      <c r="I57" s="55">
        <f t="shared" si="14"/>
        <v>0</v>
      </c>
      <c r="J57" s="55">
        <f t="shared" si="14"/>
        <v>3</v>
      </c>
      <c r="K57" s="56"/>
      <c r="L57" s="30"/>
      <c r="M57" s="57" t="s">
        <v>28</v>
      </c>
      <c r="N57" s="58" t="b">
        <v>0</v>
      </c>
    </row>
    <row r="58" ht="15.0" customHeight="1">
      <c r="A58" s="46" t="s">
        <v>45</v>
      </c>
      <c r="B58" s="59"/>
      <c r="C58" s="53" t="s">
        <v>30</v>
      </c>
      <c r="D58" s="54"/>
      <c r="E58" s="60"/>
      <c r="F58" s="84">
        <v>3.0</v>
      </c>
      <c r="G58" s="60"/>
      <c r="H58" s="84">
        <v>2.0</v>
      </c>
      <c r="I58" s="84">
        <v>3.0</v>
      </c>
      <c r="J58" s="84">
        <v>5.0</v>
      </c>
      <c r="K58" s="61" t="s">
        <v>30</v>
      </c>
      <c r="L58" s="62">
        <f>(E58*E47)+(F58*F47)+(G58*G47)+(H58*H47)+(I58*I47)+(J58*J47)</f>
        <v>416</v>
      </c>
      <c r="M58" s="57" t="s">
        <v>31</v>
      </c>
      <c r="N58" s="63" t="b">
        <v>0</v>
      </c>
    </row>
    <row r="59" ht="13.5" customHeight="1">
      <c r="A59" s="77"/>
      <c r="B59" s="65" t="s">
        <v>47</v>
      </c>
      <c r="C59" s="53" t="s">
        <v>34</v>
      </c>
      <c r="D59" s="54"/>
      <c r="E59" s="66"/>
      <c r="F59" s="76">
        <v>8.0</v>
      </c>
      <c r="G59" s="66"/>
      <c r="H59" s="76">
        <v>2.0</v>
      </c>
      <c r="I59" s="76">
        <v>3.0</v>
      </c>
      <c r="J59" s="76">
        <v>9.0</v>
      </c>
      <c r="K59" s="67" t="s">
        <v>35</v>
      </c>
      <c r="L59" s="62">
        <f>(E59*E47)+(F59*F47)+(G59*G47)+(H59*H47)+(I59*I47)+(J59*J47)</f>
        <v>699</v>
      </c>
      <c r="M59" s="57" t="s">
        <v>36</v>
      </c>
      <c r="N59" s="63" t="b">
        <v>0</v>
      </c>
    </row>
    <row r="60" ht="13.5" customHeight="1">
      <c r="A60" s="68"/>
      <c r="B60" s="69">
        <f>IFS(L60=0,"",B60&lt;&gt;"",B60,TRUE,NOW())</f>
        <v>46154.57624</v>
      </c>
      <c r="C60" s="70" t="s">
        <v>37</v>
      </c>
      <c r="D60" s="33"/>
      <c r="E60" s="71"/>
      <c r="F60" s="71"/>
      <c r="G60" s="71"/>
      <c r="H60" s="71"/>
      <c r="I60" s="71"/>
      <c r="J60" s="71"/>
      <c r="K60" s="72" t="s">
        <v>38</v>
      </c>
      <c r="L60" s="73">
        <f>L59-L58</f>
        <v>283</v>
      </c>
      <c r="M60" s="74" t="s">
        <v>39</v>
      </c>
      <c r="N60" s="75" t="b">
        <v>0</v>
      </c>
    </row>
    <row r="61" ht="13.5" customHeight="1">
      <c r="A61" s="78" t="s">
        <v>48</v>
      </c>
      <c r="B61" s="52" t="s">
        <v>57</v>
      </c>
      <c r="C61" s="53" t="s">
        <v>27</v>
      </c>
      <c r="D61" s="54"/>
      <c r="E61" s="55">
        <f t="shared" ref="E61:J61" si="15">E59-E62</f>
        <v>0</v>
      </c>
      <c r="F61" s="55">
        <f t="shared" si="15"/>
        <v>8</v>
      </c>
      <c r="G61" s="55">
        <f t="shared" si="15"/>
        <v>0</v>
      </c>
      <c r="H61" s="55">
        <f t="shared" si="15"/>
        <v>2</v>
      </c>
      <c r="I61" s="55">
        <f t="shared" si="15"/>
        <v>3</v>
      </c>
      <c r="J61" s="55">
        <f t="shared" si="15"/>
        <v>9</v>
      </c>
      <c r="K61" s="56"/>
      <c r="L61" s="30"/>
      <c r="M61" s="57" t="s">
        <v>28</v>
      </c>
      <c r="N61" s="58" t="b">
        <v>0</v>
      </c>
    </row>
    <row r="62" ht="13.5" customHeight="1">
      <c r="A62" s="87"/>
      <c r="B62" s="59"/>
      <c r="C62" s="53" t="s">
        <v>30</v>
      </c>
      <c r="D62" s="54"/>
      <c r="E62" s="60"/>
      <c r="F62" s="60"/>
      <c r="G62" s="60"/>
      <c r="H62" s="60"/>
      <c r="I62" s="60"/>
      <c r="J62" s="60"/>
      <c r="K62" s="61" t="s">
        <v>30</v>
      </c>
      <c r="L62" s="62">
        <f>(E62*E47)+(F62*F47)+(G62*G47)+(H62*H47)+(I62*I47)+(J62*J47)</f>
        <v>0</v>
      </c>
      <c r="M62" s="57" t="s">
        <v>31</v>
      </c>
      <c r="N62" s="63" t="b">
        <v>0</v>
      </c>
    </row>
    <row r="63" ht="15.0" customHeight="1">
      <c r="A63" s="68"/>
      <c r="B63" s="65" t="s">
        <v>49</v>
      </c>
      <c r="C63" s="53" t="s">
        <v>34</v>
      </c>
      <c r="D63" s="54"/>
      <c r="E63" s="66"/>
      <c r="F63" s="66"/>
      <c r="G63" s="66"/>
      <c r="H63" s="66"/>
      <c r="I63" s="66"/>
      <c r="J63" s="66"/>
      <c r="K63" s="67" t="s">
        <v>35</v>
      </c>
      <c r="L63" s="62">
        <f>(E63*E47)+(F63*F47)+(G63*G47)+(H63*H47)+(I63*I47)+(J63*J47)</f>
        <v>0</v>
      </c>
      <c r="M63" s="57" t="s">
        <v>36</v>
      </c>
      <c r="N63" s="63" t="b">
        <v>0</v>
      </c>
    </row>
    <row r="64" ht="13.5" customHeight="1">
      <c r="A64" s="80"/>
      <c r="B64" s="69" t="str">
        <f>IFS(L64=0,"",B64&lt;&gt;"",B64,TRUE,NOW())</f>
        <v/>
      </c>
      <c r="C64" s="53" t="s">
        <v>37</v>
      </c>
      <c r="D64" s="54"/>
      <c r="E64" s="81"/>
      <c r="F64" s="81"/>
      <c r="G64" s="81"/>
      <c r="H64" s="82"/>
      <c r="I64" s="81"/>
      <c r="J64" s="81"/>
      <c r="K64" s="72" t="s">
        <v>38</v>
      </c>
      <c r="L64" s="73">
        <f>L63-L62</f>
        <v>0</v>
      </c>
      <c r="M64" s="74" t="s">
        <v>39</v>
      </c>
      <c r="N64" s="75" t="b">
        <v>0</v>
      </c>
    </row>
    <row r="65" ht="13.5" customHeight="1">
      <c r="A65" s="83" t="s">
        <v>62</v>
      </c>
      <c r="B65" s="42" t="s">
        <v>20</v>
      </c>
      <c r="C65" s="24"/>
      <c r="D65" s="33"/>
      <c r="E65" s="43">
        <f t="shared" ref="E65:J65" si="16">E6</f>
        <v>17</v>
      </c>
      <c r="F65" s="43">
        <f t="shared" si="16"/>
        <v>27</v>
      </c>
      <c r="G65" s="43">
        <f t="shared" si="16"/>
        <v>27</v>
      </c>
      <c r="H65" s="43">
        <f t="shared" si="16"/>
        <v>27</v>
      </c>
      <c r="I65" s="43">
        <f t="shared" si="16"/>
        <v>32</v>
      </c>
      <c r="J65" s="44">
        <f t="shared" si="16"/>
        <v>37</v>
      </c>
      <c r="K65" s="42" t="s">
        <v>21</v>
      </c>
      <c r="L65" s="25"/>
      <c r="M65" s="45" t="s">
        <v>22</v>
      </c>
      <c r="N65" s="25"/>
    </row>
    <row r="66" ht="13.5" customHeight="1">
      <c r="A66" s="46" t="s">
        <v>23</v>
      </c>
      <c r="B66" s="47" t="s">
        <v>24</v>
      </c>
      <c r="C66" s="32" t="s">
        <v>25</v>
      </c>
      <c r="D66" s="33"/>
      <c r="E66" s="48"/>
      <c r="F66" s="48"/>
      <c r="G66" s="48"/>
      <c r="H66" s="48"/>
      <c r="I66" s="48"/>
      <c r="J66" s="48"/>
      <c r="K66" s="49"/>
      <c r="L66" s="25"/>
      <c r="M66" s="50"/>
      <c r="N66" s="10"/>
    </row>
    <row r="67" ht="13.5" customHeight="1">
      <c r="A67" s="51">
        <v>4.0</v>
      </c>
      <c r="B67" s="52" t="s">
        <v>63</v>
      </c>
      <c r="C67" s="53" t="s">
        <v>27</v>
      </c>
      <c r="D67" s="54"/>
      <c r="E67" s="55">
        <f t="shared" ref="E67:J67" si="17">E66-E68</f>
        <v>0</v>
      </c>
      <c r="F67" s="55">
        <f t="shared" si="17"/>
        <v>-1</v>
      </c>
      <c r="G67" s="55">
        <f t="shared" si="17"/>
        <v>-1</v>
      </c>
      <c r="H67" s="55">
        <f t="shared" si="17"/>
        <v>-1</v>
      </c>
      <c r="I67" s="55">
        <f t="shared" si="17"/>
        <v>0</v>
      </c>
      <c r="J67" s="55">
        <f t="shared" si="17"/>
        <v>0</v>
      </c>
      <c r="K67" s="56"/>
      <c r="L67" s="30"/>
      <c r="M67" s="57" t="s">
        <v>28</v>
      </c>
      <c r="N67" s="58" t="b">
        <v>0</v>
      </c>
    </row>
    <row r="68" ht="15.0" customHeight="1">
      <c r="A68" s="46" t="s">
        <v>29</v>
      </c>
      <c r="B68" s="59"/>
      <c r="C68" s="53" t="s">
        <v>30</v>
      </c>
      <c r="D68" s="54"/>
      <c r="E68" s="60"/>
      <c r="F68" s="84">
        <v>1.0</v>
      </c>
      <c r="G68" s="84">
        <v>1.0</v>
      </c>
      <c r="H68" s="84">
        <v>1.0</v>
      </c>
      <c r="I68" s="60"/>
      <c r="J68" s="60"/>
      <c r="K68" s="61" t="s">
        <v>30</v>
      </c>
      <c r="L68" s="62">
        <f>(E68*E65)+(F68*F65)+(G68*G65)+(H68*H65)+(I68*I65)+(J68*J65)</f>
        <v>81</v>
      </c>
      <c r="M68" s="57" t="s">
        <v>31</v>
      </c>
      <c r="N68" s="63" t="b">
        <v>0</v>
      </c>
    </row>
    <row r="69" ht="13.5" customHeight="1">
      <c r="A69" s="64" t="s">
        <v>158</v>
      </c>
      <c r="B69" s="65" t="s">
        <v>33</v>
      </c>
      <c r="C69" s="53" t="s">
        <v>34</v>
      </c>
      <c r="D69" s="54"/>
      <c r="E69" s="66"/>
      <c r="F69" s="76">
        <v>3.0</v>
      </c>
      <c r="G69" s="76">
        <v>3.0</v>
      </c>
      <c r="H69" s="76">
        <v>2.0</v>
      </c>
      <c r="I69" s="76"/>
      <c r="J69" s="76">
        <v>4.0</v>
      </c>
      <c r="K69" s="67" t="s">
        <v>35</v>
      </c>
      <c r="L69" s="62">
        <f>(E69*E65)+(F69*F65)+(G69*G65)+(H69*H65)+(I69*I65)+(J69*J65)</f>
        <v>364</v>
      </c>
      <c r="M69" s="57" t="s">
        <v>36</v>
      </c>
      <c r="N69" s="63" t="b">
        <v>0</v>
      </c>
    </row>
    <row r="70" ht="13.5" customHeight="1">
      <c r="A70" s="68"/>
      <c r="B70" s="69">
        <f>IFS(L70=0,"",B70&lt;&gt;"",B70,TRUE,NOW())</f>
        <v>46140.52297</v>
      </c>
      <c r="C70" s="70" t="s">
        <v>37</v>
      </c>
      <c r="D70" s="33"/>
      <c r="E70" s="71"/>
      <c r="F70" s="71"/>
      <c r="G70" s="71"/>
      <c r="H70" s="71"/>
      <c r="I70" s="71"/>
      <c r="J70" s="71"/>
      <c r="K70" s="72" t="s">
        <v>38</v>
      </c>
      <c r="L70" s="73">
        <f>L69-L68</f>
        <v>283</v>
      </c>
      <c r="M70" s="74" t="s">
        <v>39</v>
      </c>
      <c r="N70" s="75" t="b">
        <v>0</v>
      </c>
    </row>
    <row r="71" ht="13.5" customHeight="1">
      <c r="A71" s="46" t="s">
        <v>40</v>
      </c>
      <c r="B71" s="52" t="s">
        <v>63</v>
      </c>
      <c r="C71" s="53" t="s">
        <v>27</v>
      </c>
      <c r="D71" s="54"/>
      <c r="E71" s="55">
        <f t="shared" ref="E71:J71" si="18">E69-E72</f>
        <v>0</v>
      </c>
      <c r="F71" s="55">
        <f t="shared" si="18"/>
        <v>1</v>
      </c>
      <c r="G71" s="55">
        <f t="shared" si="18"/>
        <v>0</v>
      </c>
      <c r="H71" s="55">
        <f t="shared" si="18"/>
        <v>2</v>
      </c>
      <c r="I71" s="55">
        <f t="shared" si="18"/>
        <v>0</v>
      </c>
      <c r="J71" s="55">
        <f t="shared" si="18"/>
        <v>2</v>
      </c>
      <c r="K71" s="56"/>
      <c r="L71" s="30"/>
      <c r="M71" s="57" t="s">
        <v>28</v>
      </c>
      <c r="N71" s="58" t="b">
        <v>0</v>
      </c>
    </row>
    <row r="72" ht="13.5" customHeight="1">
      <c r="A72" s="64"/>
      <c r="B72" s="59"/>
      <c r="C72" s="53" t="s">
        <v>30</v>
      </c>
      <c r="D72" s="54"/>
      <c r="E72" s="60"/>
      <c r="F72" s="84">
        <v>2.0</v>
      </c>
      <c r="G72" s="84">
        <v>3.0</v>
      </c>
      <c r="H72" s="84"/>
      <c r="I72" s="60"/>
      <c r="J72" s="84">
        <v>2.0</v>
      </c>
      <c r="K72" s="61" t="s">
        <v>30</v>
      </c>
      <c r="L72" s="62">
        <f>(E72*E65)+(F72*F65)+(G72*G65)+(H72*H65)+(I72*I65)+(J72*J65)</f>
        <v>209</v>
      </c>
      <c r="M72" s="57" t="s">
        <v>31</v>
      </c>
      <c r="N72" s="63" t="b">
        <v>0</v>
      </c>
    </row>
    <row r="73" ht="13.5" customHeight="1">
      <c r="A73" s="68"/>
      <c r="B73" s="65" t="s">
        <v>42</v>
      </c>
      <c r="C73" s="53" t="s">
        <v>34</v>
      </c>
      <c r="D73" s="54"/>
      <c r="E73" s="66"/>
      <c r="F73" s="76">
        <v>2.0</v>
      </c>
      <c r="G73" s="76">
        <v>2.0</v>
      </c>
      <c r="H73" s="76">
        <v>1.0</v>
      </c>
      <c r="I73" s="76"/>
      <c r="J73" s="76">
        <v>2.0</v>
      </c>
      <c r="K73" s="67" t="s">
        <v>35</v>
      </c>
      <c r="L73" s="62">
        <f>(E73*E65)+(F73*F65)+(G73*G65)+(H73*H65)+(I73*I65)+(J73*J65)</f>
        <v>209</v>
      </c>
      <c r="M73" s="57" t="s">
        <v>36</v>
      </c>
      <c r="N73" s="63" t="b">
        <v>0</v>
      </c>
    </row>
    <row r="74" ht="13.5" customHeight="1">
      <c r="A74" s="46" t="s">
        <v>43</v>
      </c>
      <c r="B74" s="69" t="str">
        <f>IFS(L74=0,"",B74&lt;&gt;"",B74,TRUE,NOW())</f>
        <v/>
      </c>
      <c r="C74" s="70" t="s">
        <v>37</v>
      </c>
      <c r="D74" s="33"/>
      <c r="E74" s="71"/>
      <c r="F74" s="71"/>
      <c r="G74" s="71"/>
      <c r="H74" s="71"/>
      <c r="I74" s="71"/>
      <c r="J74" s="71"/>
      <c r="K74" s="72" t="s">
        <v>38</v>
      </c>
      <c r="L74" s="73">
        <f>L73-L72</f>
        <v>0</v>
      </c>
      <c r="M74" s="74" t="s">
        <v>39</v>
      </c>
      <c r="N74" s="75" t="b">
        <v>0</v>
      </c>
    </row>
    <row r="75" ht="15.0" customHeight="1">
      <c r="A75" s="64"/>
      <c r="B75" s="52" t="s">
        <v>63</v>
      </c>
      <c r="C75" s="53" t="s">
        <v>27</v>
      </c>
      <c r="D75" s="54"/>
      <c r="E75" s="55">
        <f t="shared" ref="E75:J75" si="19">E73-E76</f>
        <v>0</v>
      </c>
      <c r="F75" s="55">
        <f t="shared" si="19"/>
        <v>2</v>
      </c>
      <c r="G75" s="55">
        <f t="shared" si="19"/>
        <v>1</v>
      </c>
      <c r="H75" s="55">
        <f t="shared" si="19"/>
        <v>1</v>
      </c>
      <c r="I75" s="55">
        <f t="shared" si="19"/>
        <v>0</v>
      </c>
      <c r="J75" s="55">
        <f t="shared" si="19"/>
        <v>2</v>
      </c>
      <c r="K75" s="56"/>
      <c r="L75" s="30"/>
      <c r="M75" s="57" t="s">
        <v>28</v>
      </c>
      <c r="N75" s="58" t="b">
        <v>0</v>
      </c>
    </row>
    <row r="76" ht="13.5" customHeight="1">
      <c r="A76" s="46" t="s">
        <v>45</v>
      </c>
      <c r="B76" s="59"/>
      <c r="C76" s="53" t="s">
        <v>30</v>
      </c>
      <c r="D76" s="54"/>
      <c r="E76" s="60"/>
      <c r="F76" s="60"/>
      <c r="G76" s="84">
        <v>1.0</v>
      </c>
      <c r="H76" s="60"/>
      <c r="I76" s="60"/>
      <c r="J76" s="84"/>
      <c r="K76" s="61" t="s">
        <v>30</v>
      </c>
      <c r="L76" s="62">
        <f>(E76*E65)+(F76*F65)+(G76*G65)+(H76*H65)+(I76*I65)+(J76*J65)</f>
        <v>27</v>
      </c>
      <c r="M76" s="57" t="s">
        <v>31</v>
      </c>
      <c r="N76" s="63" t="b">
        <v>0</v>
      </c>
    </row>
    <row r="77" ht="13.5" customHeight="1">
      <c r="A77" s="77"/>
      <c r="B77" s="65" t="s">
        <v>47</v>
      </c>
      <c r="C77" s="53" t="s">
        <v>34</v>
      </c>
      <c r="D77" s="54"/>
      <c r="E77" s="66"/>
      <c r="F77" s="76">
        <v>3.0</v>
      </c>
      <c r="G77" s="76">
        <v>2.0</v>
      </c>
      <c r="H77" s="76">
        <v>1.0</v>
      </c>
      <c r="I77" s="66"/>
      <c r="J77" s="76">
        <v>3.0</v>
      </c>
      <c r="K77" s="67" t="s">
        <v>35</v>
      </c>
      <c r="L77" s="62">
        <f>(E77*E65)+(F77*F65)+(G77*G65)+(H77*H65)+(I77*I65)+(J77*J65)</f>
        <v>273</v>
      </c>
      <c r="M77" s="57" t="s">
        <v>36</v>
      </c>
      <c r="N77" s="63" t="b">
        <v>0</v>
      </c>
    </row>
    <row r="78" ht="13.5" customHeight="1">
      <c r="A78" s="68"/>
      <c r="B78" s="69">
        <f>IFS(L78=0,"",B78&lt;&gt;"",B78,TRUE,NOW())</f>
        <v>46154.64155</v>
      </c>
      <c r="C78" s="70" t="s">
        <v>37</v>
      </c>
      <c r="D78" s="33"/>
      <c r="E78" s="71"/>
      <c r="F78" s="71"/>
      <c r="G78" s="71"/>
      <c r="H78" s="71"/>
      <c r="I78" s="71"/>
      <c r="J78" s="71"/>
      <c r="K78" s="72" t="s">
        <v>38</v>
      </c>
      <c r="L78" s="73">
        <f>L77-L76</f>
        <v>246</v>
      </c>
      <c r="M78" s="74" t="s">
        <v>39</v>
      </c>
      <c r="N78" s="75" t="b">
        <v>0</v>
      </c>
    </row>
    <row r="79" ht="13.5" customHeight="1">
      <c r="A79" s="78" t="s">
        <v>48</v>
      </c>
      <c r="B79" s="52" t="s">
        <v>63</v>
      </c>
      <c r="C79" s="53" t="s">
        <v>27</v>
      </c>
      <c r="D79" s="54"/>
      <c r="E79" s="55">
        <f t="shared" ref="E79:J79" si="20">E77-E80</f>
        <v>0</v>
      </c>
      <c r="F79" s="55">
        <f t="shared" si="20"/>
        <v>3</v>
      </c>
      <c r="G79" s="55">
        <f t="shared" si="20"/>
        <v>2</v>
      </c>
      <c r="H79" s="55">
        <f t="shared" si="20"/>
        <v>1</v>
      </c>
      <c r="I79" s="55">
        <f t="shared" si="20"/>
        <v>0</v>
      </c>
      <c r="J79" s="55">
        <f t="shared" si="20"/>
        <v>3</v>
      </c>
      <c r="K79" s="56"/>
      <c r="L79" s="30"/>
      <c r="M79" s="57" t="s">
        <v>28</v>
      </c>
      <c r="N79" s="58" t="b">
        <v>0</v>
      </c>
    </row>
    <row r="80" ht="15.0" customHeight="1">
      <c r="A80" s="87"/>
      <c r="B80" s="59"/>
      <c r="C80" s="53" t="s">
        <v>30</v>
      </c>
      <c r="D80" s="54"/>
      <c r="E80" s="60"/>
      <c r="F80" s="60"/>
      <c r="G80" s="60"/>
      <c r="H80" s="60"/>
      <c r="I80" s="60"/>
      <c r="J80" s="60"/>
      <c r="K80" s="61" t="s">
        <v>30</v>
      </c>
      <c r="L80" s="62">
        <f>(E80*E65)+(F80*F65)+(G80*G65)+(H80*H65)+(I80*I65)+(J80*J65)</f>
        <v>0</v>
      </c>
      <c r="M80" s="57" t="s">
        <v>31</v>
      </c>
      <c r="N80" s="63" t="b">
        <v>0</v>
      </c>
    </row>
    <row r="81" ht="13.5" customHeight="1">
      <c r="A81" s="68"/>
      <c r="B81" s="65" t="s">
        <v>49</v>
      </c>
      <c r="C81" s="53" t="s">
        <v>34</v>
      </c>
      <c r="D81" s="54"/>
      <c r="E81" s="66"/>
      <c r="F81" s="66"/>
      <c r="G81" s="66"/>
      <c r="H81" s="66"/>
      <c r="I81" s="66"/>
      <c r="J81" s="66"/>
      <c r="K81" s="67" t="s">
        <v>35</v>
      </c>
      <c r="L81" s="62">
        <f>(E81*E65)+(F81*F65)+(G81*G65)+(H81*H65)+(I81*I65)+(J81*J65)</f>
        <v>0</v>
      </c>
      <c r="M81" s="57" t="s">
        <v>36</v>
      </c>
      <c r="N81" s="63" t="b">
        <v>0</v>
      </c>
    </row>
    <row r="82" ht="13.5" customHeight="1">
      <c r="A82" s="80"/>
      <c r="B82" s="69" t="str">
        <f>IFS(L82=0,"",B82&lt;&gt;"",B82,TRUE,NOW())</f>
        <v/>
      </c>
      <c r="C82" s="86" t="s">
        <v>37</v>
      </c>
      <c r="D82" s="59"/>
      <c r="E82" s="81"/>
      <c r="F82" s="81"/>
      <c r="G82" s="81"/>
      <c r="H82" s="82"/>
      <c r="I82" s="81"/>
      <c r="J82" s="81"/>
      <c r="K82" s="72" t="s">
        <v>38</v>
      </c>
      <c r="L82" s="73">
        <f>L81-L80</f>
        <v>0</v>
      </c>
      <c r="M82" s="74" t="s">
        <v>39</v>
      </c>
      <c r="N82" s="75" t="b">
        <v>0</v>
      </c>
    </row>
    <row r="83" ht="13.5" customHeight="1">
      <c r="A83" s="83" t="s">
        <v>65</v>
      </c>
      <c r="B83" s="42" t="s">
        <v>20</v>
      </c>
      <c r="C83" s="24"/>
      <c r="D83" s="33"/>
      <c r="E83" s="43">
        <f t="shared" ref="E83:J83" si="21">E6</f>
        <v>17</v>
      </c>
      <c r="F83" s="43">
        <f t="shared" si="21"/>
        <v>27</v>
      </c>
      <c r="G83" s="43">
        <f t="shared" si="21"/>
        <v>27</v>
      </c>
      <c r="H83" s="43">
        <f t="shared" si="21"/>
        <v>27</v>
      </c>
      <c r="I83" s="43">
        <f t="shared" si="21"/>
        <v>32</v>
      </c>
      <c r="J83" s="44">
        <f t="shared" si="21"/>
        <v>37</v>
      </c>
      <c r="K83" s="42" t="s">
        <v>21</v>
      </c>
      <c r="L83" s="25"/>
      <c r="M83" s="45" t="s">
        <v>22</v>
      </c>
      <c r="N83" s="25"/>
    </row>
    <row r="84" ht="13.5" customHeight="1">
      <c r="A84" s="46" t="s">
        <v>23</v>
      </c>
      <c r="B84" s="47" t="s">
        <v>24</v>
      </c>
      <c r="C84" s="32" t="s">
        <v>25</v>
      </c>
      <c r="D84" s="33"/>
      <c r="E84" s="48"/>
      <c r="F84" s="48"/>
      <c r="G84" s="48"/>
      <c r="H84" s="48"/>
      <c r="I84" s="48"/>
      <c r="J84" s="48"/>
      <c r="K84" s="49"/>
      <c r="L84" s="25"/>
      <c r="M84" s="50"/>
      <c r="N84" s="10"/>
    </row>
    <row r="85" ht="19.5" customHeight="1">
      <c r="A85" s="51">
        <v>5.0</v>
      </c>
      <c r="B85" s="52" t="s">
        <v>66</v>
      </c>
      <c r="C85" s="53" t="s">
        <v>27</v>
      </c>
      <c r="D85" s="54"/>
      <c r="E85" s="55">
        <f t="shared" ref="E85:J85" si="22">E84-E86</f>
        <v>0</v>
      </c>
      <c r="F85" s="55">
        <f t="shared" si="22"/>
        <v>-1</v>
      </c>
      <c r="G85" s="55">
        <f t="shared" si="22"/>
        <v>-2</v>
      </c>
      <c r="H85" s="55">
        <f t="shared" si="22"/>
        <v>0</v>
      </c>
      <c r="I85" s="55">
        <f t="shared" si="22"/>
        <v>0</v>
      </c>
      <c r="J85" s="55">
        <f t="shared" si="22"/>
        <v>0</v>
      </c>
      <c r="K85" s="56"/>
      <c r="L85" s="30"/>
      <c r="M85" s="57" t="s">
        <v>28</v>
      </c>
      <c r="N85" s="58" t="b">
        <v>0</v>
      </c>
    </row>
    <row r="86" ht="13.5" customHeight="1">
      <c r="A86" s="46" t="s">
        <v>29</v>
      </c>
      <c r="B86" s="59"/>
      <c r="C86" s="53" t="s">
        <v>30</v>
      </c>
      <c r="D86" s="54"/>
      <c r="E86" s="60"/>
      <c r="F86" s="84">
        <v>1.0</v>
      </c>
      <c r="G86" s="84">
        <v>2.0</v>
      </c>
      <c r="H86" s="60"/>
      <c r="I86" s="60"/>
      <c r="J86" s="60"/>
      <c r="K86" s="61" t="s">
        <v>30</v>
      </c>
      <c r="L86" s="62">
        <f>(E86*E83)+(F86*F83)+(G86*G83)+(H86*H83)+(I86*I83)+(J86*J83)</f>
        <v>81</v>
      </c>
      <c r="M86" s="57" t="s">
        <v>31</v>
      </c>
      <c r="N86" s="63" t="b">
        <v>0</v>
      </c>
    </row>
    <row r="87" ht="13.5" customHeight="1">
      <c r="A87" s="64" t="s">
        <v>159</v>
      </c>
      <c r="B87" s="65" t="s">
        <v>33</v>
      </c>
      <c r="C87" s="53" t="s">
        <v>34</v>
      </c>
      <c r="D87" s="54"/>
      <c r="E87" s="66"/>
      <c r="F87" s="76">
        <v>3.0</v>
      </c>
      <c r="G87" s="76">
        <v>3.0</v>
      </c>
      <c r="H87" s="76">
        <v>3.0</v>
      </c>
      <c r="I87" s="76">
        <v>3.0</v>
      </c>
      <c r="J87" s="76">
        <v>3.0</v>
      </c>
      <c r="K87" s="67" t="s">
        <v>35</v>
      </c>
      <c r="L87" s="62">
        <f>(E87*E83)+(F87*F83)+(G87*G83)+(H87*H83)+(I87*I83)+(J87*J83)</f>
        <v>450</v>
      </c>
      <c r="M87" s="57" t="s">
        <v>36</v>
      </c>
      <c r="N87" s="63" t="b">
        <v>0</v>
      </c>
    </row>
    <row r="88" ht="13.5" customHeight="1">
      <c r="A88" s="68"/>
      <c r="B88" s="69">
        <f>IFS(L88=0,"",B88&lt;&gt;"",B88,TRUE,NOW())</f>
        <v>46140.58042</v>
      </c>
      <c r="C88" s="70" t="s">
        <v>37</v>
      </c>
      <c r="D88" s="33"/>
      <c r="E88" s="71"/>
      <c r="F88" s="71"/>
      <c r="G88" s="71"/>
      <c r="H88" s="71"/>
      <c r="I88" s="71"/>
      <c r="J88" s="71"/>
      <c r="K88" s="72" t="s">
        <v>38</v>
      </c>
      <c r="L88" s="73">
        <f>L87-L86</f>
        <v>369</v>
      </c>
      <c r="M88" s="74" t="s">
        <v>39</v>
      </c>
      <c r="N88" s="75" t="b">
        <v>0</v>
      </c>
    </row>
    <row r="89" ht="13.5" customHeight="1">
      <c r="A89" s="46" t="s">
        <v>40</v>
      </c>
      <c r="B89" s="52" t="s">
        <v>66</v>
      </c>
      <c r="C89" s="53" t="s">
        <v>27</v>
      </c>
      <c r="D89" s="54"/>
      <c r="E89" s="55">
        <f t="shared" ref="E89:J89" si="23">E87-E90</f>
        <v>0</v>
      </c>
      <c r="F89" s="55">
        <f t="shared" si="23"/>
        <v>3</v>
      </c>
      <c r="G89" s="55">
        <f t="shared" si="23"/>
        <v>2</v>
      </c>
      <c r="H89" s="55">
        <f t="shared" si="23"/>
        <v>2</v>
      </c>
      <c r="I89" s="55">
        <f t="shared" si="23"/>
        <v>1</v>
      </c>
      <c r="J89" s="55">
        <f t="shared" si="23"/>
        <v>3</v>
      </c>
      <c r="K89" s="56"/>
      <c r="L89" s="30"/>
      <c r="M89" s="57" t="s">
        <v>28</v>
      </c>
      <c r="N89" s="58" t="b">
        <v>0</v>
      </c>
    </row>
    <row r="90" ht="15.0" customHeight="1">
      <c r="A90" s="64"/>
      <c r="B90" s="59"/>
      <c r="C90" s="53" t="s">
        <v>30</v>
      </c>
      <c r="D90" s="54"/>
      <c r="E90" s="60"/>
      <c r="F90" s="84"/>
      <c r="G90" s="84">
        <v>1.0</v>
      </c>
      <c r="H90" s="84">
        <v>1.0</v>
      </c>
      <c r="I90" s="84">
        <v>2.0</v>
      </c>
      <c r="J90" s="84"/>
      <c r="K90" s="61" t="s">
        <v>30</v>
      </c>
      <c r="L90" s="62">
        <f>(E90*E83)+(F90*F83)+(G90*G83)+(H90*H83)+(I90*I83)+(J90*J83)</f>
        <v>118</v>
      </c>
      <c r="M90" s="57" t="s">
        <v>31</v>
      </c>
      <c r="N90" s="63" t="b">
        <v>0</v>
      </c>
    </row>
    <row r="91" ht="13.5" customHeight="1">
      <c r="A91" s="68"/>
      <c r="B91" s="65" t="s">
        <v>42</v>
      </c>
      <c r="C91" s="53" t="s">
        <v>34</v>
      </c>
      <c r="D91" s="54"/>
      <c r="E91" s="66"/>
      <c r="F91" s="76">
        <v>3.0</v>
      </c>
      <c r="G91" s="76">
        <v>3.0</v>
      </c>
      <c r="H91" s="76">
        <v>3.0</v>
      </c>
      <c r="I91" s="76">
        <v>3.0</v>
      </c>
      <c r="J91" s="76">
        <v>3.0</v>
      </c>
      <c r="K91" s="67" t="s">
        <v>35</v>
      </c>
      <c r="L91" s="62">
        <f>(E91*E83)+(F91*F83)+(G91*G83)+(H91*H83)+(I91*I83)+(J91*J83)</f>
        <v>450</v>
      </c>
      <c r="M91" s="57" t="s">
        <v>36</v>
      </c>
      <c r="N91" s="63" t="b">
        <v>0</v>
      </c>
    </row>
    <row r="92" ht="13.5" customHeight="1">
      <c r="A92" s="46" t="s">
        <v>43</v>
      </c>
      <c r="B92" s="69">
        <f>IFS(L92=0,"",B92&lt;&gt;"",B92,TRUE,NOW())</f>
        <v>46147.56103</v>
      </c>
      <c r="C92" s="70" t="s">
        <v>37</v>
      </c>
      <c r="D92" s="33"/>
      <c r="E92" s="71"/>
      <c r="F92" s="71"/>
      <c r="G92" s="71"/>
      <c r="H92" s="71"/>
      <c r="I92" s="71"/>
      <c r="J92" s="71"/>
      <c r="K92" s="72" t="s">
        <v>38</v>
      </c>
      <c r="L92" s="73">
        <f>L91-L90</f>
        <v>332</v>
      </c>
      <c r="M92" s="74" t="s">
        <v>39</v>
      </c>
      <c r="N92" s="75" t="b">
        <v>0</v>
      </c>
    </row>
    <row r="93" ht="13.5" customHeight="1">
      <c r="A93" s="64"/>
      <c r="B93" s="52" t="s">
        <v>66</v>
      </c>
      <c r="C93" s="53" t="s">
        <v>27</v>
      </c>
      <c r="D93" s="54"/>
      <c r="E93" s="55">
        <f t="shared" ref="E93:J93" si="24">E91-E94</f>
        <v>0</v>
      </c>
      <c r="F93" s="55">
        <f t="shared" si="24"/>
        <v>3</v>
      </c>
      <c r="G93" s="55">
        <f t="shared" si="24"/>
        <v>3</v>
      </c>
      <c r="H93" s="55">
        <f t="shared" si="24"/>
        <v>3</v>
      </c>
      <c r="I93" s="55">
        <f t="shared" si="24"/>
        <v>3</v>
      </c>
      <c r="J93" s="55">
        <f t="shared" si="24"/>
        <v>1</v>
      </c>
      <c r="K93" s="56"/>
      <c r="L93" s="30"/>
      <c r="M93" s="57" t="s">
        <v>28</v>
      </c>
      <c r="N93" s="58" t="b">
        <v>0</v>
      </c>
    </row>
    <row r="94" ht="13.5" customHeight="1">
      <c r="A94" s="46" t="s">
        <v>45</v>
      </c>
      <c r="B94" s="59"/>
      <c r="C94" s="53" t="s">
        <v>30</v>
      </c>
      <c r="D94" s="54"/>
      <c r="E94" s="60"/>
      <c r="F94" s="60"/>
      <c r="G94" s="60"/>
      <c r="H94" s="60"/>
      <c r="I94" s="60"/>
      <c r="J94" s="84">
        <v>2.0</v>
      </c>
      <c r="K94" s="61" t="s">
        <v>30</v>
      </c>
      <c r="L94" s="62">
        <f>(E94*E83)+(F94*F83)+(G94*G83)+(H94*H83)+(I94*I83)+(J94*J83)</f>
        <v>74</v>
      </c>
      <c r="M94" s="57" t="s">
        <v>31</v>
      </c>
      <c r="N94" s="63" t="b">
        <v>0</v>
      </c>
    </row>
    <row r="95" ht="13.5" customHeight="1">
      <c r="A95" s="77"/>
      <c r="B95" s="65" t="s">
        <v>47</v>
      </c>
      <c r="C95" s="53" t="s">
        <v>34</v>
      </c>
      <c r="D95" s="54"/>
      <c r="E95" s="66"/>
      <c r="F95" s="66"/>
      <c r="G95" s="66"/>
      <c r="H95" s="66"/>
      <c r="I95" s="66"/>
      <c r="J95" s="76">
        <v>1.0</v>
      </c>
      <c r="K95" s="67" t="s">
        <v>35</v>
      </c>
      <c r="L95" s="62">
        <f>(E95*E83)+(F95*F83)+(G95*G83)+(H95*H83)+(I95*I83)+(J95*J83)</f>
        <v>37</v>
      </c>
      <c r="M95" s="57" t="s">
        <v>36</v>
      </c>
      <c r="N95" s="63" t="b">
        <v>0</v>
      </c>
    </row>
    <row r="96" ht="13.5" customHeight="1">
      <c r="A96" s="68"/>
      <c r="B96" s="69">
        <f>IFS(L96=0,"",B96&lt;&gt;"",B96,TRUE,NOW())</f>
        <v>46154.72521</v>
      </c>
      <c r="C96" s="70" t="s">
        <v>37</v>
      </c>
      <c r="D96" s="33"/>
      <c r="E96" s="71"/>
      <c r="F96" s="71"/>
      <c r="G96" s="71"/>
      <c r="H96" s="71"/>
      <c r="I96" s="71"/>
      <c r="J96" s="71"/>
      <c r="K96" s="72" t="s">
        <v>38</v>
      </c>
      <c r="L96" s="73">
        <f>L95-L94</f>
        <v>-37</v>
      </c>
      <c r="M96" s="74" t="s">
        <v>39</v>
      </c>
      <c r="N96" s="75" t="b">
        <v>0</v>
      </c>
    </row>
    <row r="97" ht="18.0" customHeight="1">
      <c r="A97" s="78" t="s">
        <v>48</v>
      </c>
      <c r="B97" s="52" t="s">
        <v>66</v>
      </c>
      <c r="C97" s="53" t="s">
        <v>27</v>
      </c>
      <c r="D97" s="54"/>
      <c r="E97" s="55">
        <f t="shared" ref="E97:J97" si="25">E95-E98</f>
        <v>0</v>
      </c>
      <c r="F97" s="55">
        <f t="shared" si="25"/>
        <v>0</v>
      </c>
      <c r="G97" s="55">
        <f t="shared" si="25"/>
        <v>0</v>
      </c>
      <c r="H97" s="55">
        <f t="shared" si="25"/>
        <v>0</v>
      </c>
      <c r="I97" s="55">
        <f t="shared" si="25"/>
        <v>0</v>
      </c>
      <c r="J97" s="55">
        <f t="shared" si="25"/>
        <v>1</v>
      </c>
      <c r="K97" s="56"/>
      <c r="L97" s="30"/>
      <c r="M97" s="57" t="s">
        <v>28</v>
      </c>
      <c r="N97" s="58" t="b">
        <v>0</v>
      </c>
    </row>
    <row r="98" ht="13.5" customHeight="1">
      <c r="A98" s="87"/>
      <c r="B98" s="59"/>
      <c r="C98" s="53" t="s">
        <v>30</v>
      </c>
      <c r="D98" s="54"/>
      <c r="E98" s="60"/>
      <c r="F98" s="60"/>
      <c r="G98" s="60"/>
      <c r="H98" s="60"/>
      <c r="I98" s="60"/>
      <c r="J98" s="60"/>
      <c r="K98" s="61" t="s">
        <v>30</v>
      </c>
      <c r="L98" s="62">
        <f>(E98*E83)+(F98*F83)+(G98*G83)+(H98*H83)+(I98*I83)+(J98*J83)</f>
        <v>0</v>
      </c>
      <c r="M98" s="57" t="s">
        <v>31</v>
      </c>
      <c r="N98" s="63" t="b">
        <v>0</v>
      </c>
    </row>
    <row r="99" ht="13.5" customHeight="1">
      <c r="A99" s="68"/>
      <c r="B99" s="65" t="s">
        <v>49</v>
      </c>
      <c r="C99" s="53" t="s">
        <v>34</v>
      </c>
      <c r="D99" s="54"/>
      <c r="E99" s="66"/>
      <c r="F99" s="66"/>
      <c r="G99" s="66"/>
      <c r="H99" s="66"/>
      <c r="I99" s="66"/>
      <c r="J99" s="66"/>
      <c r="K99" s="67" t="s">
        <v>35</v>
      </c>
      <c r="L99" s="62">
        <f>(E99*E83)+(F99*F83)+(G99*G83)+(H99*H83)+(I99*I83)+(J99*J83)</f>
        <v>0</v>
      </c>
      <c r="M99" s="57" t="s">
        <v>36</v>
      </c>
      <c r="N99" s="63" t="b">
        <v>0</v>
      </c>
    </row>
    <row r="100" ht="13.5" customHeight="1">
      <c r="A100" s="80"/>
      <c r="B100" s="69" t="str">
        <f>IFS(L100=0,"",B100&lt;&gt;"",B100,VERDADERO,AHORA()),</f>
        <v>#ERROR!</v>
      </c>
      <c r="C100" s="86" t="s">
        <v>37</v>
      </c>
      <c r="D100" s="59"/>
      <c r="E100" s="81"/>
      <c r="F100" s="81"/>
      <c r="G100" s="81"/>
      <c r="H100" s="82"/>
      <c r="I100" s="81"/>
      <c r="J100" s="81"/>
      <c r="K100" s="72" t="s">
        <v>38</v>
      </c>
      <c r="L100" s="73">
        <f>L99-L98</f>
        <v>0</v>
      </c>
      <c r="M100" s="74" t="s">
        <v>39</v>
      </c>
      <c r="N100" s="75" t="b">
        <v>0</v>
      </c>
    </row>
    <row r="101" ht="13.5" customHeight="1">
      <c r="A101" s="83" t="s">
        <v>68</v>
      </c>
      <c r="B101" s="42" t="s">
        <v>20</v>
      </c>
      <c r="C101" s="24"/>
      <c r="D101" s="33"/>
      <c r="E101" s="43">
        <f t="shared" ref="E101:J101" si="26">E6</f>
        <v>17</v>
      </c>
      <c r="F101" s="43">
        <f t="shared" si="26"/>
        <v>27</v>
      </c>
      <c r="G101" s="43">
        <f t="shared" si="26"/>
        <v>27</v>
      </c>
      <c r="H101" s="43">
        <f t="shared" si="26"/>
        <v>27</v>
      </c>
      <c r="I101" s="43">
        <f t="shared" si="26"/>
        <v>32</v>
      </c>
      <c r="J101" s="44">
        <f t="shared" si="26"/>
        <v>37</v>
      </c>
      <c r="K101" s="42" t="s">
        <v>21</v>
      </c>
      <c r="L101" s="25"/>
      <c r="M101" s="45" t="s">
        <v>22</v>
      </c>
      <c r="N101" s="25"/>
    </row>
    <row r="102" ht="19.5" customHeight="1">
      <c r="A102" s="46" t="s">
        <v>23</v>
      </c>
      <c r="B102" s="47" t="s">
        <v>24</v>
      </c>
      <c r="C102" s="32" t="s">
        <v>25</v>
      </c>
      <c r="D102" s="33"/>
      <c r="E102" s="48"/>
      <c r="F102" s="48"/>
      <c r="G102" s="48"/>
      <c r="H102" s="48"/>
      <c r="I102" s="48"/>
      <c r="J102" s="48"/>
      <c r="K102" s="49"/>
      <c r="L102" s="25"/>
      <c r="M102" s="50"/>
      <c r="N102" s="10"/>
    </row>
    <row r="103" ht="13.5" customHeight="1">
      <c r="A103" s="51">
        <v>6.0</v>
      </c>
      <c r="B103" s="52" t="s">
        <v>69</v>
      </c>
      <c r="C103" s="53" t="s">
        <v>27</v>
      </c>
      <c r="D103" s="54"/>
      <c r="E103" s="55">
        <f t="shared" ref="E103:J103" si="27">E102-E104</f>
        <v>0</v>
      </c>
      <c r="F103" s="55">
        <f t="shared" si="27"/>
        <v>-5</v>
      </c>
      <c r="G103" s="55">
        <f t="shared" si="27"/>
        <v>0</v>
      </c>
      <c r="H103" s="55">
        <f t="shared" si="27"/>
        <v>0</v>
      </c>
      <c r="I103" s="55">
        <f t="shared" si="27"/>
        <v>0</v>
      </c>
      <c r="J103" s="55">
        <f t="shared" si="27"/>
        <v>0</v>
      </c>
      <c r="K103" s="56"/>
      <c r="L103" s="30"/>
      <c r="M103" s="57" t="s">
        <v>28</v>
      </c>
      <c r="N103" s="58" t="b">
        <v>0</v>
      </c>
    </row>
    <row r="104" ht="13.5" customHeight="1">
      <c r="A104" s="46" t="s">
        <v>29</v>
      </c>
      <c r="B104" s="59"/>
      <c r="C104" s="53" t="s">
        <v>30</v>
      </c>
      <c r="D104" s="54"/>
      <c r="E104" s="60"/>
      <c r="F104" s="84">
        <v>5.0</v>
      </c>
      <c r="G104" s="60"/>
      <c r="H104" s="60"/>
      <c r="I104" s="60"/>
      <c r="J104" s="60"/>
      <c r="K104" s="61" t="s">
        <v>30</v>
      </c>
      <c r="L104" s="62">
        <f>(E104*E101)+(F104*F101)+(G104*G101)+(H104*H101)+(I104*I101)+(J104*J101)</f>
        <v>135</v>
      </c>
      <c r="M104" s="57" t="s">
        <v>31</v>
      </c>
      <c r="N104" s="63" t="b">
        <v>0</v>
      </c>
    </row>
    <row r="105" ht="13.5" customHeight="1">
      <c r="A105" s="64" t="s">
        <v>160</v>
      </c>
      <c r="B105" s="65" t="s">
        <v>33</v>
      </c>
      <c r="C105" s="53" t="s">
        <v>34</v>
      </c>
      <c r="D105" s="54"/>
      <c r="E105" s="66"/>
      <c r="F105" s="76">
        <v>7.0</v>
      </c>
      <c r="G105" s="76">
        <v>6.0</v>
      </c>
      <c r="H105" s="76">
        <v>3.0</v>
      </c>
      <c r="I105" s="76">
        <v>3.0</v>
      </c>
      <c r="J105" s="76">
        <v>7.0</v>
      </c>
      <c r="K105" s="67" t="s">
        <v>35</v>
      </c>
      <c r="L105" s="62">
        <f>(E105*E101)+(F105*F101)+(G105*G101)+(H105*H101)+(I105*I101)+(J105*J101)</f>
        <v>787</v>
      </c>
      <c r="M105" s="57" t="s">
        <v>36</v>
      </c>
      <c r="N105" s="63" t="b">
        <v>0</v>
      </c>
    </row>
    <row r="106" ht="13.5" customHeight="1">
      <c r="A106" s="68"/>
      <c r="B106" s="69">
        <f>IFS(L106=0,"",B106&lt;&gt;"",B106,TRUE,NOW())</f>
        <v>46140.58065</v>
      </c>
      <c r="C106" s="70" t="s">
        <v>37</v>
      </c>
      <c r="D106" s="33"/>
      <c r="E106" s="71"/>
      <c r="F106" s="71"/>
      <c r="G106" s="71"/>
      <c r="H106" s="71"/>
      <c r="I106" s="71"/>
      <c r="J106" s="71"/>
      <c r="K106" s="72" t="s">
        <v>38</v>
      </c>
      <c r="L106" s="73">
        <f>L105-L104</f>
        <v>652</v>
      </c>
      <c r="M106" s="74" t="s">
        <v>39</v>
      </c>
      <c r="N106" s="75" t="b">
        <v>0</v>
      </c>
    </row>
    <row r="107" ht="18.75" customHeight="1">
      <c r="A107" s="46" t="s">
        <v>40</v>
      </c>
      <c r="B107" s="52" t="s">
        <v>69</v>
      </c>
      <c r="C107" s="53" t="s">
        <v>27</v>
      </c>
      <c r="D107" s="54"/>
      <c r="E107" s="55">
        <f t="shared" ref="E107:J107" si="28">E105-E108</f>
        <v>0</v>
      </c>
      <c r="F107" s="55">
        <f t="shared" si="28"/>
        <v>6</v>
      </c>
      <c r="G107" s="55">
        <f t="shared" si="28"/>
        <v>4</v>
      </c>
      <c r="H107" s="55">
        <f t="shared" si="28"/>
        <v>1</v>
      </c>
      <c r="I107" s="55">
        <f t="shared" si="28"/>
        <v>3</v>
      </c>
      <c r="J107" s="55">
        <f t="shared" si="28"/>
        <v>7</v>
      </c>
      <c r="K107" s="56"/>
      <c r="L107" s="30"/>
      <c r="M107" s="57" t="s">
        <v>28</v>
      </c>
      <c r="N107" s="58" t="b">
        <v>0</v>
      </c>
    </row>
    <row r="108" ht="13.5" customHeight="1">
      <c r="A108" s="64"/>
      <c r="B108" s="59"/>
      <c r="C108" s="53" t="s">
        <v>30</v>
      </c>
      <c r="D108" s="54"/>
      <c r="E108" s="60"/>
      <c r="F108" s="84">
        <v>1.0</v>
      </c>
      <c r="G108" s="84">
        <v>2.0</v>
      </c>
      <c r="H108" s="84">
        <v>2.0</v>
      </c>
      <c r="I108" s="60"/>
      <c r="J108" s="84"/>
      <c r="K108" s="61" t="s">
        <v>30</v>
      </c>
      <c r="L108" s="62">
        <f>(E108*E101)+(F108*F101)+(G108*G101)+(H108*H101)+(I108*I101)+(J108*J101)</f>
        <v>135</v>
      </c>
      <c r="M108" s="57" t="s">
        <v>31</v>
      </c>
      <c r="N108" s="63" t="b">
        <v>0</v>
      </c>
    </row>
    <row r="109" ht="13.5" customHeight="1">
      <c r="A109" s="68"/>
      <c r="B109" s="65" t="s">
        <v>42</v>
      </c>
      <c r="C109" s="53" t="s">
        <v>34</v>
      </c>
      <c r="D109" s="54"/>
      <c r="E109" s="66"/>
      <c r="F109" s="76">
        <v>6.0</v>
      </c>
      <c r="G109" s="76">
        <v>6.0</v>
      </c>
      <c r="H109" s="76">
        <v>3.0</v>
      </c>
      <c r="I109" s="76">
        <v>3.0</v>
      </c>
      <c r="J109" s="76">
        <v>6.0</v>
      </c>
      <c r="K109" s="67" t="s">
        <v>35</v>
      </c>
      <c r="L109" s="62">
        <f>(E109*E101)+(F109*F101)+(G109*G101)+(H109*H101)+(I109*I101)+(J109*J101)</f>
        <v>723</v>
      </c>
      <c r="M109" s="57" t="s">
        <v>36</v>
      </c>
      <c r="N109" s="63" t="b">
        <v>0</v>
      </c>
    </row>
    <row r="110" ht="13.5" customHeight="1">
      <c r="A110" s="46" t="s">
        <v>43</v>
      </c>
      <c r="B110" s="69">
        <f>IFS(L110=0,"",B110&lt;&gt;"",B110,TRUE,NOW())</f>
        <v>46147.59282</v>
      </c>
      <c r="C110" s="70" t="s">
        <v>37</v>
      </c>
      <c r="D110" s="33"/>
      <c r="E110" s="71"/>
      <c r="F110" s="71"/>
      <c r="G110" s="71"/>
      <c r="H110" s="71"/>
      <c r="I110" s="71"/>
      <c r="J110" s="71"/>
      <c r="K110" s="72" t="s">
        <v>38</v>
      </c>
      <c r="L110" s="73">
        <f>L109-L108</f>
        <v>588</v>
      </c>
      <c r="M110" s="74" t="s">
        <v>39</v>
      </c>
      <c r="N110" s="75" t="b">
        <v>0</v>
      </c>
    </row>
    <row r="111" ht="13.5" customHeight="1">
      <c r="A111" s="64"/>
      <c r="B111" s="52" t="s">
        <v>69</v>
      </c>
      <c r="C111" s="53" t="s">
        <v>27</v>
      </c>
      <c r="D111" s="54"/>
      <c r="E111" s="55">
        <f t="shared" ref="E111:J111" si="29">E109-E112</f>
        <v>0</v>
      </c>
      <c r="F111" s="55">
        <f t="shared" si="29"/>
        <v>4</v>
      </c>
      <c r="G111" s="55">
        <f t="shared" si="29"/>
        <v>4</v>
      </c>
      <c r="H111" s="55">
        <f t="shared" si="29"/>
        <v>2</v>
      </c>
      <c r="I111" s="55">
        <f t="shared" si="29"/>
        <v>1</v>
      </c>
      <c r="J111" s="55">
        <f t="shared" si="29"/>
        <v>5</v>
      </c>
      <c r="K111" s="56"/>
      <c r="L111" s="30"/>
      <c r="M111" s="57" t="s">
        <v>28</v>
      </c>
      <c r="N111" s="58" t="b">
        <v>0</v>
      </c>
    </row>
    <row r="112" ht="15.0" customHeight="1">
      <c r="A112" s="46" t="s">
        <v>45</v>
      </c>
      <c r="B112" s="59"/>
      <c r="C112" s="53" t="s">
        <v>30</v>
      </c>
      <c r="D112" s="54"/>
      <c r="E112" s="60"/>
      <c r="F112" s="84">
        <v>2.0</v>
      </c>
      <c r="G112" s="84">
        <v>2.0</v>
      </c>
      <c r="H112" s="84">
        <v>1.0</v>
      </c>
      <c r="I112" s="84">
        <v>2.0</v>
      </c>
      <c r="J112" s="84">
        <v>1.0</v>
      </c>
      <c r="K112" s="61" t="s">
        <v>30</v>
      </c>
      <c r="L112" s="62">
        <f>(E112*E101)+(F112*F101)+(G112*G101)+(H112*H101)+(I112*I101)+(J112*J101)</f>
        <v>236</v>
      </c>
      <c r="M112" s="57" t="s">
        <v>31</v>
      </c>
      <c r="N112" s="63" t="b">
        <v>0</v>
      </c>
    </row>
    <row r="113" ht="13.5" customHeight="1">
      <c r="A113" s="77"/>
      <c r="B113" s="65" t="s">
        <v>47</v>
      </c>
      <c r="C113" s="53" t="s">
        <v>34</v>
      </c>
      <c r="D113" s="54"/>
      <c r="E113" s="66"/>
      <c r="F113" s="76">
        <v>6.0</v>
      </c>
      <c r="G113" s="76">
        <v>6.0</v>
      </c>
      <c r="H113" s="76">
        <v>3.0</v>
      </c>
      <c r="I113" s="76">
        <v>3.0</v>
      </c>
      <c r="J113" s="76">
        <v>6.0</v>
      </c>
      <c r="K113" s="67" t="s">
        <v>35</v>
      </c>
      <c r="L113" s="62">
        <f>(E113*E101)+(F113*F101)+(G113*G101)+(H113*H101)+(I113*I101)+(J113*J101)</f>
        <v>723</v>
      </c>
      <c r="M113" s="57" t="s">
        <v>36</v>
      </c>
      <c r="N113" s="63" t="b">
        <v>0</v>
      </c>
    </row>
    <row r="114" ht="13.5" customHeight="1">
      <c r="A114" s="68"/>
      <c r="B114" s="69">
        <f>IFS(L114=0,"",B114&lt;&gt;"",B114,TRUE,NOW())</f>
        <v>46154.51317</v>
      </c>
      <c r="C114" s="70" t="s">
        <v>37</v>
      </c>
      <c r="D114" s="33"/>
      <c r="E114" s="71"/>
      <c r="F114" s="71"/>
      <c r="G114" s="71"/>
      <c r="H114" s="71"/>
      <c r="I114" s="71"/>
      <c r="J114" s="71"/>
      <c r="K114" s="72" t="s">
        <v>38</v>
      </c>
      <c r="L114" s="73">
        <f>L113-L112</f>
        <v>487</v>
      </c>
      <c r="M114" s="74" t="s">
        <v>39</v>
      </c>
      <c r="N114" s="75" t="b">
        <v>0</v>
      </c>
    </row>
    <row r="115" ht="13.5" customHeight="1">
      <c r="A115" s="78" t="s">
        <v>48</v>
      </c>
      <c r="B115" s="52" t="s">
        <v>69</v>
      </c>
      <c r="C115" s="53" t="s">
        <v>27</v>
      </c>
      <c r="D115" s="54"/>
      <c r="E115" s="55">
        <f t="shared" ref="E115:J115" si="30">E113-E116</f>
        <v>0</v>
      </c>
      <c r="F115" s="55">
        <f t="shared" si="30"/>
        <v>6</v>
      </c>
      <c r="G115" s="55">
        <f t="shared" si="30"/>
        <v>6</v>
      </c>
      <c r="H115" s="55">
        <f t="shared" si="30"/>
        <v>3</v>
      </c>
      <c r="I115" s="55">
        <f t="shared" si="30"/>
        <v>3</v>
      </c>
      <c r="J115" s="55">
        <f t="shared" si="30"/>
        <v>6</v>
      </c>
      <c r="K115" s="56"/>
      <c r="L115" s="30"/>
      <c r="M115" s="57" t="s">
        <v>28</v>
      </c>
      <c r="N115" s="58" t="b">
        <v>0</v>
      </c>
    </row>
    <row r="116" ht="13.5" customHeight="1">
      <c r="A116" s="87"/>
      <c r="B116" s="59"/>
      <c r="C116" s="53" t="s">
        <v>30</v>
      </c>
      <c r="D116" s="54"/>
      <c r="E116" s="60"/>
      <c r="F116" s="60"/>
      <c r="G116" s="60"/>
      <c r="H116" s="60"/>
      <c r="I116" s="60"/>
      <c r="J116" s="60"/>
      <c r="K116" s="61" t="s">
        <v>30</v>
      </c>
      <c r="L116" s="62">
        <f>(E116*E101)+(F116*F101)+(G116*G101)+(H116*H101)+(I116*I101)+(J116*J101)</f>
        <v>0</v>
      </c>
      <c r="M116" s="57" t="s">
        <v>31</v>
      </c>
      <c r="N116" s="63" t="b">
        <v>0</v>
      </c>
    </row>
    <row r="117" ht="13.5" customHeight="1">
      <c r="A117" s="68"/>
      <c r="B117" s="65" t="s">
        <v>49</v>
      </c>
      <c r="C117" s="53" t="s">
        <v>34</v>
      </c>
      <c r="D117" s="54"/>
      <c r="E117" s="66"/>
      <c r="F117" s="66"/>
      <c r="G117" s="66"/>
      <c r="H117" s="66"/>
      <c r="I117" s="66"/>
      <c r="J117" s="66"/>
      <c r="K117" s="67" t="s">
        <v>35</v>
      </c>
      <c r="L117" s="62">
        <f>(E117*E101)+(F117*F101)+(G117*G101)+(H117*H101)+(I117*I101)+(J117*J101)</f>
        <v>0</v>
      </c>
      <c r="M117" s="57" t="s">
        <v>36</v>
      </c>
      <c r="N117" s="63" t="b">
        <v>0</v>
      </c>
    </row>
    <row r="118" ht="13.5" customHeight="1">
      <c r="A118" s="80"/>
      <c r="B118" s="69" t="str">
        <f>IFS(L118=0,"",B118&lt;&gt;"",B118,TRUE,NOW())</f>
        <v/>
      </c>
      <c r="C118" s="53" t="s">
        <v>37</v>
      </c>
      <c r="D118" s="54"/>
      <c r="E118" s="81"/>
      <c r="F118" s="81"/>
      <c r="G118" s="81"/>
      <c r="H118" s="82"/>
      <c r="I118" s="81"/>
      <c r="J118" s="81"/>
      <c r="K118" s="72" t="s">
        <v>38</v>
      </c>
      <c r="L118" s="73">
        <f>L117-L116</f>
        <v>0</v>
      </c>
      <c r="M118" s="74" t="s">
        <v>39</v>
      </c>
      <c r="N118" s="75" t="b">
        <v>0</v>
      </c>
    </row>
    <row r="119" ht="15.0" customHeight="1">
      <c r="A119" s="83" t="s">
        <v>71</v>
      </c>
      <c r="B119" s="42" t="s">
        <v>20</v>
      </c>
      <c r="C119" s="24"/>
      <c r="D119" s="33"/>
      <c r="E119" s="43">
        <f t="shared" ref="E119:J119" si="31">E6</f>
        <v>17</v>
      </c>
      <c r="F119" s="43">
        <f t="shared" si="31"/>
        <v>27</v>
      </c>
      <c r="G119" s="43">
        <f t="shared" si="31"/>
        <v>27</v>
      </c>
      <c r="H119" s="43">
        <f t="shared" si="31"/>
        <v>27</v>
      </c>
      <c r="I119" s="43">
        <f t="shared" si="31"/>
        <v>32</v>
      </c>
      <c r="J119" s="44">
        <f t="shared" si="31"/>
        <v>37</v>
      </c>
      <c r="K119" s="42" t="s">
        <v>21</v>
      </c>
      <c r="L119" s="25"/>
      <c r="M119" s="45" t="s">
        <v>22</v>
      </c>
      <c r="N119" s="25"/>
    </row>
    <row r="120" ht="13.5" customHeight="1">
      <c r="A120" s="46" t="s">
        <v>23</v>
      </c>
      <c r="B120" s="47" t="s">
        <v>24</v>
      </c>
      <c r="C120" s="32" t="s">
        <v>25</v>
      </c>
      <c r="D120" s="33"/>
      <c r="E120" s="48"/>
      <c r="F120" s="48"/>
      <c r="G120" s="48"/>
      <c r="H120" s="48"/>
      <c r="I120" s="48"/>
      <c r="J120" s="48"/>
      <c r="K120" s="49"/>
      <c r="L120" s="25"/>
      <c r="M120" s="50"/>
      <c r="N120" s="10"/>
    </row>
    <row r="121" ht="13.5" customHeight="1">
      <c r="A121" s="51">
        <v>7.0</v>
      </c>
      <c r="B121" s="52" t="s">
        <v>72</v>
      </c>
      <c r="C121" s="53" t="s">
        <v>27</v>
      </c>
      <c r="D121" s="54"/>
      <c r="E121" s="55">
        <f t="shared" ref="E121:J121" si="32">E120-E122</f>
        <v>0</v>
      </c>
      <c r="F121" s="55">
        <f t="shared" si="32"/>
        <v>-2</v>
      </c>
      <c r="G121" s="55">
        <f t="shared" si="32"/>
        <v>0</v>
      </c>
      <c r="H121" s="55">
        <f t="shared" si="32"/>
        <v>0</v>
      </c>
      <c r="I121" s="55">
        <f t="shared" si="32"/>
        <v>0</v>
      </c>
      <c r="J121" s="55">
        <f t="shared" si="32"/>
        <v>0</v>
      </c>
      <c r="K121" s="56"/>
      <c r="L121" s="30"/>
      <c r="M121" s="57" t="s">
        <v>28</v>
      </c>
      <c r="N121" s="58" t="b">
        <v>0</v>
      </c>
    </row>
    <row r="122" ht="13.5" customHeight="1">
      <c r="A122" s="46" t="s">
        <v>29</v>
      </c>
      <c r="B122" s="59"/>
      <c r="C122" s="53" t="s">
        <v>30</v>
      </c>
      <c r="D122" s="54"/>
      <c r="E122" s="60"/>
      <c r="F122" s="84">
        <v>2.0</v>
      </c>
      <c r="G122" s="60"/>
      <c r="H122" s="60"/>
      <c r="I122" s="60"/>
      <c r="J122" s="60"/>
      <c r="K122" s="61" t="s">
        <v>30</v>
      </c>
      <c r="L122" s="62">
        <f>(E122*E119)+(F122*F119)+(G122*G119)+(H122*H119)+(I122*I119)+(J122*J119)</f>
        <v>54</v>
      </c>
      <c r="M122" s="57" t="s">
        <v>31</v>
      </c>
      <c r="N122" s="63" t="b">
        <v>0</v>
      </c>
    </row>
    <row r="123" ht="13.5" customHeight="1">
      <c r="A123" s="64" t="s">
        <v>160</v>
      </c>
      <c r="B123" s="65" t="s">
        <v>33</v>
      </c>
      <c r="C123" s="53" t="s">
        <v>34</v>
      </c>
      <c r="D123" s="54"/>
      <c r="E123" s="66"/>
      <c r="F123" s="76">
        <v>3.0</v>
      </c>
      <c r="G123" s="66"/>
      <c r="H123" s="66"/>
      <c r="I123" s="76">
        <v>2.0</v>
      </c>
      <c r="J123" s="76">
        <v>3.0</v>
      </c>
      <c r="K123" s="67" t="s">
        <v>35</v>
      </c>
      <c r="L123" s="62">
        <f>(E123*E119)+(F123*F119)+(G123*G119)+(H123*H119)+(I123*I119)+(J123*J119)</f>
        <v>256</v>
      </c>
      <c r="M123" s="57" t="s">
        <v>36</v>
      </c>
      <c r="N123" s="63" t="b">
        <v>0</v>
      </c>
    </row>
    <row r="124" ht="15.0" customHeight="1">
      <c r="A124" s="68"/>
      <c r="B124" s="69">
        <f>IFS(L124=0,"",B124&lt;&gt;"",B124,TRUE,NOW())</f>
        <v>46140.59338</v>
      </c>
      <c r="C124" s="70" t="s">
        <v>37</v>
      </c>
      <c r="D124" s="33"/>
      <c r="E124" s="71"/>
      <c r="F124" s="71"/>
      <c r="G124" s="71"/>
      <c r="H124" s="71"/>
      <c r="I124" s="71"/>
      <c r="J124" s="71"/>
      <c r="K124" s="72" t="s">
        <v>38</v>
      </c>
      <c r="L124" s="73">
        <f>L123-L122</f>
        <v>202</v>
      </c>
      <c r="M124" s="74" t="s">
        <v>39</v>
      </c>
      <c r="N124" s="75" t="b">
        <v>0</v>
      </c>
    </row>
    <row r="125" ht="13.5" customHeight="1">
      <c r="A125" s="46" t="s">
        <v>40</v>
      </c>
      <c r="B125" s="52" t="s">
        <v>72</v>
      </c>
      <c r="C125" s="53" t="s">
        <v>27</v>
      </c>
      <c r="D125" s="54"/>
      <c r="E125" s="55">
        <f t="shared" ref="E125:J125" si="33">E123-E126</f>
        <v>0</v>
      </c>
      <c r="F125" s="55">
        <f t="shared" si="33"/>
        <v>1</v>
      </c>
      <c r="G125" s="55">
        <f t="shared" si="33"/>
        <v>0</v>
      </c>
      <c r="H125" s="55">
        <f t="shared" si="33"/>
        <v>0</v>
      </c>
      <c r="I125" s="55">
        <f t="shared" si="33"/>
        <v>0</v>
      </c>
      <c r="J125" s="55">
        <f t="shared" si="33"/>
        <v>0</v>
      </c>
      <c r="K125" s="56"/>
      <c r="L125" s="30"/>
      <c r="M125" s="57" t="s">
        <v>28</v>
      </c>
      <c r="N125" s="58" t="b">
        <v>0</v>
      </c>
    </row>
    <row r="126" ht="13.5" customHeight="1">
      <c r="A126" s="64"/>
      <c r="B126" s="59"/>
      <c r="C126" s="53" t="s">
        <v>30</v>
      </c>
      <c r="D126" s="54"/>
      <c r="E126" s="60"/>
      <c r="F126" s="84">
        <v>2.0</v>
      </c>
      <c r="G126" s="84"/>
      <c r="H126" s="60"/>
      <c r="I126" s="84">
        <v>2.0</v>
      </c>
      <c r="J126" s="84">
        <v>3.0</v>
      </c>
      <c r="K126" s="61" t="s">
        <v>30</v>
      </c>
      <c r="L126" s="62">
        <f>(E126*E119)+(F126*F119)+(G126*G119)+(H126*H119)+(I126*I119)+(J126*J119)</f>
        <v>229</v>
      </c>
      <c r="M126" s="57" t="s">
        <v>31</v>
      </c>
      <c r="N126" s="63" t="b">
        <v>0</v>
      </c>
    </row>
    <row r="127" ht="13.5" customHeight="1">
      <c r="A127" s="68"/>
      <c r="B127" s="65" t="s">
        <v>42</v>
      </c>
      <c r="C127" s="53" t="s">
        <v>34</v>
      </c>
      <c r="D127" s="54"/>
      <c r="E127" s="66"/>
      <c r="F127" s="76">
        <v>2.0</v>
      </c>
      <c r="G127" s="76"/>
      <c r="H127" s="66"/>
      <c r="I127" s="76">
        <v>2.0</v>
      </c>
      <c r="J127" s="76">
        <v>3.0</v>
      </c>
      <c r="K127" s="67" t="s">
        <v>35</v>
      </c>
      <c r="L127" s="62">
        <f>(E127*E119)+(F127*F119)+(G127*G119)+(H127*H119)+(I127*I119)+(J127*J119)</f>
        <v>229</v>
      </c>
      <c r="M127" s="57" t="s">
        <v>36</v>
      </c>
      <c r="N127" s="63" t="b">
        <v>0</v>
      </c>
    </row>
    <row r="128" ht="13.5" customHeight="1">
      <c r="A128" s="46" t="s">
        <v>43</v>
      </c>
      <c r="B128" s="69" t="str">
        <f>IFS(L128=0,"",B128&lt;&gt;"",B128,TRUE,NOW())</f>
        <v/>
      </c>
      <c r="C128" s="70" t="s">
        <v>37</v>
      </c>
      <c r="D128" s="33"/>
      <c r="E128" s="71"/>
      <c r="F128" s="71"/>
      <c r="G128" s="71"/>
      <c r="H128" s="71"/>
      <c r="I128" s="71"/>
      <c r="J128" s="71"/>
      <c r="K128" s="72" t="s">
        <v>38</v>
      </c>
      <c r="L128" s="73">
        <f>L127-L126</f>
        <v>0</v>
      </c>
      <c r="M128" s="74" t="s">
        <v>39</v>
      </c>
      <c r="N128" s="75" t="b">
        <v>0</v>
      </c>
    </row>
    <row r="129" ht="18.0" customHeight="1">
      <c r="A129" s="64"/>
      <c r="B129" s="52" t="s">
        <v>72</v>
      </c>
      <c r="C129" s="53" t="s">
        <v>27</v>
      </c>
      <c r="D129" s="54"/>
      <c r="E129" s="55">
        <f t="shared" ref="E129:J129" si="34">E127-E130</f>
        <v>0</v>
      </c>
      <c r="F129" s="55">
        <f t="shared" si="34"/>
        <v>2</v>
      </c>
      <c r="G129" s="55">
        <f t="shared" si="34"/>
        <v>0</v>
      </c>
      <c r="H129" s="55">
        <f t="shared" si="34"/>
        <v>0</v>
      </c>
      <c r="I129" s="55">
        <f t="shared" si="34"/>
        <v>2</v>
      </c>
      <c r="J129" s="55">
        <f t="shared" si="34"/>
        <v>2</v>
      </c>
      <c r="K129" s="56"/>
      <c r="L129" s="30"/>
      <c r="M129" s="57" t="s">
        <v>28</v>
      </c>
      <c r="N129" s="58" t="b">
        <v>0</v>
      </c>
    </row>
    <row r="130" ht="13.5" customHeight="1">
      <c r="A130" s="46" t="s">
        <v>45</v>
      </c>
      <c r="B130" s="59"/>
      <c r="C130" s="53" t="s">
        <v>30</v>
      </c>
      <c r="D130" s="54"/>
      <c r="E130" s="60"/>
      <c r="F130" s="60"/>
      <c r="G130" s="60"/>
      <c r="H130" s="60"/>
      <c r="I130" s="60"/>
      <c r="J130" s="84">
        <v>1.0</v>
      </c>
      <c r="K130" s="61" t="s">
        <v>30</v>
      </c>
      <c r="L130" s="62">
        <f>(E130*E119)+(F130*F119)+(G130*G119)+(H130*H119)+(I130*I119)+(J130*J119)</f>
        <v>37</v>
      </c>
      <c r="M130" s="57" t="s">
        <v>31</v>
      </c>
      <c r="N130" s="63" t="b">
        <v>0</v>
      </c>
    </row>
    <row r="131" ht="13.5" customHeight="1">
      <c r="A131" s="77"/>
      <c r="B131" s="65" t="s">
        <v>47</v>
      </c>
      <c r="C131" s="53" t="s">
        <v>34</v>
      </c>
      <c r="D131" s="54"/>
      <c r="E131" s="66"/>
      <c r="F131" s="76">
        <v>3.0</v>
      </c>
      <c r="G131" s="66"/>
      <c r="H131" s="66"/>
      <c r="I131" s="76">
        <v>2.0</v>
      </c>
      <c r="J131" s="76">
        <v>3.0</v>
      </c>
      <c r="K131" s="67" t="s">
        <v>35</v>
      </c>
      <c r="L131" s="62">
        <f>(E131*E119)+(F131*F119)+(G131*G119)+(H131*H119)+(I131*I119)+(J131*J119)</f>
        <v>256</v>
      </c>
      <c r="M131" s="57" t="s">
        <v>36</v>
      </c>
      <c r="N131" s="63" t="b">
        <v>0</v>
      </c>
    </row>
    <row r="132" ht="13.5" customHeight="1">
      <c r="A132" s="68"/>
      <c r="B132" s="69">
        <f>IFS(L132=0,"",B132&lt;&gt;"",B132,TRUE,NOW())</f>
        <v>46154.5264</v>
      </c>
      <c r="C132" s="70" t="s">
        <v>37</v>
      </c>
      <c r="D132" s="33"/>
      <c r="E132" s="71"/>
      <c r="F132" s="71"/>
      <c r="G132" s="71"/>
      <c r="H132" s="71"/>
      <c r="I132" s="71"/>
      <c r="J132" s="71"/>
      <c r="K132" s="72" t="s">
        <v>38</v>
      </c>
      <c r="L132" s="73">
        <f>L131-L130</f>
        <v>219</v>
      </c>
      <c r="M132" s="74" t="s">
        <v>39</v>
      </c>
      <c r="N132" s="75" t="b">
        <v>0</v>
      </c>
    </row>
    <row r="133" ht="13.5" customHeight="1">
      <c r="A133" s="78" t="s">
        <v>48</v>
      </c>
      <c r="B133" s="52" t="s">
        <v>72</v>
      </c>
      <c r="C133" s="53" t="s">
        <v>27</v>
      </c>
      <c r="D133" s="54"/>
      <c r="E133" s="55">
        <f t="shared" ref="E133:J133" si="35">E131-E134</f>
        <v>0</v>
      </c>
      <c r="F133" s="55">
        <f t="shared" si="35"/>
        <v>3</v>
      </c>
      <c r="G133" s="55">
        <f t="shared" si="35"/>
        <v>0</v>
      </c>
      <c r="H133" s="55">
        <f t="shared" si="35"/>
        <v>0</v>
      </c>
      <c r="I133" s="55">
        <f t="shared" si="35"/>
        <v>2</v>
      </c>
      <c r="J133" s="55">
        <f t="shared" si="35"/>
        <v>3</v>
      </c>
      <c r="K133" s="56"/>
      <c r="L133" s="30"/>
      <c r="M133" s="57" t="s">
        <v>28</v>
      </c>
      <c r="N133" s="58" t="b">
        <v>0</v>
      </c>
    </row>
    <row r="134" ht="18.75" customHeight="1">
      <c r="A134" s="87"/>
      <c r="B134" s="59"/>
      <c r="C134" s="53" t="s">
        <v>30</v>
      </c>
      <c r="D134" s="54"/>
      <c r="E134" s="60"/>
      <c r="F134" s="60"/>
      <c r="G134" s="60"/>
      <c r="H134" s="60"/>
      <c r="I134" s="60"/>
      <c r="J134" s="60"/>
      <c r="K134" s="61" t="s">
        <v>30</v>
      </c>
      <c r="L134" s="62">
        <f>(E134*E119)+(F134*F119)+(G134*G119)+(H134*H119)+(I134*I119)+(J134*J119)</f>
        <v>0</v>
      </c>
      <c r="M134" s="57" t="s">
        <v>31</v>
      </c>
      <c r="N134" s="63" t="b">
        <v>0</v>
      </c>
    </row>
    <row r="135" ht="13.5" customHeight="1">
      <c r="A135" s="68"/>
      <c r="B135" s="65" t="s">
        <v>49</v>
      </c>
      <c r="C135" s="53" t="s">
        <v>34</v>
      </c>
      <c r="D135" s="54"/>
      <c r="E135" s="66"/>
      <c r="F135" s="66"/>
      <c r="G135" s="66"/>
      <c r="H135" s="66"/>
      <c r="I135" s="66"/>
      <c r="J135" s="66"/>
      <c r="K135" s="67" t="s">
        <v>35</v>
      </c>
      <c r="L135" s="62">
        <f>(E135*E119)+(F135*F119)+(G135*G119)+(H135*H119)+(I135*I119)+(J135*J119)</f>
        <v>0</v>
      </c>
      <c r="M135" s="57" t="s">
        <v>36</v>
      </c>
      <c r="N135" s="63" t="b">
        <v>0</v>
      </c>
    </row>
    <row r="136" ht="13.5" customHeight="1">
      <c r="A136" s="80"/>
      <c r="B136" s="69" t="str">
        <f>IFS(L136=0,"",B136&lt;&gt;"",B136,TRUE,NOW())</f>
        <v/>
      </c>
      <c r="C136" s="53" t="s">
        <v>37</v>
      </c>
      <c r="D136" s="54"/>
      <c r="E136" s="81"/>
      <c r="F136" s="81"/>
      <c r="G136" s="81"/>
      <c r="H136" s="82"/>
      <c r="I136" s="81"/>
      <c r="J136" s="81"/>
      <c r="K136" s="72" t="s">
        <v>38</v>
      </c>
      <c r="L136" s="73">
        <f>L135-L134</f>
        <v>0</v>
      </c>
      <c r="M136" s="74" t="s">
        <v>39</v>
      </c>
      <c r="N136" s="75" t="b">
        <v>0</v>
      </c>
    </row>
    <row r="137" ht="13.5" customHeight="1">
      <c r="A137" s="83" t="s">
        <v>74</v>
      </c>
      <c r="B137" s="42" t="s">
        <v>20</v>
      </c>
      <c r="C137" s="24"/>
      <c r="D137" s="33"/>
      <c r="E137" s="43">
        <f t="shared" ref="E137:J137" si="36">E6</f>
        <v>17</v>
      </c>
      <c r="F137" s="43">
        <f t="shared" si="36"/>
        <v>27</v>
      </c>
      <c r="G137" s="43">
        <f t="shared" si="36"/>
        <v>27</v>
      </c>
      <c r="H137" s="43">
        <f t="shared" si="36"/>
        <v>27</v>
      </c>
      <c r="I137" s="43">
        <f t="shared" si="36"/>
        <v>32</v>
      </c>
      <c r="J137" s="44">
        <f t="shared" si="36"/>
        <v>37</v>
      </c>
      <c r="K137" s="42" t="s">
        <v>21</v>
      </c>
      <c r="L137" s="25"/>
      <c r="M137" s="45" t="s">
        <v>22</v>
      </c>
      <c r="N137" s="25"/>
    </row>
    <row r="138" ht="13.5" customHeight="1">
      <c r="A138" s="46" t="s">
        <v>23</v>
      </c>
      <c r="B138" s="47" t="s">
        <v>24</v>
      </c>
      <c r="C138" s="32" t="s">
        <v>25</v>
      </c>
      <c r="D138" s="33"/>
      <c r="E138" s="48"/>
      <c r="F138" s="48"/>
      <c r="G138" s="48"/>
      <c r="H138" s="48"/>
      <c r="I138" s="48"/>
      <c r="J138" s="48"/>
      <c r="K138" s="49"/>
      <c r="L138" s="25"/>
      <c r="M138" s="50"/>
      <c r="N138" s="10"/>
    </row>
    <row r="139" ht="13.5" customHeight="1">
      <c r="A139" s="51">
        <v>8.0</v>
      </c>
      <c r="B139" s="52" t="s">
        <v>75</v>
      </c>
      <c r="C139" s="53" t="s">
        <v>27</v>
      </c>
      <c r="D139" s="54"/>
      <c r="E139" s="55">
        <f t="shared" ref="E139:J139" si="37">E138-E140</f>
        <v>0</v>
      </c>
      <c r="F139" s="55">
        <f t="shared" si="37"/>
        <v>0</v>
      </c>
      <c r="G139" s="55">
        <f t="shared" si="37"/>
        <v>0</v>
      </c>
      <c r="H139" s="55">
        <f t="shared" si="37"/>
        <v>0</v>
      </c>
      <c r="I139" s="55">
        <f t="shared" si="37"/>
        <v>0</v>
      </c>
      <c r="J139" s="55">
        <f t="shared" si="37"/>
        <v>0</v>
      </c>
      <c r="K139" s="56"/>
      <c r="L139" s="30"/>
      <c r="M139" s="57" t="s">
        <v>28</v>
      </c>
      <c r="N139" s="58" t="b">
        <v>0</v>
      </c>
    </row>
    <row r="140" ht="13.5" customHeight="1">
      <c r="A140" s="46" t="s">
        <v>29</v>
      </c>
      <c r="B140" s="59"/>
      <c r="C140" s="53" t="s">
        <v>30</v>
      </c>
      <c r="D140" s="54"/>
      <c r="E140" s="60"/>
      <c r="F140" s="60"/>
      <c r="G140" s="60"/>
      <c r="H140" s="60"/>
      <c r="I140" s="60"/>
      <c r="J140" s="60"/>
      <c r="K140" s="61" t="s">
        <v>30</v>
      </c>
      <c r="L140" s="62">
        <f>(E140*E137)+(F140*F137)+(G140*G137)+(H140*H137)+(I140*I137)+(J140*J137)</f>
        <v>0</v>
      </c>
      <c r="M140" s="57" t="s">
        <v>31</v>
      </c>
      <c r="N140" s="63" t="b">
        <v>0</v>
      </c>
    </row>
    <row r="141" ht="15.0" customHeight="1">
      <c r="A141" s="64" t="s">
        <v>161</v>
      </c>
      <c r="B141" s="65" t="s">
        <v>33</v>
      </c>
      <c r="C141" s="53" t="s">
        <v>34</v>
      </c>
      <c r="D141" s="54"/>
      <c r="E141" s="66"/>
      <c r="F141" s="66"/>
      <c r="G141" s="66"/>
      <c r="H141" s="66"/>
      <c r="I141" s="66"/>
      <c r="J141" s="66"/>
      <c r="K141" s="67" t="s">
        <v>35</v>
      </c>
      <c r="L141" s="62">
        <f>(E141*E137)+(F141*F137)+(G141*G137)+(H141*H137)+(I141*I137)+(J141*J137)</f>
        <v>0</v>
      </c>
      <c r="M141" s="57" t="s">
        <v>36</v>
      </c>
      <c r="N141" s="63" t="b">
        <v>0</v>
      </c>
    </row>
    <row r="142" ht="13.5" customHeight="1">
      <c r="A142" s="68"/>
      <c r="B142" s="69" t="str">
        <f>IFS(L142=0,"",B142&lt;&gt;"",B142,TRUE,NOW())</f>
        <v/>
      </c>
      <c r="C142" s="70" t="s">
        <v>37</v>
      </c>
      <c r="D142" s="33"/>
      <c r="E142" s="71"/>
      <c r="F142" s="71"/>
      <c r="G142" s="71"/>
      <c r="H142" s="71"/>
      <c r="I142" s="71"/>
      <c r="J142" s="71"/>
      <c r="K142" s="72" t="s">
        <v>38</v>
      </c>
      <c r="L142" s="73">
        <f>L141-L140</f>
        <v>0</v>
      </c>
      <c r="M142" s="74" t="s">
        <v>39</v>
      </c>
      <c r="N142" s="75" t="b">
        <v>0</v>
      </c>
    </row>
    <row r="143" ht="13.5" customHeight="1">
      <c r="A143" s="46" t="s">
        <v>40</v>
      </c>
      <c r="B143" s="52" t="s">
        <v>75</v>
      </c>
      <c r="C143" s="53" t="s">
        <v>27</v>
      </c>
      <c r="D143" s="54"/>
      <c r="E143" s="55">
        <f t="shared" ref="E143:J143" si="38">E141-E144</f>
        <v>0</v>
      </c>
      <c r="F143" s="55">
        <f t="shared" si="38"/>
        <v>0</v>
      </c>
      <c r="G143" s="55">
        <f t="shared" si="38"/>
        <v>0</v>
      </c>
      <c r="H143" s="55">
        <f t="shared" si="38"/>
        <v>-1</v>
      </c>
      <c r="I143" s="55">
        <f t="shared" si="38"/>
        <v>-1</v>
      </c>
      <c r="J143" s="55">
        <f t="shared" si="38"/>
        <v>0</v>
      </c>
      <c r="K143" s="56"/>
      <c r="L143" s="30"/>
      <c r="M143" s="57" t="s">
        <v>28</v>
      </c>
      <c r="N143" s="58" t="b">
        <v>0</v>
      </c>
    </row>
    <row r="144" ht="13.5" customHeight="1">
      <c r="A144" s="64"/>
      <c r="B144" s="59"/>
      <c r="C144" s="53" t="s">
        <v>30</v>
      </c>
      <c r="D144" s="54"/>
      <c r="E144" s="60"/>
      <c r="F144" s="84"/>
      <c r="G144" s="60"/>
      <c r="H144" s="84">
        <v>1.0</v>
      </c>
      <c r="I144" s="84">
        <v>1.0</v>
      </c>
      <c r="J144" s="60"/>
      <c r="K144" s="61" t="s">
        <v>30</v>
      </c>
      <c r="L144" s="62">
        <f>(E144*E137)+(F144*F137)+(G144*G137)+(H144*H137)+(I144*I137)+(J144*J137)</f>
        <v>59</v>
      </c>
      <c r="M144" s="57" t="s">
        <v>31</v>
      </c>
      <c r="N144" s="63" t="b">
        <v>0</v>
      </c>
    </row>
    <row r="145" ht="13.5" customHeight="1">
      <c r="A145" s="68"/>
      <c r="B145" s="65" t="s">
        <v>42</v>
      </c>
      <c r="C145" s="53" t="s">
        <v>34</v>
      </c>
      <c r="D145" s="54"/>
      <c r="E145" s="66"/>
      <c r="F145" s="76">
        <v>6.0</v>
      </c>
      <c r="G145" s="76">
        <v>6.0</v>
      </c>
      <c r="H145" s="76">
        <v>3.0</v>
      </c>
      <c r="I145" s="76">
        <v>3.0</v>
      </c>
      <c r="J145" s="76">
        <v>6.0</v>
      </c>
      <c r="K145" s="67" t="s">
        <v>35</v>
      </c>
      <c r="L145" s="62">
        <f>(E145*E137)+(F145*F137)+(G145*G137)+(H145*H137)+(I145*I137)+(J145*J137)</f>
        <v>723</v>
      </c>
      <c r="M145" s="57" t="s">
        <v>36</v>
      </c>
      <c r="N145" s="63" t="b">
        <v>0</v>
      </c>
    </row>
    <row r="146" ht="15.0" customHeight="1">
      <c r="A146" s="46" t="s">
        <v>43</v>
      </c>
      <c r="B146" s="69">
        <f>IFS(L146=0,"",B146&lt;&gt;"",B146,TRUE,NOW())</f>
        <v>46147.59282</v>
      </c>
      <c r="C146" s="70" t="s">
        <v>37</v>
      </c>
      <c r="D146" s="33"/>
      <c r="E146" s="71"/>
      <c r="F146" s="71"/>
      <c r="G146" s="71"/>
      <c r="H146" s="71"/>
      <c r="I146" s="71"/>
      <c r="J146" s="71"/>
      <c r="K146" s="72" t="s">
        <v>38</v>
      </c>
      <c r="L146" s="73">
        <f>L145-L144</f>
        <v>664</v>
      </c>
      <c r="M146" s="74" t="s">
        <v>39</v>
      </c>
      <c r="N146" s="75" t="b">
        <v>0</v>
      </c>
    </row>
    <row r="147" ht="13.5" customHeight="1">
      <c r="A147" s="64"/>
      <c r="B147" s="52" t="s">
        <v>75</v>
      </c>
      <c r="C147" s="53" t="s">
        <v>27</v>
      </c>
      <c r="D147" s="54"/>
      <c r="E147" s="55">
        <f t="shared" ref="E147:J147" si="39">E145-E148</f>
        <v>0</v>
      </c>
      <c r="F147" s="55">
        <f t="shared" si="39"/>
        <v>6</v>
      </c>
      <c r="G147" s="55">
        <f t="shared" si="39"/>
        <v>4</v>
      </c>
      <c r="H147" s="55">
        <f t="shared" si="39"/>
        <v>2</v>
      </c>
      <c r="I147" s="55">
        <f t="shared" si="39"/>
        <v>1</v>
      </c>
      <c r="J147" s="55">
        <f t="shared" si="39"/>
        <v>6</v>
      </c>
      <c r="K147" s="56"/>
      <c r="L147" s="30"/>
      <c r="M147" s="57" t="s">
        <v>28</v>
      </c>
      <c r="N147" s="58" t="b">
        <v>0</v>
      </c>
    </row>
    <row r="148" ht="13.5" customHeight="1">
      <c r="A148" s="46" t="s">
        <v>45</v>
      </c>
      <c r="B148" s="59"/>
      <c r="C148" s="53" t="s">
        <v>30</v>
      </c>
      <c r="D148" s="54"/>
      <c r="E148" s="60"/>
      <c r="F148" s="60"/>
      <c r="G148" s="84">
        <v>2.0</v>
      </c>
      <c r="H148" s="84">
        <v>1.0</v>
      </c>
      <c r="I148" s="84">
        <v>2.0</v>
      </c>
      <c r="J148" s="60"/>
      <c r="K148" s="61" t="s">
        <v>30</v>
      </c>
      <c r="L148" s="62">
        <f>(E148*E137)+(F148*F137)+(G148*G137)+(H148*H137)+(I148*I137)+(J148*J137)</f>
        <v>145</v>
      </c>
      <c r="M148" s="57" t="s">
        <v>31</v>
      </c>
      <c r="N148" s="63" t="b">
        <v>0</v>
      </c>
    </row>
    <row r="149" ht="13.5" customHeight="1">
      <c r="A149" s="77"/>
      <c r="B149" s="65" t="s">
        <v>47</v>
      </c>
      <c r="C149" s="53" t="s">
        <v>34</v>
      </c>
      <c r="D149" s="54"/>
      <c r="E149" s="66"/>
      <c r="F149" s="76">
        <v>6.0</v>
      </c>
      <c r="G149" s="76">
        <v>6.0</v>
      </c>
      <c r="H149" s="76">
        <v>2.0</v>
      </c>
      <c r="I149" s="76">
        <v>2.0</v>
      </c>
      <c r="J149" s="76">
        <v>6.0</v>
      </c>
      <c r="K149" s="67" t="s">
        <v>35</v>
      </c>
      <c r="L149" s="62">
        <f>(E149*E137)+(F149*F137)+(G149*G137)+(H149*H137)+(I149*I137)+(J149*J137)</f>
        <v>664</v>
      </c>
      <c r="M149" s="57" t="s">
        <v>36</v>
      </c>
      <c r="N149" s="63" t="b">
        <v>0</v>
      </c>
    </row>
    <row r="150" ht="13.5" customHeight="1">
      <c r="A150" s="68"/>
      <c r="B150" s="69">
        <f>IFS(L150=0,"",B150&lt;&gt;"",B150,TRUE,NOW())</f>
        <v>46154.48928</v>
      </c>
      <c r="C150" s="70" t="s">
        <v>37</v>
      </c>
      <c r="D150" s="33"/>
      <c r="E150" s="71"/>
      <c r="F150" s="71"/>
      <c r="G150" s="71"/>
      <c r="H150" s="71"/>
      <c r="I150" s="71"/>
      <c r="J150" s="71"/>
      <c r="K150" s="72" t="s">
        <v>38</v>
      </c>
      <c r="L150" s="73">
        <f>L149-L148</f>
        <v>519</v>
      </c>
      <c r="M150" s="74" t="s">
        <v>39</v>
      </c>
      <c r="N150" s="75" t="b">
        <v>0</v>
      </c>
    </row>
    <row r="151" ht="15.0" customHeight="1">
      <c r="A151" s="78" t="s">
        <v>48</v>
      </c>
      <c r="B151" s="52" t="s">
        <v>75</v>
      </c>
      <c r="C151" s="53" t="s">
        <v>27</v>
      </c>
      <c r="D151" s="54"/>
      <c r="E151" s="55">
        <f t="shared" ref="E151:J151" si="40">E149-E152</f>
        <v>0</v>
      </c>
      <c r="F151" s="55">
        <f t="shared" si="40"/>
        <v>6</v>
      </c>
      <c r="G151" s="55">
        <f t="shared" si="40"/>
        <v>6</v>
      </c>
      <c r="H151" s="55">
        <f t="shared" si="40"/>
        <v>2</v>
      </c>
      <c r="I151" s="55">
        <f t="shared" si="40"/>
        <v>2</v>
      </c>
      <c r="J151" s="55">
        <f t="shared" si="40"/>
        <v>6</v>
      </c>
      <c r="K151" s="56"/>
      <c r="L151" s="30"/>
      <c r="M151" s="57" t="s">
        <v>28</v>
      </c>
      <c r="N151" s="58" t="b">
        <v>0</v>
      </c>
    </row>
    <row r="152" ht="13.5" customHeight="1">
      <c r="A152" s="87"/>
      <c r="B152" s="59"/>
      <c r="C152" s="53" t="s">
        <v>30</v>
      </c>
      <c r="D152" s="54"/>
      <c r="E152" s="60"/>
      <c r="F152" s="60"/>
      <c r="G152" s="60"/>
      <c r="H152" s="60"/>
      <c r="I152" s="60"/>
      <c r="J152" s="60"/>
      <c r="K152" s="61" t="s">
        <v>30</v>
      </c>
      <c r="L152" s="62">
        <f>(E152*E137)+(F152*F137)+(G152*G137)+(H152*H137)+(I152*I137)+(J152*J137)</f>
        <v>0</v>
      </c>
      <c r="M152" s="57" t="s">
        <v>31</v>
      </c>
      <c r="N152" s="63" t="b">
        <v>0</v>
      </c>
    </row>
    <row r="153" ht="13.5" customHeight="1">
      <c r="A153" s="68"/>
      <c r="B153" s="65" t="s">
        <v>49</v>
      </c>
      <c r="C153" s="53" t="s">
        <v>34</v>
      </c>
      <c r="D153" s="54"/>
      <c r="E153" s="66"/>
      <c r="F153" s="66"/>
      <c r="G153" s="66"/>
      <c r="H153" s="66"/>
      <c r="I153" s="66"/>
      <c r="J153" s="66"/>
      <c r="K153" s="67" t="s">
        <v>35</v>
      </c>
      <c r="L153" s="62">
        <f>(E153*E137)+(F153*F137)+(G153*G137)+(H153*H137)+(I153*I137)+(J153*J137)</f>
        <v>0</v>
      </c>
      <c r="M153" s="57" t="s">
        <v>36</v>
      </c>
      <c r="N153" s="63" t="b">
        <v>0</v>
      </c>
    </row>
    <row r="154" ht="13.5" customHeight="1">
      <c r="A154" s="80"/>
      <c r="B154" s="69" t="str">
        <f>IFS(L154=0,"",B154&lt;&gt;"",B154,TRUE,NOW())</f>
        <v/>
      </c>
      <c r="C154" s="53" t="s">
        <v>37</v>
      </c>
      <c r="D154" s="54"/>
      <c r="E154" s="81"/>
      <c r="F154" s="81"/>
      <c r="G154" s="81"/>
      <c r="H154" s="82"/>
      <c r="I154" s="81"/>
      <c r="J154" s="81"/>
      <c r="K154" s="72" t="s">
        <v>38</v>
      </c>
      <c r="L154" s="73">
        <f>L153-L152</f>
        <v>0</v>
      </c>
      <c r="M154" s="74" t="s">
        <v>39</v>
      </c>
      <c r="N154" s="75" t="b">
        <v>0</v>
      </c>
    </row>
    <row r="155" ht="13.5" customHeight="1">
      <c r="A155" s="83" t="s">
        <v>77</v>
      </c>
      <c r="B155" s="42" t="s">
        <v>20</v>
      </c>
      <c r="C155" s="24"/>
      <c r="D155" s="33"/>
      <c r="E155" s="43">
        <f t="shared" ref="E155:J155" si="41">E6</f>
        <v>17</v>
      </c>
      <c r="F155" s="43">
        <f t="shared" si="41"/>
        <v>27</v>
      </c>
      <c r="G155" s="43">
        <f t="shared" si="41"/>
        <v>27</v>
      </c>
      <c r="H155" s="43">
        <f t="shared" si="41"/>
        <v>27</v>
      </c>
      <c r="I155" s="43">
        <f t="shared" si="41"/>
        <v>32</v>
      </c>
      <c r="J155" s="44">
        <f t="shared" si="41"/>
        <v>37</v>
      </c>
      <c r="K155" s="42" t="s">
        <v>21</v>
      </c>
      <c r="L155" s="25"/>
      <c r="M155" s="45" t="s">
        <v>22</v>
      </c>
      <c r="N155" s="25"/>
    </row>
    <row r="156" ht="18.75" customHeight="1">
      <c r="A156" s="46" t="s">
        <v>23</v>
      </c>
      <c r="B156" s="47" t="s">
        <v>24</v>
      </c>
      <c r="C156" s="32" t="s">
        <v>25</v>
      </c>
      <c r="D156" s="33"/>
      <c r="E156" s="48"/>
      <c r="F156" s="48"/>
      <c r="G156" s="48"/>
      <c r="H156" s="48"/>
      <c r="I156" s="48"/>
      <c r="J156" s="48"/>
      <c r="K156" s="49"/>
      <c r="L156" s="25"/>
      <c r="M156" s="50"/>
      <c r="N156" s="10"/>
    </row>
    <row r="157" ht="13.5" customHeight="1">
      <c r="A157" s="51"/>
      <c r="B157" s="52" t="s">
        <v>78</v>
      </c>
      <c r="C157" s="53" t="s">
        <v>27</v>
      </c>
      <c r="D157" s="54"/>
      <c r="E157" s="55">
        <f t="shared" ref="E157:J157" si="42">E156-E158</f>
        <v>0</v>
      </c>
      <c r="F157" s="55">
        <f t="shared" si="42"/>
        <v>0</v>
      </c>
      <c r="G157" s="55">
        <f t="shared" si="42"/>
        <v>0</v>
      </c>
      <c r="H157" s="55">
        <f t="shared" si="42"/>
        <v>0</v>
      </c>
      <c r="I157" s="55">
        <f t="shared" si="42"/>
        <v>0</v>
      </c>
      <c r="J157" s="55">
        <f t="shared" si="42"/>
        <v>0</v>
      </c>
      <c r="K157" s="56"/>
      <c r="L157" s="30"/>
      <c r="M157" s="57" t="s">
        <v>28</v>
      </c>
      <c r="N157" s="58" t="b">
        <v>0</v>
      </c>
    </row>
    <row r="158" ht="13.5" customHeight="1">
      <c r="A158" s="46" t="s">
        <v>29</v>
      </c>
      <c r="B158" s="59"/>
      <c r="C158" s="53" t="s">
        <v>30</v>
      </c>
      <c r="D158" s="54"/>
      <c r="E158" s="60"/>
      <c r="F158" s="60"/>
      <c r="G158" s="60"/>
      <c r="H158" s="60"/>
      <c r="I158" s="60"/>
      <c r="J158" s="60"/>
      <c r="K158" s="61" t="s">
        <v>30</v>
      </c>
      <c r="L158" s="62">
        <f>(E158*E155)+(F158*F155)+(G158*G155)+(H158*H155)+(I158*I155)+(J158*J155)</f>
        <v>0</v>
      </c>
      <c r="M158" s="57" t="s">
        <v>31</v>
      </c>
      <c r="N158" s="63" t="b">
        <v>0</v>
      </c>
    </row>
    <row r="159" ht="13.5" customHeight="1">
      <c r="A159" s="64"/>
      <c r="B159" s="65" t="s">
        <v>33</v>
      </c>
      <c r="C159" s="53" t="s">
        <v>34</v>
      </c>
      <c r="D159" s="54"/>
      <c r="E159" s="66"/>
      <c r="F159" s="66"/>
      <c r="G159" s="66"/>
      <c r="H159" s="66"/>
      <c r="I159" s="66"/>
      <c r="J159" s="66"/>
      <c r="K159" s="67" t="s">
        <v>35</v>
      </c>
      <c r="L159" s="62">
        <f>(E159*E155)+(F159*F155)+(G159*G155)+(H159*H155)+(I159*I155)+(J159*J155)</f>
        <v>0</v>
      </c>
      <c r="M159" s="57" t="s">
        <v>36</v>
      </c>
      <c r="N159" s="63" t="b">
        <v>0</v>
      </c>
    </row>
    <row r="160" ht="13.5" customHeight="1">
      <c r="A160" s="68"/>
      <c r="B160" s="69" t="str">
        <f>IFS(L160=0,"",B160&lt;&gt;"",B160,TRUE,NOW())</f>
        <v/>
      </c>
      <c r="C160" s="70" t="s">
        <v>37</v>
      </c>
      <c r="D160" s="33"/>
      <c r="E160" s="71"/>
      <c r="F160" s="71"/>
      <c r="G160" s="71"/>
      <c r="H160" s="71"/>
      <c r="I160" s="71"/>
      <c r="J160" s="71"/>
      <c r="K160" s="72" t="s">
        <v>38</v>
      </c>
      <c r="L160" s="73">
        <f>L159-L158</f>
        <v>0</v>
      </c>
      <c r="M160" s="74" t="s">
        <v>39</v>
      </c>
      <c r="N160" s="75" t="b">
        <v>0</v>
      </c>
    </row>
    <row r="161" ht="13.5" customHeight="1">
      <c r="A161" s="46" t="s">
        <v>40</v>
      </c>
      <c r="B161" s="52" t="s">
        <v>78</v>
      </c>
      <c r="C161" s="53" t="s">
        <v>27</v>
      </c>
      <c r="D161" s="54"/>
      <c r="E161" s="55">
        <f t="shared" ref="E161:J161" si="43">E159-E162</f>
        <v>0</v>
      </c>
      <c r="F161" s="55">
        <f t="shared" si="43"/>
        <v>0</v>
      </c>
      <c r="G161" s="55">
        <f t="shared" si="43"/>
        <v>0</v>
      </c>
      <c r="H161" s="55">
        <f t="shared" si="43"/>
        <v>0</v>
      </c>
      <c r="I161" s="55">
        <f t="shared" si="43"/>
        <v>0</v>
      </c>
      <c r="J161" s="55">
        <f t="shared" si="43"/>
        <v>0</v>
      </c>
      <c r="K161" s="56"/>
      <c r="L161" s="30"/>
      <c r="M161" s="57" t="s">
        <v>28</v>
      </c>
      <c r="N161" s="58" t="b">
        <v>0</v>
      </c>
    </row>
    <row r="162" ht="13.5" customHeight="1">
      <c r="A162" s="64"/>
      <c r="B162" s="59"/>
      <c r="C162" s="53" t="s">
        <v>30</v>
      </c>
      <c r="D162" s="54"/>
      <c r="E162" s="60"/>
      <c r="F162" s="60"/>
      <c r="G162" s="60"/>
      <c r="H162" s="60"/>
      <c r="I162" s="84"/>
      <c r="J162" s="60"/>
      <c r="K162" s="61" t="s">
        <v>30</v>
      </c>
      <c r="L162" s="62">
        <f>(E162*E155)+(F162*F155)+(G162*G155)+(H162*H155)+(I162*I155)+(J162*J155)</f>
        <v>0</v>
      </c>
      <c r="M162" s="57" t="s">
        <v>31</v>
      </c>
      <c r="N162" s="63" t="b">
        <v>0</v>
      </c>
    </row>
    <row r="163" ht="17.25" customHeight="1">
      <c r="A163" s="68"/>
      <c r="B163" s="65" t="s">
        <v>42</v>
      </c>
      <c r="C163" s="53" t="s">
        <v>34</v>
      </c>
      <c r="D163" s="54"/>
      <c r="E163" s="66"/>
      <c r="F163" s="76"/>
      <c r="G163" s="76"/>
      <c r="H163" s="76"/>
      <c r="I163" s="76"/>
      <c r="J163" s="76"/>
      <c r="K163" s="67" t="s">
        <v>35</v>
      </c>
      <c r="L163" s="62">
        <f>(E163*E155)+(F163*F155)+(G163*G155)+(H163*H155)+(I163*I155)+(J163*J155)</f>
        <v>0</v>
      </c>
      <c r="M163" s="57" t="s">
        <v>36</v>
      </c>
      <c r="N163" s="63" t="b">
        <v>0</v>
      </c>
    </row>
    <row r="164" ht="13.5" customHeight="1">
      <c r="A164" s="46" t="s">
        <v>43</v>
      </c>
      <c r="B164" s="69" t="str">
        <f>IFS(L164=0,"",B164&lt;&gt;"",B164,TRUE,NOW())</f>
        <v/>
      </c>
      <c r="C164" s="70" t="s">
        <v>37</v>
      </c>
      <c r="D164" s="33"/>
      <c r="E164" s="71"/>
      <c r="F164" s="71"/>
      <c r="G164" s="71"/>
      <c r="H164" s="71"/>
      <c r="I164" s="71"/>
      <c r="J164" s="71"/>
      <c r="K164" s="72" t="s">
        <v>38</v>
      </c>
      <c r="L164" s="73">
        <f>L163-L162</f>
        <v>0</v>
      </c>
      <c r="M164" s="74" t="s">
        <v>39</v>
      </c>
      <c r="N164" s="75" t="b">
        <v>0</v>
      </c>
    </row>
    <row r="165" ht="13.5" customHeight="1">
      <c r="A165" s="64"/>
      <c r="B165" s="52" t="s">
        <v>78</v>
      </c>
      <c r="C165" s="53" t="s">
        <v>27</v>
      </c>
      <c r="D165" s="54"/>
      <c r="E165" s="55">
        <f t="shared" ref="E165:J165" si="44">E163-E166</f>
        <v>0</v>
      </c>
      <c r="F165" s="55">
        <f t="shared" si="44"/>
        <v>0</v>
      </c>
      <c r="G165" s="55">
        <f t="shared" si="44"/>
        <v>0</v>
      </c>
      <c r="H165" s="55">
        <f t="shared" si="44"/>
        <v>0</v>
      </c>
      <c r="I165" s="55">
        <f t="shared" si="44"/>
        <v>0</v>
      </c>
      <c r="J165" s="55">
        <f t="shared" si="44"/>
        <v>0</v>
      </c>
      <c r="K165" s="56"/>
      <c r="L165" s="30"/>
      <c r="M165" s="57" t="s">
        <v>28</v>
      </c>
      <c r="N165" s="58" t="b">
        <v>0</v>
      </c>
    </row>
    <row r="166" ht="13.5" customHeight="1">
      <c r="A166" s="46" t="s">
        <v>45</v>
      </c>
      <c r="B166" s="59"/>
      <c r="C166" s="53" t="s">
        <v>30</v>
      </c>
      <c r="D166" s="54"/>
      <c r="E166" s="60"/>
      <c r="F166" s="60"/>
      <c r="G166" s="60"/>
      <c r="H166" s="60"/>
      <c r="I166" s="60"/>
      <c r="J166" s="60"/>
      <c r="K166" s="61" t="s">
        <v>30</v>
      </c>
      <c r="L166" s="62">
        <f>(E166*E155)+(F166*F155)+(G166*G155)+(H166*H155)+(I166*I155)+(J166*J155)</f>
        <v>0</v>
      </c>
      <c r="M166" s="57" t="s">
        <v>31</v>
      </c>
      <c r="N166" s="63" t="b">
        <v>0</v>
      </c>
    </row>
    <row r="167" ht="13.5" customHeight="1">
      <c r="A167" s="77"/>
      <c r="B167" s="65" t="s">
        <v>47</v>
      </c>
      <c r="C167" s="53" t="s">
        <v>34</v>
      </c>
      <c r="D167" s="54"/>
      <c r="E167" s="66"/>
      <c r="F167" s="76">
        <v>2.0</v>
      </c>
      <c r="G167" s="76">
        <v>2.0</v>
      </c>
      <c r="H167" s="76">
        <v>2.0</v>
      </c>
      <c r="I167" s="76">
        <v>2.0</v>
      </c>
      <c r="J167" s="76">
        <v>2.0</v>
      </c>
      <c r="K167" s="67" t="s">
        <v>35</v>
      </c>
      <c r="L167" s="62">
        <f>(E167*E155)+(F167*F155)+(G167*G155)+(H167*H155)+(I167*I155)+(J167*J155)</f>
        <v>300</v>
      </c>
      <c r="M167" s="57" t="s">
        <v>36</v>
      </c>
      <c r="N167" s="63" t="b">
        <v>0</v>
      </c>
    </row>
    <row r="168" ht="15.0" customHeight="1">
      <c r="A168" s="68"/>
      <c r="B168" s="69">
        <f>IFS(L168=0,"",B168&lt;&gt;"",B168,TRUE,NOW())</f>
        <v>46154.49215</v>
      </c>
      <c r="C168" s="70" t="s">
        <v>37</v>
      </c>
      <c r="D168" s="33"/>
      <c r="E168" s="71"/>
      <c r="F168" s="71"/>
      <c r="G168" s="71"/>
      <c r="H168" s="71"/>
      <c r="I168" s="71"/>
      <c r="J168" s="71"/>
      <c r="K168" s="72" t="s">
        <v>38</v>
      </c>
      <c r="L168" s="73">
        <f>L167-L166</f>
        <v>300</v>
      </c>
      <c r="M168" s="74" t="s">
        <v>39</v>
      </c>
      <c r="N168" s="75" t="b">
        <v>0</v>
      </c>
    </row>
    <row r="169" ht="13.5" customHeight="1">
      <c r="A169" s="78" t="s">
        <v>48</v>
      </c>
      <c r="B169" s="52" t="s">
        <v>78</v>
      </c>
      <c r="C169" s="53" t="s">
        <v>27</v>
      </c>
      <c r="D169" s="54"/>
      <c r="E169" s="55">
        <f t="shared" ref="E169:J169" si="45">E167-E170</f>
        <v>0</v>
      </c>
      <c r="F169" s="55">
        <f t="shared" si="45"/>
        <v>2</v>
      </c>
      <c r="G169" s="55">
        <f t="shared" si="45"/>
        <v>2</v>
      </c>
      <c r="H169" s="55">
        <f t="shared" si="45"/>
        <v>2</v>
      </c>
      <c r="I169" s="55">
        <f t="shared" si="45"/>
        <v>2</v>
      </c>
      <c r="J169" s="55">
        <f t="shared" si="45"/>
        <v>2</v>
      </c>
      <c r="K169" s="56"/>
      <c r="L169" s="30"/>
      <c r="M169" s="57" t="s">
        <v>28</v>
      </c>
      <c r="N169" s="58" t="b">
        <v>0</v>
      </c>
    </row>
    <row r="170" ht="13.5" customHeight="1">
      <c r="A170" s="87"/>
      <c r="B170" s="59"/>
      <c r="C170" s="53" t="s">
        <v>30</v>
      </c>
      <c r="D170" s="54"/>
      <c r="E170" s="60"/>
      <c r="F170" s="60"/>
      <c r="G170" s="60"/>
      <c r="H170" s="60"/>
      <c r="I170" s="60"/>
      <c r="J170" s="60"/>
      <c r="K170" s="61" t="s">
        <v>30</v>
      </c>
      <c r="L170" s="62">
        <f>(E170*E155)+(F170*F155)+(G170*G155)+(H170*H155)+(I170*I155)+(J170*J155)</f>
        <v>0</v>
      </c>
      <c r="M170" s="57" t="s">
        <v>31</v>
      </c>
      <c r="N170" s="63" t="b">
        <v>0</v>
      </c>
    </row>
    <row r="171" ht="13.5" customHeight="1">
      <c r="A171" s="68"/>
      <c r="B171" s="65" t="s">
        <v>49</v>
      </c>
      <c r="C171" s="53" t="s">
        <v>34</v>
      </c>
      <c r="D171" s="54"/>
      <c r="E171" s="66"/>
      <c r="F171" s="66"/>
      <c r="G171" s="66"/>
      <c r="H171" s="66"/>
      <c r="I171" s="66"/>
      <c r="J171" s="66"/>
      <c r="K171" s="67" t="s">
        <v>35</v>
      </c>
      <c r="L171" s="62">
        <f>(E171*E155)+(F171*F155)+(G171*G155)+(H171*H155)+(I171*I155)+(J171*J155)</f>
        <v>0</v>
      </c>
      <c r="M171" s="57" t="s">
        <v>36</v>
      </c>
      <c r="N171" s="63" t="b">
        <v>0</v>
      </c>
    </row>
    <row r="172" ht="13.5" customHeight="1">
      <c r="A172" s="80"/>
      <c r="B172" s="69" t="str">
        <f>IFS(L172=0,"",B172&lt;&gt;"",B172,TRUE,NOW())</f>
        <v/>
      </c>
      <c r="C172" s="86" t="s">
        <v>37</v>
      </c>
      <c r="D172" s="59"/>
      <c r="E172" s="81"/>
      <c r="F172" s="81"/>
      <c r="G172" s="81"/>
      <c r="H172" s="82"/>
      <c r="I172" s="81"/>
      <c r="J172" s="81"/>
      <c r="K172" s="72" t="s">
        <v>38</v>
      </c>
      <c r="L172" s="73">
        <f>L171-L170</f>
        <v>0</v>
      </c>
      <c r="M172" s="74" t="s">
        <v>39</v>
      </c>
      <c r="N172" s="75" t="b">
        <v>0</v>
      </c>
    </row>
    <row r="173" ht="15.0" customHeight="1">
      <c r="A173" s="83" t="s">
        <v>80</v>
      </c>
      <c r="B173" s="42" t="s">
        <v>20</v>
      </c>
      <c r="C173" s="24"/>
      <c r="D173" s="33"/>
      <c r="E173" s="43">
        <f t="shared" ref="E173:J173" si="46">E6</f>
        <v>17</v>
      </c>
      <c r="F173" s="43">
        <f t="shared" si="46"/>
        <v>27</v>
      </c>
      <c r="G173" s="43">
        <f t="shared" si="46"/>
        <v>27</v>
      </c>
      <c r="H173" s="43">
        <f t="shared" si="46"/>
        <v>27</v>
      </c>
      <c r="I173" s="43">
        <f t="shared" si="46"/>
        <v>32</v>
      </c>
      <c r="J173" s="44">
        <f t="shared" si="46"/>
        <v>37</v>
      </c>
      <c r="K173" s="42" t="s">
        <v>21</v>
      </c>
      <c r="L173" s="25"/>
      <c r="M173" s="45" t="s">
        <v>22</v>
      </c>
      <c r="N173" s="25"/>
    </row>
    <row r="174" ht="13.5" customHeight="1">
      <c r="A174" s="46" t="s">
        <v>23</v>
      </c>
      <c r="B174" s="47" t="s">
        <v>24</v>
      </c>
      <c r="C174" s="32" t="s">
        <v>25</v>
      </c>
      <c r="D174" s="33"/>
      <c r="E174" s="48"/>
      <c r="F174" s="48"/>
      <c r="G174" s="48"/>
      <c r="H174" s="48"/>
      <c r="I174" s="48"/>
      <c r="J174" s="48"/>
      <c r="K174" s="49"/>
      <c r="L174" s="25"/>
      <c r="M174" s="50"/>
      <c r="N174" s="10"/>
    </row>
    <row r="175" ht="13.5" customHeight="1">
      <c r="A175" s="92"/>
      <c r="B175" s="52" t="s">
        <v>81</v>
      </c>
      <c r="C175" s="53" t="s">
        <v>27</v>
      </c>
      <c r="D175" s="54"/>
      <c r="E175" s="55">
        <f t="shared" ref="E175:J175" si="47">E174-E176</f>
        <v>0</v>
      </c>
      <c r="F175" s="55">
        <f t="shared" si="47"/>
        <v>0</v>
      </c>
      <c r="G175" s="55">
        <f t="shared" si="47"/>
        <v>0</v>
      </c>
      <c r="H175" s="55">
        <f t="shared" si="47"/>
        <v>0</v>
      </c>
      <c r="I175" s="55">
        <f t="shared" si="47"/>
        <v>0</v>
      </c>
      <c r="J175" s="55">
        <f t="shared" si="47"/>
        <v>0</v>
      </c>
      <c r="K175" s="56"/>
      <c r="L175" s="30"/>
      <c r="M175" s="57" t="s">
        <v>28</v>
      </c>
      <c r="N175" s="58" t="b">
        <v>0</v>
      </c>
    </row>
    <row r="176" ht="13.5" customHeight="1">
      <c r="A176" s="46" t="s">
        <v>29</v>
      </c>
      <c r="B176" s="59"/>
      <c r="C176" s="53" t="s">
        <v>30</v>
      </c>
      <c r="D176" s="54"/>
      <c r="E176" s="60"/>
      <c r="F176" s="60"/>
      <c r="G176" s="60"/>
      <c r="H176" s="60"/>
      <c r="I176" s="60"/>
      <c r="J176" s="60"/>
      <c r="K176" s="61" t="s">
        <v>30</v>
      </c>
      <c r="L176" s="62">
        <f>(E176*E173)+(F176*F173)+(G176*G173)+(H176*H173)+(I176*I173)+(J176*J173)</f>
        <v>0</v>
      </c>
      <c r="M176" s="57" t="s">
        <v>31</v>
      </c>
      <c r="N176" s="63" t="b">
        <v>0</v>
      </c>
    </row>
    <row r="177" ht="13.5" customHeight="1">
      <c r="A177" s="64"/>
      <c r="B177" s="65" t="s">
        <v>33</v>
      </c>
      <c r="C177" s="53" t="s">
        <v>34</v>
      </c>
      <c r="D177" s="54"/>
      <c r="E177" s="66"/>
      <c r="F177" s="66"/>
      <c r="G177" s="66"/>
      <c r="H177" s="66"/>
      <c r="I177" s="66"/>
      <c r="J177" s="66"/>
      <c r="K177" s="67" t="s">
        <v>35</v>
      </c>
      <c r="L177" s="62">
        <f>(E177*E173)+(F177*F173)+(G177*G173)+(H177*H173)+(I177*I173)+(J177*J173)</f>
        <v>0</v>
      </c>
      <c r="M177" s="57" t="s">
        <v>36</v>
      </c>
      <c r="N177" s="63" t="b">
        <v>0</v>
      </c>
    </row>
    <row r="178" ht="15.0" customHeight="1">
      <c r="A178" s="68"/>
      <c r="B178" s="69" t="str">
        <f>IFS(L178=0,"",B178&lt;&gt;"",B178,TRUE,NOW())</f>
        <v/>
      </c>
      <c r="C178" s="70" t="s">
        <v>37</v>
      </c>
      <c r="D178" s="33"/>
      <c r="E178" s="71"/>
      <c r="F178" s="71"/>
      <c r="G178" s="71"/>
      <c r="H178" s="71"/>
      <c r="I178" s="71"/>
      <c r="J178" s="71"/>
      <c r="K178" s="72" t="s">
        <v>38</v>
      </c>
      <c r="L178" s="73">
        <f>L177-L176</f>
        <v>0</v>
      </c>
      <c r="M178" s="74" t="s">
        <v>39</v>
      </c>
      <c r="N178" s="75" t="b">
        <v>0</v>
      </c>
    </row>
    <row r="179" ht="13.5" customHeight="1">
      <c r="A179" s="46" t="s">
        <v>40</v>
      </c>
      <c r="B179" s="52" t="s">
        <v>81</v>
      </c>
      <c r="C179" s="53" t="s">
        <v>27</v>
      </c>
      <c r="D179" s="54"/>
      <c r="E179" s="55">
        <f t="shared" ref="E179:J179" si="48">E177-E180</f>
        <v>0</v>
      </c>
      <c r="F179" s="55">
        <f t="shared" si="48"/>
        <v>0</v>
      </c>
      <c r="G179" s="55">
        <f t="shared" si="48"/>
        <v>0</v>
      </c>
      <c r="H179" s="55">
        <f t="shared" si="48"/>
        <v>0</v>
      </c>
      <c r="I179" s="55">
        <f t="shared" si="48"/>
        <v>0</v>
      </c>
      <c r="J179" s="55">
        <f t="shared" si="48"/>
        <v>0</v>
      </c>
      <c r="K179" s="56"/>
      <c r="L179" s="30"/>
      <c r="M179" s="57" t="s">
        <v>28</v>
      </c>
      <c r="N179" s="58" t="b">
        <v>0</v>
      </c>
    </row>
    <row r="180" ht="13.5" customHeight="1">
      <c r="A180" s="64"/>
      <c r="B180" s="59"/>
      <c r="C180" s="53" t="s">
        <v>30</v>
      </c>
      <c r="D180" s="54"/>
      <c r="E180" s="60"/>
      <c r="F180" s="60"/>
      <c r="G180" s="60"/>
      <c r="H180" s="60"/>
      <c r="I180" s="60"/>
      <c r="J180" s="60"/>
      <c r="K180" s="61" t="s">
        <v>30</v>
      </c>
      <c r="L180" s="62">
        <f>(E180*E173)+(F180*F173)+(G180*G173)+(H180*H173)+(I180*I173)+(J180*J173)</f>
        <v>0</v>
      </c>
      <c r="M180" s="57" t="s">
        <v>31</v>
      </c>
      <c r="N180" s="63" t="b">
        <v>0</v>
      </c>
    </row>
    <row r="181" ht="13.5" customHeight="1">
      <c r="A181" s="68"/>
      <c r="B181" s="65" t="s">
        <v>42</v>
      </c>
      <c r="C181" s="53" t="s">
        <v>34</v>
      </c>
      <c r="D181" s="54"/>
      <c r="E181" s="66"/>
      <c r="F181" s="76"/>
      <c r="G181" s="66"/>
      <c r="H181" s="66"/>
      <c r="I181" s="66"/>
      <c r="J181" s="76"/>
      <c r="K181" s="67" t="s">
        <v>35</v>
      </c>
      <c r="L181" s="62">
        <f>(E181*E173)+(F181*F173)+(G181*G173)+(H181*H173)+(I181*I173)+(J181*J173)</f>
        <v>0</v>
      </c>
      <c r="M181" s="57" t="s">
        <v>36</v>
      </c>
      <c r="N181" s="63" t="b">
        <v>0</v>
      </c>
    </row>
    <row r="182" ht="13.5" customHeight="1">
      <c r="A182" s="46" t="s">
        <v>43</v>
      </c>
      <c r="B182" s="69" t="str">
        <f>IFS(L182=0,"",B182&lt;&gt;"",B182,TRUE,NOW())</f>
        <v/>
      </c>
      <c r="C182" s="70" t="s">
        <v>37</v>
      </c>
      <c r="D182" s="33"/>
      <c r="E182" s="71"/>
      <c r="F182" s="71"/>
      <c r="G182" s="71"/>
      <c r="H182" s="71"/>
      <c r="I182" s="71"/>
      <c r="J182" s="71"/>
      <c r="K182" s="72" t="s">
        <v>38</v>
      </c>
      <c r="L182" s="73">
        <f>L181-L180</f>
        <v>0</v>
      </c>
      <c r="M182" s="74" t="s">
        <v>39</v>
      </c>
      <c r="N182" s="75" t="b">
        <v>0</v>
      </c>
    </row>
    <row r="183" ht="13.5" customHeight="1">
      <c r="A183" s="64"/>
      <c r="B183" s="52" t="s">
        <v>81</v>
      </c>
      <c r="C183" s="53" t="s">
        <v>27</v>
      </c>
      <c r="D183" s="54"/>
      <c r="E183" s="55">
        <f t="shared" ref="E183:J183" si="49">E181-E184</f>
        <v>0</v>
      </c>
      <c r="F183" s="55">
        <f t="shared" si="49"/>
        <v>0</v>
      </c>
      <c r="G183" s="55">
        <f t="shared" si="49"/>
        <v>0</v>
      </c>
      <c r="H183" s="55">
        <f t="shared" si="49"/>
        <v>0</v>
      </c>
      <c r="I183" s="55">
        <f t="shared" si="49"/>
        <v>0</v>
      </c>
      <c r="J183" s="55">
        <f t="shared" si="49"/>
        <v>0</v>
      </c>
      <c r="K183" s="56"/>
      <c r="L183" s="30"/>
      <c r="M183" s="57" t="s">
        <v>28</v>
      </c>
      <c r="N183" s="58" t="b">
        <v>0</v>
      </c>
    </row>
    <row r="184" ht="13.5" customHeight="1">
      <c r="A184" s="46" t="s">
        <v>45</v>
      </c>
      <c r="B184" s="59"/>
      <c r="C184" s="53" t="s">
        <v>30</v>
      </c>
      <c r="D184" s="54"/>
      <c r="E184" s="60"/>
      <c r="F184" s="60"/>
      <c r="G184" s="60"/>
      <c r="H184" s="60"/>
      <c r="I184" s="60"/>
      <c r="J184" s="60"/>
      <c r="K184" s="61" t="s">
        <v>30</v>
      </c>
      <c r="L184" s="62">
        <f>(E184*E173)+(F184*F173)+(G184*G173)+(H184*H173)+(I184*I173)+(J184*J173)</f>
        <v>0</v>
      </c>
      <c r="M184" s="57" t="s">
        <v>31</v>
      </c>
      <c r="N184" s="63" t="b">
        <v>0</v>
      </c>
    </row>
    <row r="185" ht="18.0" customHeight="1">
      <c r="A185" s="77"/>
      <c r="B185" s="65" t="s">
        <v>47</v>
      </c>
      <c r="C185" s="53" t="s">
        <v>34</v>
      </c>
      <c r="D185" s="54"/>
      <c r="E185" s="66"/>
      <c r="F185" s="66"/>
      <c r="G185" s="66"/>
      <c r="H185" s="66"/>
      <c r="I185" s="66"/>
      <c r="J185" s="66"/>
      <c r="K185" s="67" t="s">
        <v>35</v>
      </c>
      <c r="L185" s="62">
        <f>(E185*E173)+(F185*F173)+(G185*G173)+(H185*H173)+(I185*I173)+(J185*J173)</f>
        <v>0</v>
      </c>
      <c r="M185" s="57" t="s">
        <v>36</v>
      </c>
      <c r="N185" s="63" t="b">
        <v>0</v>
      </c>
    </row>
    <row r="186" ht="13.5" customHeight="1">
      <c r="A186" s="68"/>
      <c r="B186" s="69" t="str">
        <f>IFS(L186=0,"",B186&lt;&gt;"",B186,TRUE,NOW())</f>
        <v/>
      </c>
      <c r="C186" s="70" t="s">
        <v>37</v>
      </c>
      <c r="D186" s="33"/>
      <c r="E186" s="71"/>
      <c r="F186" s="71"/>
      <c r="G186" s="71"/>
      <c r="H186" s="71"/>
      <c r="I186" s="71"/>
      <c r="J186" s="71"/>
      <c r="K186" s="72" t="s">
        <v>38</v>
      </c>
      <c r="L186" s="73">
        <f>L185-L184</f>
        <v>0</v>
      </c>
      <c r="M186" s="74" t="s">
        <v>39</v>
      </c>
      <c r="N186" s="75" t="b">
        <v>0</v>
      </c>
    </row>
    <row r="187" ht="13.5" customHeight="1">
      <c r="A187" s="78" t="s">
        <v>48</v>
      </c>
      <c r="B187" s="52" t="s">
        <v>81</v>
      </c>
      <c r="C187" s="53" t="s">
        <v>27</v>
      </c>
      <c r="D187" s="54"/>
      <c r="E187" s="55">
        <f t="shared" ref="E187:J187" si="50">E185-E188</f>
        <v>0</v>
      </c>
      <c r="F187" s="55">
        <f t="shared" si="50"/>
        <v>0</v>
      </c>
      <c r="G187" s="55">
        <f t="shared" si="50"/>
        <v>0</v>
      </c>
      <c r="H187" s="55">
        <f t="shared" si="50"/>
        <v>0</v>
      </c>
      <c r="I187" s="55">
        <f t="shared" si="50"/>
        <v>0</v>
      </c>
      <c r="J187" s="55">
        <f t="shared" si="50"/>
        <v>0</v>
      </c>
      <c r="K187" s="56"/>
      <c r="L187" s="30"/>
      <c r="M187" s="57" t="s">
        <v>28</v>
      </c>
      <c r="N187" s="58" t="b">
        <v>0</v>
      </c>
    </row>
    <row r="188" ht="13.5" customHeight="1">
      <c r="A188" s="87"/>
      <c r="B188" s="59"/>
      <c r="C188" s="53" t="s">
        <v>30</v>
      </c>
      <c r="D188" s="54"/>
      <c r="E188" s="60"/>
      <c r="F188" s="60"/>
      <c r="G188" s="60"/>
      <c r="H188" s="60"/>
      <c r="I188" s="60"/>
      <c r="J188" s="60"/>
      <c r="K188" s="61" t="s">
        <v>30</v>
      </c>
      <c r="L188" s="62">
        <f>(E188*E173)+(F188*F173)+(G188*G173)+(H188*H173)+(I188*I173)+(J188*J173)</f>
        <v>0</v>
      </c>
      <c r="M188" s="57" t="s">
        <v>31</v>
      </c>
      <c r="N188" s="63" t="b">
        <v>0</v>
      </c>
    </row>
    <row r="189" ht="13.5" customHeight="1">
      <c r="A189" s="68"/>
      <c r="B189" s="65" t="s">
        <v>49</v>
      </c>
      <c r="C189" s="53" t="s">
        <v>34</v>
      </c>
      <c r="D189" s="54"/>
      <c r="E189" s="66"/>
      <c r="F189" s="66"/>
      <c r="G189" s="66"/>
      <c r="H189" s="66"/>
      <c r="I189" s="66"/>
      <c r="J189" s="66"/>
      <c r="K189" s="67" t="s">
        <v>35</v>
      </c>
      <c r="L189" s="62">
        <f>(E189*E173)+(F189*F173)+(G189*G173)+(H189*H173)+(I189*I173)+(J189*J173)</f>
        <v>0</v>
      </c>
      <c r="M189" s="57" t="s">
        <v>36</v>
      </c>
      <c r="N189" s="63" t="b">
        <v>0</v>
      </c>
    </row>
    <row r="190" ht="15.0" customHeight="1">
      <c r="A190" s="80"/>
      <c r="B190" s="69" t="str">
        <f>IFS(L190=0,"",B190&lt;&gt;"",B190,TRUE,NOW())</f>
        <v/>
      </c>
      <c r="C190" s="86" t="s">
        <v>37</v>
      </c>
      <c r="D190" s="59"/>
      <c r="E190" s="81"/>
      <c r="F190" s="81"/>
      <c r="G190" s="81"/>
      <c r="H190" s="82"/>
      <c r="I190" s="81"/>
      <c r="J190" s="81"/>
      <c r="K190" s="72" t="s">
        <v>38</v>
      </c>
      <c r="L190" s="73">
        <f>L189-L188</f>
        <v>0</v>
      </c>
      <c r="M190" s="74" t="s">
        <v>39</v>
      </c>
      <c r="N190" s="75" t="b">
        <v>0</v>
      </c>
    </row>
    <row r="191" ht="13.5" customHeight="1">
      <c r="A191" s="83" t="s">
        <v>83</v>
      </c>
      <c r="B191" s="42" t="s">
        <v>20</v>
      </c>
      <c r="C191" s="24"/>
      <c r="D191" s="33"/>
      <c r="E191" s="43">
        <f t="shared" ref="E191:J191" si="51">E6</f>
        <v>17</v>
      </c>
      <c r="F191" s="43">
        <f t="shared" si="51"/>
        <v>27</v>
      </c>
      <c r="G191" s="43">
        <f t="shared" si="51"/>
        <v>27</v>
      </c>
      <c r="H191" s="43">
        <f t="shared" si="51"/>
        <v>27</v>
      </c>
      <c r="I191" s="43">
        <f t="shared" si="51"/>
        <v>32</v>
      </c>
      <c r="J191" s="44">
        <f t="shared" si="51"/>
        <v>37</v>
      </c>
      <c r="K191" s="42" t="s">
        <v>21</v>
      </c>
      <c r="L191" s="25"/>
      <c r="M191" s="45" t="s">
        <v>22</v>
      </c>
      <c r="N191" s="25"/>
    </row>
    <row r="192" ht="13.5" customHeight="1">
      <c r="A192" s="46" t="s">
        <v>23</v>
      </c>
      <c r="B192" s="47" t="s">
        <v>24</v>
      </c>
      <c r="C192" s="32" t="s">
        <v>25</v>
      </c>
      <c r="D192" s="33"/>
      <c r="E192" s="48"/>
      <c r="F192" s="48"/>
      <c r="G192" s="48"/>
      <c r="H192" s="48"/>
      <c r="I192" s="48"/>
      <c r="J192" s="48"/>
      <c r="K192" s="49"/>
      <c r="L192" s="25"/>
      <c r="M192" s="50"/>
      <c r="N192" s="10"/>
    </row>
    <row r="193" ht="13.5" customHeight="1">
      <c r="A193" s="92"/>
      <c r="B193" s="52" t="s">
        <v>84</v>
      </c>
      <c r="C193" s="53" t="s">
        <v>27</v>
      </c>
      <c r="D193" s="54"/>
      <c r="E193" s="55">
        <f t="shared" ref="E193:J193" si="52">E192-E194</f>
        <v>0</v>
      </c>
      <c r="F193" s="55">
        <f t="shared" si="52"/>
        <v>0</v>
      </c>
      <c r="G193" s="55">
        <f t="shared" si="52"/>
        <v>0</v>
      </c>
      <c r="H193" s="55">
        <f t="shared" si="52"/>
        <v>0</v>
      </c>
      <c r="I193" s="55">
        <f t="shared" si="52"/>
        <v>0</v>
      </c>
      <c r="J193" s="55">
        <f t="shared" si="52"/>
        <v>0</v>
      </c>
      <c r="K193" s="56"/>
      <c r="L193" s="30"/>
      <c r="M193" s="57" t="s">
        <v>28</v>
      </c>
      <c r="N193" s="58" t="b">
        <v>0</v>
      </c>
    </row>
    <row r="194" ht="13.5" customHeight="1">
      <c r="A194" s="46" t="s">
        <v>29</v>
      </c>
      <c r="B194" s="59"/>
      <c r="C194" s="53" t="s">
        <v>30</v>
      </c>
      <c r="D194" s="54"/>
      <c r="E194" s="60"/>
      <c r="F194" s="60"/>
      <c r="G194" s="60"/>
      <c r="H194" s="60"/>
      <c r="I194" s="60"/>
      <c r="J194" s="60"/>
      <c r="K194" s="61" t="s">
        <v>30</v>
      </c>
      <c r="L194" s="62">
        <f>(E194*E191)+(F194*F191)+(G194*G191)+(H194*H191)+(I194*I191)+(J194*J191)</f>
        <v>0</v>
      </c>
      <c r="M194" s="57" t="s">
        <v>31</v>
      </c>
      <c r="N194" s="63" t="b">
        <v>0</v>
      </c>
    </row>
    <row r="195" ht="18.0" customHeight="1">
      <c r="A195" s="64"/>
      <c r="B195" s="65" t="s">
        <v>33</v>
      </c>
      <c r="C195" s="53" t="s">
        <v>34</v>
      </c>
      <c r="D195" s="54"/>
      <c r="E195" s="66"/>
      <c r="F195" s="66"/>
      <c r="G195" s="66"/>
      <c r="H195" s="66"/>
      <c r="I195" s="66"/>
      <c r="J195" s="66"/>
      <c r="K195" s="67" t="s">
        <v>35</v>
      </c>
      <c r="L195" s="62">
        <f>(E195*E191)+(F195*F191)+(G195*G191)+(H195*H191)+(I195*I191)+(J195*J191)</f>
        <v>0</v>
      </c>
      <c r="M195" s="57" t="s">
        <v>36</v>
      </c>
      <c r="N195" s="63" t="b">
        <v>0</v>
      </c>
    </row>
    <row r="196" ht="13.5" customHeight="1">
      <c r="A196" s="68"/>
      <c r="B196" s="69" t="str">
        <f>IFS(L196=0,"",B196&lt;&gt;"",B196,TRUE,NOW())</f>
        <v/>
      </c>
      <c r="C196" s="70" t="s">
        <v>37</v>
      </c>
      <c r="D196" s="33"/>
      <c r="E196" s="71"/>
      <c r="F196" s="71"/>
      <c r="G196" s="71"/>
      <c r="H196" s="71"/>
      <c r="I196" s="71"/>
      <c r="J196" s="71"/>
      <c r="K196" s="72" t="s">
        <v>38</v>
      </c>
      <c r="L196" s="73">
        <f>L195-L194</f>
        <v>0</v>
      </c>
      <c r="M196" s="74" t="s">
        <v>39</v>
      </c>
      <c r="N196" s="75" t="b">
        <v>0</v>
      </c>
    </row>
    <row r="197" ht="13.5" customHeight="1">
      <c r="A197" s="46" t="s">
        <v>40</v>
      </c>
      <c r="B197" s="52" t="s">
        <v>84</v>
      </c>
      <c r="C197" s="53" t="s">
        <v>27</v>
      </c>
      <c r="D197" s="54"/>
      <c r="E197" s="55">
        <f t="shared" ref="E197:J197" si="53">E195-E198</f>
        <v>0</v>
      </c>
      <c r="F197" s="55">
        <f t="shared" si="53"/>
        <v>0</v>
      </c>
      <c r="G197" s="55">
        <f t="shared" si="53"/>
        <v>0</v>
      </c>
      <c r="H197" s="55">
        <f t="shared" si="53"/>
        <v>0</v>
      </c>
      <c r="I197" s="55">
        <f t="shared" si="53"/>
        <v>0</v>
      </c>
      <c r="J197" s="55">
        <f t="shared" si="53"/>
        <v>0</v>
      </c>
      <c r="K197" s="56"/>
      <c r="L197" s="30"/>
      <c r="M197" s="57" t="s">
        <v>28</v>
      </c>
      <c r="N197" s="58" t="b">
        <v>0</v>
      </c>
    </row>
    <row r="198" ht="13.5" customHeight="1">
      <c r="A198" s="64"/>
      <c r="B198" s="59"/>
      <c r="C198" s="53" t="s">
        <v>30</v>
      </c>
      <c r="D198" s="54"/>
      <c r="E198" s="60"/>
      <c r="F198" s="60"/>
      <c r="G198" s="60"/>
      <c r="H198" s="60"/>
      <c r="I198" s="60"/>
      <c r="J198" s="60"/>
      <c r="K198" s="61" t="s">
        <v>30</v>
      </c>
      <c r="L198" s="62">
        <f>(E198*E191)+(F198*F191)+(G198*G191)+(H198*H191)+(I198*I191)+(J198*J191)</f>
        <v>0</v>
      </c>
      <c r="M198" s="57" t="s">
        <v>31</v>
      </c>
      <c r="N198" s="63" t="b">
        <v>0</v>
      </c>
    </row>
    <row r="199" ht="13.5" customHeight="1">
      <c r="A199" s="68"/>
      <c r="B199" s="65" t="s">
        <v>42</v>
      </c>
      <c r="C199" s="53" t="s">
        <v>34</v>
      </c>
      <c r="D199" s="54"/>
      <c r="E199" s="66"/>
      <c r="F199" s="66"/>
      <c r="G199" s="66"/>
      <c r="H199" s="66"/>
      <c r="I199" s="66"/>
      <c r="J199" s="66"/>
      <c r="K199" s="67" t="s">
        <v>35</v>
      </c>
      <c r="L199" s="62">
        <f>(E199*E191)+(F199*F191)+(G199*G191)+(H199*H191)+(I199*I191)+(J199*J191)</f>
        <v>0</v>
      </c>
      <c r="M199" s="57" t="s">
        <v>36</v>
      </c>
      <c r="N199" s="63" t="b">
        <v>0</v>
      </c>
    </row>
    <row r="200" ht="15.0" customHeight="1">
      <c r="A200" s="46" t="s">
        <v>43</v>
      </c>
      <c r="B200" s="69" t="str">
        <f>IFS(L200=0,"",B200&lt;&gt;"",B200,TRUE,NOW())</f>
        <v/>
      </c>
      <c r="C200" s="70" t="s">
        <v>37</v>
      </c>
      <c r="D200" s="33"/>
      <c r="E200" s="71"/>
      <c r="F200" s="71"/>
      <c r="G200" s="71"/>
      <c r="H200" s="71"/>
      <c r="I200" s="71"/>
      <c r="J200" s="71"/>
      <c r="K200" s="72" t="s">
        <v>38</v>
      </c>
      <c r="L200" s="73">
        <f>L199-L198</f>
        <v>0</v>
      </c>
      <c r="M200" s="74" t="s">
        <v>39</v>
      </c>
      <c r="N200" s="75" t="b">
        <v>0</v>
      </c>
    </row>
    <row r="201" ht="13.5" customHeight="1">
      <c r="A201" s="64"/>
      <c r="B201" s="52" t="s">
        <v>84</v>
      </c>
      <c r="C201" s="53" t="s">
        <v>27</v>
      </c>
      <c r="D201" s="54"/>
      <c r="E201" s="55">
        <f t="shared" ref="E201:J201" si="54">E199-E202</f>
        <v>0</v>
      </c>
      <c r="F201" s="55">
        <f t="shared" si="54"/>
        <v>0</v>
      </c>
      <c r="G201" s="55">
        <f t="shared" si="54"/>
        <v>0</v>
      </c>
      <c r="H201" s="55">
        <f t="shared" si="54"/>
        <v>0</v>
      </c>
      <c r="I201" s="55">
        <f t="shared" si="54"/>
        <v>0</v>
      </c>
      <c r="J201" s="55">
        <f t="shared" si="54"/>
        <v>0</v>
      </c>
      <c r="K201" s="56"/>
      <c r="L201" s="30"/>
      <c r="M201" s="57" t="s">
        <v>28</v>
      </c>
      <c r="N201" s="58" t="b">
        <v>0</v>
      </c>
    </row>
    <row r="202" ht="13.5" customHeight="1">
      <c r="A202" s="46" t="s">
        <v>45</v>
      </c>
      <c r="B202" s="59"/>
      <c r="C202" s="53" t="s">
        <v>30</v>
      </c>
      <c r="D202" s="54"/>
      <c r="E202" s="60"/>
      <c r="F202" s="60"/>
      <c r="G202" s="60"/>
      <c r="H202" s="60"/>
      <c r="I202" s="60"/>
      <c r="J202" s="60"/>
      <c r="K202" s="61" t="s">
        <v>30</v>
      </c>
      <c r="L202" s="62">
        <f>(E202*E191)+(F202*F191)+(G202*G191)+(H202*H191)+(I202*I191)+(J202*J191)</f>
        <v>0</v>
      </c>
      <c r="M202" s="57" t="s">
        <v>31</v>
      </c>
      <c r="N202" s="63" t="b">
        <v>0</v>
      </c>
    </row>
    <row r="203" ht="13.5" customHeight="1">
      <c r="A203" s="77"/>
      <c r="B203" s="65" t="s">
        <v>47</v>
      </c>
      <c r="C203" s="53" t="s">
        <v>34</v>
      </c>
      <c r="D203" s="54"/>
      <c r="E203" s="66"/>
      <c r="F203" s="66"/>
      <c r="G203" s="66"/>
      <c r="H203" s="66"/>
      <c r="I203" s="66"/>
      <c r="J203" s="66"/>
      <c r="K203" s="67" t="s">
        <v>35</v>
      </c>
      <c r="L203" s="62">
        <f>(E203*E191)+(F203*F191)+(G203*G191)+(H203*H191)+(I203*I191)+(J203*J191)</f>
        <v>0</v>
      </c>
      <c r="M203" s="57" t="s">
        <v>36</v>
      </c>
      <c r="N203" s="63" t="b">
        <v>0</v>
      </c>
    </row>
    <row r="204" ht="13.5" customHeight="1">
      <c r="A204" s="68"/>
      <c r="B204" s="69" t="str">
        <f>IFS(L204=0,"",B204&lt;&gt;"",B204,TRUE,NOW())</f>
        <v/>
      </c>
      <c r="C204" s="70" t="s">
        <v>37</v>
      </c>
      <c r="D204" s="33"/>
      <c r="E204" s="71"/>
      <c r="F204" s="71"/>
      <c r="G204" s="71"/>
      <c r="H204" s="71"/>
      <c r="I204" s="71"/>
      <c r="J204" s="71"/>
      <c r="K204" s="72" t="s">
        <v>38</v>
      </c>
      <c r="L204" s="73">
        <f>L203-L202</f>
        <v>0</v>
      </c>
      <c r="M204" s="74" t="s">
        <v>39</v>
      </c>
      <c r="N204" s="75" t="b">
        <v>0</v>
      </c>
    </row>
    <row r="205" ht="13.5" customHeight="1">
      <c r="A205" s="78" t="s">
        <v>48</v>
      </c>
      <c r="B205" s="52" t="s">
        <v>84</v>
      </c>
      <c r="C205" s="53" t="s">
        <v>27</v>
      </c>
      <c r="D205" s="54"/>
      <c r="E205" s="55">
        <f t="shared" ref="E205:J205" si="55">E203-E206</f>
        <v>0</v>
      </c>
      <c r="F205" s="55">
        <f t="shared" si="55"/>
        <v>0</v>
      </c>
      <c r="G205" s="55">
        <f t="shared" si="55"/>
        <v>0</v>
      </c>
      <c r="H205" s="55">
        <f t="shared" si="55"/>
        <v>0</v>
      </c>
      <c r="I205" s="55">
        <f t="shared" si="55"/>
        <v>0</v>
      </c>
      <c r="J205" s="55">
        <f t="shared" si="55"/>
        <v>0</v>
      </c>
      <c r="K205" s="56"/>
      <c r="L205" s="30"/>
      <c r="M205" s="57" t="s">
        <v>28</v>
      </c>
      <c r="N205" s="58" t="b">
        <v>0</v>
      </c>
    </row>
    <row r="206" ht="13.5" customHeight="1">
      <c r="A206" s="87"/>
      <c r="B206" s="59"/>
      <c r="C206" s="53" t="s">
        <v>30</v>
      </c>
      <c r="D206" s="54"/>
      <c r="E206" s="60"/>
      <c r="F206" s="60"/>
      <c r="G206" s="60"/>
      <c r="H206" s="60"/>
      <c r="I206" s="60"/>
      <c r="J206" s="60"/>
      <c r="K206" s="61" t="s">
        <v>30</v>
      </c>
      <c r="L206" s="62">
        <f>(E206*E191)+(F206*F191)+(G206*G191)+(H206*H191)+(I206*I191)+(J206*J191)</f>
        <v>0</v>
      </c>
      <c r="M206" s="57" t="s">
        <v>31</v>
      </c>
      <c r="N206" s="63" t="b">
        <v>0</v>
      </c>
    </row>
    <row r="207" ht="18.0" customHeight="1">
      <c r="A207" s="68"/>
      <c r="B207" s="65" t="s">
        <v>49</v>
      </c>
      <c r="C207" s="53" t="s">
        <v>34</v>
      </c>
      <c r="D207" s="54"/>
      <c r="E207" s="66"/>
      <c r="F207" s="66"/>
      <c r="G207" s="66"/>
      <c r="H207" s="66"/>
      <c r="I207" s="66"/>
      <c r="J207" s="66"/>
      <c r="K207" s="67" t="s">
        <v>35</v>
      </c>
      <c r="L207" s="62">
        <f>(E207*E191)+(F207*F191)+(G207*G191)+(H207*H191)+(I207*I191)+(J207*J191)</f>
        <v>0</v>
      </c>
      <c r="M207" s="57" t="s">
        <v>36</v>
      </c>
      <c r="N207" s="63" t="b">
        <v>0</v>
      </c>
    </row>
    <row r="208" ht="13.5" customHeight="1">
      <c r="A208" s="80"/>
      <c r="B208" s="69" t="str">
        <f>IFS(L208=0,"",B208&lt;&gt;"",B208,TRUE,NOW())</f>
        <v/>
      </c>
      <c r="C208" s="53" t="s">
        <v>37</v>
      </c>
      <c r="D208" s="54"/>
      <c r="E208" s="81"/>
      <c r="F208" s="81"/>
      <c r="G208" s="81"/>
      <c r="H208" s="82"/>
      <c r="I208" s="81"/>
      <c r="J208" s="81"/>
      <c r="K208" s="72" t="s">
        <v>38</v>
      </c>
      <c r="L208" s="73">
        <f>L207-L206</f>
        <v>0</v>
      </c>
      <c r="M208" s="74" t="s">
        <v>39</v>
      </c>
      <c r="N208" s="75" t="b">
        <v>0</v>
      </c>
    </row>
    <row r="209" ht="13.5" customHeight="1">
      <c r="A209" s="83" t="s">
        <v>86</v>
      </c>
      <c r="B209" s="42" t="s">
        <v>20</v>
      </c>
      <c r="C209" s="24"/>
      <c r="D209" s="33"/>
      <c r="E209" s="43">
        <f t="shared" ref="E209:J209" si="56">E6</f>
        <v>17</v>
      </c>
      <c r="F209" s="43">
        <f t="shared" si="56"/>
        <v>27</v>
      </c>
      <c r="G209" s="43">
        <f t="shared" si="56"/>
        <v>27</v>
      </c>
      <c r="H209" s="43">
        <f t="shared" si="56"/>
        <v>27</v>
      </c>
      <c r="I209" s="43">
        <f t="shared" si="56"/>
        <v>32</v>
      </c>
      <c r="J209" s="44">
        <f t="shared" si="56"/>
        <v>37</v>
      </c>
      <c r="K209" s="42" t="s">
        <v>21</v>
      </c>
      <c r="L209" s="25"/>
      <c r="M209" s="45" t="s">
        <v>22</v>
      </c>
      <c r="N209" s="25"/>
    </row>
    <row r="210" ht="13.5" customHeight="1">
      <c r="A210" s="46" t="s">
        <v>23</v>
      </c>
      <c r="B210" s="47" t="s">
        <v>24</v>
      </c>
      <c r="C210" s="32" t="s">
        <v>25</v>
      </c>
      <c r="D210" s="33"/>
      <c r="E210" s="48"/>
      <c r="F210" s="48"/>
      <c r="G210" s="48"/>
      <c r="H210" s="48"/>
      <c r="I210" s="48"/>
      <c r="J210" s="48"/>
      <c r="K210" s="49"/>
      <c r="L210" s="25"/>
      <c r="M210" s="50"/>
      <c r="N210" s="10"/>
    </row>
    <row r="211" ht="13.5" customHeight="1">
      <c r="A211" s="92"/>
      <c r="B211" s="52" t="s">
        <v>87</v>
      </c>
      <c r="C211" s="53" t="s">
        <v>27</v>
      </c>
      <c r="D211" s="54"/>
      <c r="E211" s="55">
        <f t="shared" ref="E211:J211" si="57">E210-E212</f>
        <v>0</v>
      </c>
      <c r="F211" s="55">
        <f t="shared" si="57"/>
        <v>0</v>
      </c>
      <c r="G211" s="55">
        <f t="shared" si="57"/>
        <v>0</v>
      </c>
      <c r="H211" s="55">
        <f t="shared" si="57"/>
        <v>0</v>
      </c>
      <c r="I211" s="55">
        <f t="shared" si="57"/>
        <v>0</v>
      </c>
      <c r="J211" s="55">
        <f t="shared" si="57"/>
        <v>0</v>
      </c>
      <c r="K211" s="56"/>
      <c r="L211" s="30"/>
      <c r="M211" s="57" t="s">
        <v>28</v>
      </c>
      <c r="N211" s="58" t="b">
        <v>0</v>
      </c>
    </row>
    <row r="212" ht="18.0" customHeight="1">
      <c r="A212" s="46" t="s">
        <v>29</v>
      </c>
      <c r="B212" s="59"/>
      <c r="C212" s="53" t="s">
        <v>30</v>
      </c>
      <c r="D212" s="54"/>
      <c r="E212" s="60"/>
      <c r="F212" s="60"/>
      <c r="G212" s="60"/>
      <c r="H212" s="60"/>
      <c r="I212" s="60"/>
      <c r="J212" s="60"/>
      <c r="K212" s="61" t="s">
        <v>30</v>
      </c>
      <c r="L212" s="62">
        <f>(E212*E209)+(F212*F209)+(G212*G209)+(H212*H209)+(I212*I209)+(J212*J209)</f>
        <v>0</v>
      </c>
      <c r="M212" s="57" t="s">
        <v>31</v>
      </c>
      <c r="N212" s="63" t="b">
        <v>0</v>
      </c>
    </row>
    <row r="213" ht="13.5" customHeight="1">
      <c r="A213" s="64"/>
      <c r="B213" s="65" t="s">
        <v>33</v>
      </c>
      <c r="C213" s="53" t="s">
        <v>34</v>
      </c>
      <c r="D213" s="54"/>
      <c r="E213" s="66"/>
      <c r="F213" s="66"/>
      <c r="G213" s="66"/>
      <c r="H213" s="66"/>
      <c r="I213" s="66"/>
      <c r="J213" s="66"/>
      <c r="K213" s="67" t="s">
        <v>35</v>
      </c>
      <c r="L213" s="62">
        <f>(E213*E209)+(F213*F209)+(G213*G209)+(H213*H209)+(I213*I209)+(J213*J209)</f>
        <v>0</v>
      </c>
      <c r="M213" s="57" t="s">
        <v>36</v>
      </c>
      <c r="N213" s="63" t="b">
        <v>0</v>
      </c>
    </row>
    <row r="214" ht="13.5" customHeight="1">
      <c r="A214" s="68"/>
      <c r="B214" s="69" t="str">
        <f>IFS(L214=0,"",B214&lt;&gt;"",B214,TRUE,NOW())</f>
        <v/>
      </c>
      <c r="C214" s="70" t="s">
        <v>37</v>
      </c>
      <c r="D214" s="33"/>
      <c r="E214" s="71"/>
      <c r="F214" s="71"/>
      <c r="G214" s="71"/>
      <c r="H214" s="71"/>
      <c r="I214" s="71"/>
      <c r="J214" s="71"/>
      <c r="K214" s="72" t="s">
        <v>38</v>
      </c>
      <c r="L214" s="73">
        <f>L213-L212</f>
        <v>0</v>
      </c>
      <c r="M214" s="74" t="s">
        <v>39</v>
      </c>
      <c r="N214" s="75" t="b">
        <v>0</v>
      </c>
    </row>
    <row r="215" ht="13.5" customHeight="1">
      <c r="A215" s="46" t="s">
        <v>40</v>
      </c>
      <c r="B215" s="52" t="s">
        <v>87</v>
      </c>
      <c r="C215" s="53" t="s">
        <v>27</v>
      </c>
      <c r="D215" s="54"/>
      <c r="E215" s="55">
        <f t="shared" ref="E215:J215" si="58">E213-E216</f>
        <v>0</v>
      </c>
      <c r="F215" s="55">
        <f t="shared" si="58"/>
        <v>0</v>
      </c>
      <c r="G215" s="55">
        <f t="shared" si="58"/>
        <v>0</v>
      </c>
      <c r="H215" s="55">
        <f t="shared" si="58"/>
        <v>0</v>
      </c>
      <c r="I215" s="55">
        <f t="shared" si="58"/>
        <v>0</v>
      </c>
      <c r="J215" s="55">
        <f t="shared" si="58"/>
        <v>0</v>
      </c>
      <c r="K215" s="56"/>
      <c r="L215" s="30"/>
      <c r="M215" s="57" t="s">
        <v>28</v>
      </c>
      <c r="N215" s="58" t="b">
        <v>0</v>
      </c>
    </row>
    <row r="216" ht="13.5" customHeight="1">
      <c r="A216" s="64"/>
      <c r="B216" s="59"/>
      <c r="C216" s="53" t="s">
        <v>30</v>
      </c>
      <c r="D216" s="54"/>
      <c r="E216" s="60"/>
      <c r="F216" s="60"/>
      <c r="G216" s="60"/>
      <c r="H216" s="60"/>
      <c r="I216" s="60"/>
      <c r="J216" s="60"/>
      <c r="K216" s="61" t="s">
        <v>30</v>
      </c>
      <c r="L216" s="62">
        <f>(E216*E209)+(F216*F209)+(G216*G209)+(H216*H209)+(I216*I209)+(J216*J209)</f>
        <v>0</v>
      </c>
      <c r="M216" s="57" t="s">
        <v>31</v>
      </c>
      <c r="N216" s="63" t="b">
        <v>0</v>
      </c>
    </row>
    <row r="217" ht="15.0" customHeight="1">
      <c r="A217" s="68"/>
      <c r="B217" s="65" t="s">
        <v>42</v>
      </c>
      <c r="C217" s="53" t="s">
        <v>34</v>
      </c>
      <c r="D217" s="54"/>
      <c r="E217" s="66"/>
      <c r="F217" s="66"/>
      <c r="G217" s="66"/>
      <c r="H217" s="66"/>
      <c r="I217" s="66"/>
      <c r="J217" s="66"/>
      <c r="K217" s="67" t="s">
        <v>35</v>
      </c>
      <c r="L217" s="62">
        <f>(E217*E209)+(F217*F209)+(G217*G209)+(H217*H209)+(I217*I209)+(J217*J209)</f>
        <v>0</v>
      </c>
      <c r="M217" s="57" t="s">
        <v>36</v>
      </c>
      <c r="N217" s="63" t="b">
        <v>0</v>
      </c>
    </row>
    <row r="218" ht="13.5" customHeight="1">
      <c r="A218" s="46" t="s">
        <v>43</v>
      </c>
      <c r="B218" s="69" t="str">
        <f>IFS(L218=0,"",B218&lt;&gt;"",B218,TRUE,NOW())</f>
        <v/>
      </c>
      <c r="C218" s="70" t="s">
        <v>37</v>
      </c>
      <c r="D218" s="33"/>
      <c r="E218" s="71"/>
      <c r="F218" s="71"/>
      <c r="G218" s="71"/>
      <c r="H218" s="71"/>
      <c r="I218" s="71"/>
      <c r="J218" s="71"/>
      <c r="K218" s="72" t="s">
        <v>38</v>
      </c>
      <c r="L218" s="73">
        <f>L217-L216</f>
        <v>0</v>
      </c>
      <c r="M218" s="74" t="s">
        <v>39</v>
      </c>
      <c r="N218" s="75" t="b">
        <v>0</v>
      </c>
    </row>
    <row r="219" ht="13.5" customHeight="1">
      <c r="A219" s="64"/>
      <c r="B219" s="52" t="s">
        <v>87</v>
      </c>
      <c r="C219" s="53" t="s">
        <v>27</v>
      </c>
      <c r="D219" s="54"/>
      <c r="E219" s="55">
        <f t="shared" ref="E219:J219" si="59">E217-E220</f>
        <v>0</v>
      </c>
      <c r="F219" s="55">
        <f t="shared" si="59"/>
        <v>0</v>
      </c>
      <c r="G219" s="55">
        <f t="shared" si="59"/>
        <v>0</v>
      </c>
      <c r="H219" s="55">
        <f t="shared" si="59"/>
        <v>0</v>
      </c>
      <c r="I219" s="55">
        <f t="shared" si="59"/>
        <v>0</v>
      </c>
      <c r="J219" s="55">
        <f t="shared" si="59"/>
        <v>0</v>
      </c>
      <c r="K219" s="56"/>
      <c r="L219" s="30"/>
      <c r="M219" s="57" t="s">
        <v>28</v>
      </c>
      <c r="N219" s="58" t="b">
        <v>0</v>
      </c>
    </row>
    <row r="220" ht="13.5" customHeight="1">
      <c r="A220" s="46" t="s">
        <v>45</v>
      </c>
      <c r="B220" s="59"/>
      <c r="C220" s="53" t="s">
        <v>30</v>
      </c>
      <c r="D220" s="54"/>
      <c r="E220" s="60"/>
      <c r="F220" s="60"/>
      <c r="G220" s="60"/>
      <c r="H220" s="60"/>
      <c r="I220" s="60"/>
      <c r="J220" s="60"/>
      <c r="K220" s="61" t="s">
        <v>30</v>
      </c>
      <c r="L220" s="62">
        <f>(E220*E209)+(F220*F209)+(G220*G209)+(H220*H209)+(I220*I209)+(J220*J209)</f>
        <v>0</v>
      </c>
      <c r="M220" s="57" t="s">
        <v>31</v>
      </c>
      <c r="N220" s="63" t="b">
        <v>0</v>
      </c>
    </row>
    <row r="221" ht="13.5" customHeight="1">
      <c r="A221" s="77"/>
      <c r="B221" s="65" t="s">
        <v>47</v>
      </c>
      <c r="C221" s="53" t="s">
        <v>34</v>
      </c>
      <c r="D221" s="54"/>
      <c r="E221" s="66"/>
      <c r="F221" s="66"/>
      <c r="G221" s="66"/>
      <c r="H221" s="66"/>
      <c r="I221" s="66"/>
      <c r="J221" s="66"/>
      <c r="K221" s="67" t="s">
        <v>35</v>
      </c>
      <c r="L221" s="62">
        <f>(E221*E209)+(F221*F209)+(G221*G209)+(H221*H209)+(I221*I209)+(J221*J209)</f>
        <v>0</v>
      </c>
      <c r="M221" s="57" t="s">
        <v>36</v>
      </c>
      <c r="N221" s="63" t="b">
        <v>0</v>
      </c>
    </row>
    <row r="222" ht="15.0" customHeight="1">
      <c r="A222" s="68"/>
      <c r="B222" s="69" t="str">
        <f>IFS(L222=0,"",B222&lt;&gt;"",B222,TRUE,NOW())</f>
        <v/>
      </c>
      <c r="C222" s="70" t="s">
        <v>37</v>
      </c>
      <c r="D222" s="33"/>
      <c r="E222" s="71"/>
      <c r="F222" s="71"/>
      <c r="G222" s="71"/>
      <c r="H222" s="71"/>
      <c r="I222" s="71"/>
      <c r="J222" s="71"/>
      <c r="K222" s="72" t="s">
        <v>38</v>
      </c>
      <c r="L222" s="73">
        <f>L221-L220</f>
        <v>0</v>
      </c>
      <c r="M222" s="74" t="s">
        <v>39</v>
      </c>
      <c r="N222" s="75" t="b">
        <v>0</v>
      </c>
    </row>
    <row r="223" ht="13.5" customHeight="1">
      <c r="A223" s="78" t="s">
        <v>48</v>
      </c>
      <c r="B223" s="52" t="s">
        <v>87</v>
      </c>
      <c r="C223" s="53" t="s">
        <v>27</v>
      </c>
      <c r="D223" s="54"/>
      <c r="E223" s="55">
        <f t="shared" ref="E223:J223" si="60">E221-E224</f>
        <v>0</v>
      </c>
      <c r="F223" s="55">
        <f t="shared" si="60"/>
        <v>0</v>
      </c>
      <c r="G223" s="55">
        <f t="shared" si="60"/>
        <v>0</v>
      </c>
      <c r="H223" s="55">
        <f t="shared" si="60"/>
        <v>0</v>
      </c>
      <c r="I223" s="55">
        <f t="shared" si="60"/>
        <v>0</v>
      </c>
      <c r="J223" s="55">
        <f t="shared" si="60"/>
        <v>0</v>
      </c>
      <c r="K223" s="56"/>
      <c r="L223" s="30"/>
      <c r="M223" s="57" t="s">
        <v>28</v>
      </c>
      <c r="N223" s="58" t="b">
        <v>0</v>
      </c>
    </row>
    <row r="224" ht="13.5" customHeight="1">
      <c r="A224" s="87"/>
      <c r="B224" s="59"/>
      <c r="C224" s="53" t="s">
        <v>30</v>
      </c>
      <c r="D224" s="54"/>
      <c r="E224" s="60"/>
      <c r="F224" s="60"/>
      <c r="G224" s="60"/>
      <c r="H224" s="60"/>
      <c r="I224" s="60"/>
      <c r="J224" s="60"/>
      <c r="K224" s="61" t="s">
        <v>30</v>
      </c>
      <c r="L224" s="62">
        <f>(E224*E209)+(F224*F209)+(G224*G209)+(H224*H209)+(I224*I209)+(J224*J209)</f>
        <v>0</v>
      </c>
      <c r="M224" s="57" t="s">
        <v>31</v>
      </c>
      <c r="N224" s="63" t="b">
        <v>0</v>
      </c>
    </row>
    <row r="225" ht="13.5" customHeight="1">
      <c r="A225" s="68"/>
      <c r="B225" s="65" t="s">
        <v>49</v>
      </c>
      <c r="C225" s="53" t="s">
        <v>34</v>
      </c>
      <c r="D225" s="54"/>
      <c r="E225" s="66"/>
      <c r="F225" s="66"/>
      <c r="G225" s="66"/>
      <c r="H225" s="66"/>
      <c r="I225" s="66"/>
      <c r="J225" s="66"/>
      <c r="K225" s="67" t="s">
        <v>35</v>
      </c>
      <c r="L225" s="62">
        <f>(E225*E209)+(F225*F209)+(G225*G209)+(H225*H209)+(I225*I209)+(J225*J209)</f>
        <v>0</v>
      </c>
      <c r="M225" s="57" t="s">
        <v>36</v>
      </c>
      <c r="N225" s="63" t="b">
        <v>0</v>
      </c>
    </row>
    <row r="226" ht="13.5" customHeight="1">
      <c r="A226" s="80"/>
      <c r="B226" s="69" t="str">
        <f>IFS(L226=0,"",B226&lt;&gt;"",B226,TRUE,NOW())</f>
        <v/>
      </c>
      <c r="C226" s="53" t="s">
        <v>37</v>
      </c>
      <c r="D226" s="54"/>
      <c r="E226" s="81"/>
      <c r="F226" s="81"/>
      <c r="G226" s="81"/>
      <c r="H226" s="82"/>
      <c r="I226" s="81"/>
      <c r="J226" s="81"/>
      <c r="K226" s="72" t="s">
        <v>38</v>
      </c>
      <c r="L226" s="73">
        <f>L225-L224</f>
        <v>0</v>
      </c>
      <c r="M226" s="74" t="s">
        <v>39</v>
      </c>
      <c r="N226" s="75" t="b">
        <v>0</v>
      </c>
    </row>
    <row r="227" ht="13.5" customHeight="1">
      <c r="A227" s="83" t="s">
        <v>89</v>
      </c>
      <c r="B227" s="42" t="s">
        <v>20</v>
      </c>
      <c r="C227" s="24"/>
      <c r="D227" s="33"/>
      <c r="E227" s="43">
        <f t="shared" ref="E227:J227" si="61">E6</f>
        <v>17</v>
      </c>
      <c r="F227" s="43">
        <f t="shared" si="61"/>
        <v>27</v>
      </c>
      <c r="G227" s="43">
        <f t="shared" si="61"/>
        <v>27</v>
      </c>
      <c r="H227" s="43">
        <f t="shared" si="61"/>
        <v>27</v>
      </c>
      <c r="I227" s="43">
        <f t="shared" si="61"/>
        <v>32</v>
      </c>
      <c r="J227" s="44">
        <f t="shared" si="61"/>
        <v>37</v>
      </c>
      <c r="K227" s="42" t="s">
        <v>21</v>
      </c>
      <c r="L227" s="25"/>
      <c r="M227" s="45" t="s">
        <v>22</v>
      </c>
      <c r="N227" s="25"/>
    </row>
    <row r="228" ht="13.5" customHeight="1">
      <c r="A228" s="46" t="s">
        <v>23</v>
      </c>
      <c r="B228" s="47" t="s">
        <v>24</v>
      </c>
      <c r="C228" s="32" t="s">
        <v>25</v>
      </c>
      <c r="D228" s="33"/>
      <c r="E228" s="48"/>
      <c r="F228" s="48"/>
      <c r="G228" s="48"/>
      <c r="H228" s="48"/>
      <c r="I228" s="48"/>
      <c r="J228" s="48"/>
      <c r="K228" s="49"/>
      <c r="L228" s="25"/>
      <c r="M228" s="50"/>
      <c r="N228" s="10"/>
    </row>
    <row r="229" ht="15.0" customHeight="1">
      <c r="A229" s="92"/>
      <c r="B229" s="52" t="s">
        <v>90</v>
      </c>
      <c r="C229" s="53" t="s">
        <v>27</v>
      </c>
      <c r="D229" s="54"/>
      <c r="E229" s="55">
        <f t="shared" ref="E229:J229" si="62">E228-E230</f>
        <v>0</v>
      </c>
      <c r="F229" s="55">
        <f t="shared" si="62"/>
        <v>0</v>
      </c>
      <c r="G229" s="55">
        <f t="shared" si="62"/>
        <v>0</v>
      </c>
      <c r="H229" s="55">
        <f t="shared" si="62"/>
        <v>0</v>
      </c>
      <c r="I229" s="55">
        <f t="shared" si="62"/>
        <v>0</v>
      </c>
      <c r="J229" s="55">
        <f t="shared" si="62"/>
        <v>0</v>
      </c>
      <c r="K229" s="56"/>
      <c r="L229" s="30"/>
      <c r="M229" s="57" t="s">
        <v>28</v>
      </c>
      <c r="N229" s="58" t="b">
        <v>0</v>
      </c>
    </row>
    <row r="230" ht="13.5" customHeight="1">
      <c r="A230" s="46" t="s">
        <v>29</v>
      </c>
      <c r="B230" s="59"/>
      <c r="C230" s="53" t="s">
        <v>30</v>
      </c>
      <c r="D230" s="54"/>
      <c r="E230" s="60"/>
      <c r="F230" s="60"/>
      <c r="G230" s="60"/>
      <c r="H230" s="60"/>
      <c r="I230" s="60"/>
      <c r="J230" s="60"/>
      <c r="K230" s="61" t="s">
        <v>30</v>
      </c>
      <c r="L230" s="62">
        <f>(E230*E227)+(F230*F227)+(G230*G227)+(H230*H227)+(I230*I227)+(J230*J227)</f>
        <v>0</v>
      </c>
      <c r="M230" s="57" t="s">
        <v>31</v>
      </c>
      <c r="N230" s="63" t="b">
        <v>0</v>
      </c>
    </row>
    <row r="231" ht="13.5" customHeight="1">
      <c r="A231" s="64"/>
      <c r="B231" s="65" t="s">
        <v>33</v>
      </c>
      <c r="C231" s="53" t="s">
        <v>34</v>
      </c>
      <c r="D231" s="54"/>
      <c r="E231" s="66"/>
      <c r="F231" s="66"/>
      <c r="G231" s="66"/>
      <c r="H231" s="66"/>
      <c r="I231" s="66"/>
      <c r="J231" s="66"/>
      <c r="K231" s="67" t="s">
        <v>35</v>
      </c>
      <c r="L231" s="62">
        <f>(E231*E227)+(F231*F227)+(G231*G227)+(H231*H227)+(I231*I227)+(J231*J227)</f>
        <v>0</v>
      </c>
      <c r="M231" s="57" t="s">
        <v>36</v>
      </c>
      <c r="N231" s="63" t="b">
        <v>0</v>
      </c>
    </row>
    <row r="232" ht="13.5" customHeight="1">
      <c r="A232" s="68"/>
      <c r="B232" s="69" t="str">
        <f>IFS(L232=0,"",B232&lt;&gt;"",B232,TRUE,NOW())</f>
        <v/>
      </c>
      <c r="C232" s="70" t="s">
        <v>37</v>
      </c>
      <c r="D232" s="33"/>
      <c r="E232" s="71"/>
      <c r="F232" s="71"/>
      <c r="G232" s="71"/>
      <c r="H232" s="71"/>
      <c r="I232" s="71"/>
      <c r="J232" s="71"/>
      <c r="K232" s="72" t="s">
        <v>38</v>
      </c>
      <c r="L232" s="73">
        <f>L231-L230</f>
        <v>0</v>
      </c>
      <c r="M232" s="74" t="s">
        <v>39</v>
      </c>
      <c r="N232" s="75" t="b">
        <v>0</v>
      </c>
    </row>
    <row r="233" ht="13.5" customHeight="1">
      <c r="A233" s="46" t="s">
        <v>40</v>
      </c>
      <c r="B233" s="52" t="s">
        <v>90</v>
      </c>
      <c r="C233" s="53" t="s">
        <v>27</v>
      </c>
      <c r="D233" s="54"/>
      <c r="E233" s="55">
        <f t="shared" ref="E233:J233" si="63">E231-E234</f>
        <v>0</v>
      </c>
      <c r="F233" s="55">
        <f t="shared" si="63"/>
        <v>0</v>
      </c>
      <c r="G233" s="55">
        <f t="shared" si="63"/>
        <v>0</v>
      </c>
      <c r="H233" s="55">
        <f t="shared" si="63"/>
        <v>0</v>
      </c>
      <c r="I233" s="55">
        <f t="shared" si="63"/>
        <v>0</v>
      </c>
      <c r="J233" s="55">
        <f t="shared" si="63"/>
        <v>0</v>
      </c>
      <c r="K233" s="56"/>
      <c r="L233" s="30"/>
      <c r="M233" s="57" t="s">
        <v>28</v>
      </c>
      <c r="N233" s="58" t="b">
        <v>0</v>
      </c>
    </row>
    <row r="234" ht="15.0" customHeight="1">
      <c r="A234" s="64"/>
      <c r="B234" s="59"/>
      <c r="C234" s="53" t="s">
        <v>30</v>
      </c>
      <c r="D234" s="54"/>
      <c r="E234" s="60"/>
      <c r="F234" s="60"/>
      <c r="G234" s="60"/>
      <c r="H234" s="60"/>
      <c r="I234" s="60"/>
      <c r="J234" s="60"/>
      <c r="K234" s="61" t="s">
        <v>30</v>
      </c>
      <c r="L234" s="62">
        <f>(E234*E227)+(F234*F227)+(G234*G227)+(H234*H227)+(I234*I227)+(J234*J227)</f>
        <v>0</v>
      </c>
      <c r="M234" s="57" t="s">
        <v>31</v>
      </c>
      <c r="N234" s="63" t="b">
        <v>0</v>
      </c>
    </row>
    <row r="235" ht="13.5" customHeight="1">
      <c r="A235" s="68"/>
      <c r="B235" s="65" t="s">
        <v>42</v>
      </c>
      <c r="C235" s="53" t="s">
        <v>34</v>
      </c>
      <c r="D235" s="54"/>
      <c r="E235" s="66"/>
      <c r="F235" s="66"/>
      <c r="G235" s="66"/>
      <c r="H235" s="66"/>
      <c r="I235" s="66"/>
      <c r="J235" s="66"/>
      <c r="K235" s="67" t="s">
        <v>35</v>
      </c>
      <c r="L235" s="62">
        <f>(E235*E227)+(F235*F227)+(G235*G227)+(H235*H227)+(I235*I227)+(J235*J227)</f>
        <v>0</v>
      </c>
      <c r="M235" s="57" t="s">
        <v>36</v>
      </c>
      <c r="N235" s="63" t="b">
        <v>0</v>
      </c>
    </row>
    <row r="236" ht="13.5" customHeight="1">
      <c r="A236" s="46" t="s">
        <v>43</v>
      </c>
      <c r="B236" s="69" t="str">
        <f>IFS(L236=0,"",B236&lt;&gt;"",B236,TRUE,NOW())</f>
        <v/>
      </c>
      <c r="C236" s="70" t="s">
        <v>37</v>
      </c>
      <c r="D236" s="33"/>
      <c r="E236" s="71"/>
      <c r="F236" s="71"/>
      <c r="G236" s="71"/>
      <c r="H236" s="71"/>
      <c r="I236" s="71"/>
      <c r="J236" s="71"/>
      <c r="K236" s="72" t="s">
        <v>38</v>
      </c>
      <c r="L236" s="73">
        <f>L235-L234</f>
        <v>0</v>
      </c>
      <c r="M236" s="74" t="s">
        <v>39</v>
      </c>
      <c r="N236" s="75" t="b">
        <v>0</v>
      </c>
    </row>
    <row r="237" ht="13.5" customHeight="1">
      <c r="A237" s="64"/>
      <c r="B237" s="52" t="s">
        <v>90</v>
      </c>
      <c r="C237" s="53" t="s">
        <v>27</v>
      </c>
      <c r="D237" s="54"/>
      <c r="E237" s="55">
        <f t="shared" ref="E237:J237" si="64">E235-E238</f>
        <v>0</v>
      </c>
      <c r="F237" s="55">
        <f t="shared" si="64"/>
        <v>0</v>
      </c>
      <c r="G237" s="55">
        <f t="shared" si="64"/>
        <v>0</v>
      </c>
      <c r="H237" s="55">
        <f t="shared" si="64"/>
        <v>0</v>
      </c>
      <c r="I237" s="55">
        <f t="shared" si="64"/>
        <v>0</v>
      </c>
      <c r="J237" s="55">
        <f t="shared" si="64"/>
        <v>0</v>
      </c>
      <c r="K237" s="56"/>
      <c r="L237" s="30"/>
      <c r="M237" s="57" t="s">
        <v>28</v>
      </c>
      <c r="N237" s="58" t="b">
        <v>0</v>
      </c>
    </row>
    <row r="238" ht="13.5" customHeight="1">
      <c r="A238" s="46" t="s">
        <v>45</v>
      </c>
      <c r="B238" s="59"/>
      <c r="C238" s="53" t="s">
        <v>30</v>
      </c>
      <c r="D238" s="54"/>
      <c r="E238" s="60"/>
      <c r="F238" s="60"/>
      <c r="G238" s="60"/>
      <c r="H238" s="60"/>
      <c r="I238" s="60"/>
      <c r="J238" s="60"/>
      <c r="K238" s="61" t="s">
        <v>30</v>
      </c>
      <c r="L238" s="62">
        <f>(E238*E227)+(F238*F227)+(G238*G227)+(H238*H227)+(I238*I227)+(J238*J227)</f>
        <v>0</v>
      </c>
      <c r="M238" s="57" t="s">
        <v>31</v>
      </c>
      <c r="N238" s="63" t="b">
        <v>0</v>
      </c>
    </row>
    <row r="239" ht="15.0" customHeight="1">
      <c r="A239" s="77"/>
      <c r="B239" s="65" t="s">
        <v>47</v>
      </c>
      <c r="C239" s="53" t="s">
        <v>34</v>
      </c>
      <c r="D239" s="54"/>
      <c r="E239" s="66"/>
      <c r="F239" s="66"/>
      <c r="G239" s="66"/>
      <c r="H239" s="66"/>
      <c r="I239" s="66"/>
      <c r="J239" s="66"/>
      <c r="K239" s="67" t="s">
        <v>35</v>
      </c>
      <c r="L239" s="62">
        <f>(E239*E227)+(F239*F227)+(G239*G227)+(H239*H227)+(I239*I227)+(J239*J227)</f>
        <v>0</v>
      </c>
      <c r="M239" s="57" t="s">
        <v>36</v>
      </c>
      <c r="N239" s="63" t="b">
        <v>0</v>
      </c>
    </row>
    <row r="240" ht="13.5" customHeight="1">
      <c r="A240" s="68"/>
      <c r="B240" s="69" t="str">
        <f>IFS(L240=0,"",B240&lt;&gt;"",B240,TRUE,NOW())</f>
        <v/>
      </c>
      <c r="C240" s="70" t="s">
        <v>37</v>
      </c>
      <c r="D240" s="33"/>
      <c r="E240" s="71"/>
      <c r="F240" s="71"/>
      <c r="G240" s="71"/>
      <c r="H240" s="71"/>
      <c r="I240" s="71"/>
      <c r="J240" s="71"/>
      <c r="K240" s="72" t="s">
        <v>38</v>
      </c>
      <c r="L240" s="73">
        <f>L239-L238</f>
        <v>0</v>
      </c>
      <c r="M240" s="74" t="s">
        <v>39</v>
      </c>
      <c r="N240" s="75" t="b">
        <v>0</v>
      </c>
    </row>
    <row r="241" ht="13.5" customHeight="1">
      <c r="A241" s="78" t="s">
        <v>48</v>
      </c>
      <c r="B241" s="52" t="s">
        <v>90</v>
      </c>
      <c r="C241" s="53" t="s">
        <v>27</v>
      </c>
      <c r="D241" s="54"/>
      <c r="E241" s="55">
        <f t="shared" ref="E241:J241" si="65">E239-E242</f>
        <v>0</v>
      </c>
      <c r="F241" s="55">
        <f t="shared" si="65"/>
        <v>0</v>
      </c>
      <c r="G241" s="55">
        <f t="shared" si="65"/>
        <v>0</v>
      </c>
      <c r="H241" s="55">
        <f t="shared" si="65"/>
        <v>0</v>
      </c>
      <c r="I241" s="55">
        <f t="shared" si="65"/>
        <v>0</v>
      </c>
      <c r="J241" s="55">
        <f t="shared" si="65"/>
        <v>0</v>
      </c>
      <c r="K241" s="56"/>
      <c r="L241" s="30"/>
      <c r="M241" s="57" t="s">
        <v>28</v>
      </c>
      <c r="N241" s="58" t="b">
        <v>0</v>
      </c>
    </row>
    <row r="242" ht="13.5" customHeight="1">
      <c r="A242" s="87"/>
      <c r="B242" s="59"/>
      <c r="C242" s="53" t="s">
        <v>30</v>
      </c>
      <c r="D242" s="54"/>
      <c r="E242" s="60"/>
      <c r="F242" s="60"/>
      <c r="G242" s="60"/>
      <c r="H242" s="60"/>
      <c r="I242" s="60"/>
      <c r="J242" s="60"/>
      <c r="K242" s="61" t="s">
        <v>30</v>
      </c>
      <c r="L242" s="62">
        <f>(E242*E227)+(F242*F227)+(G242*G227)+(H242*H227)+(I242*I227)+(J242*J227)</f>
        <v>0</v>
      </c>
      <c r="M242" s="57" t="s">
        <v>31</v>
      </c>
      <c r="N242" s="63" t="b">
        <v>0</v>
      </c>
    </row>
    <row r="243" ht="13.5" customHeight="1">
      <c r="A243" s="68"/>
      <c r="B243" s="65" t="s">
        <v>49</v>
      </c>
      <c r="C243" s="53" t="s">
        <v>34</v>
      </c>
      <c r="D243" s="54"/>
      <c r="E243" s="66"/>
      <c r="F243" s="66"/>
      <c r="G243" s="66"/>
      <c r="H243" s="66"/>
      <c r="I243" s="66"/>
      <c r="J243" s="66"/>
      <c r="K243" s="67" t="s">
        <v>35</v>
      </c>
      <c r="L243" s="62">
        <f>(E243*E227)+(F243*F227)+(G243*G227)+(H243*H227)+(I243*I227)+(J243*J227)</f>
        <v>0</v>
      </c>
      <c r="M243" s="57" t="s">
        <v>36</v>
      </c>
      <c r="N243" s="63" t="b">
        <v>0</v>
      </c>
    </row>
    <row r="244" ht="15.0" customHeight="1">
      <c r="A244" s="80"/>
      <c r="B244" s="69" t="str">
        <f>IFS(L244=0,"",B244&lt;&gt;"",B244,TRUE,NOW())</f>
        <v/>
      </c>
      <c r="C244" s="53" t="s">
        <v>37</v>
      </c>
      <c r="D244" s="54"/>
      <c r="E244" s="81"/>
      <c r="F244" s="81"/>
      <c r="G244" s="81"/>
      <c r="H244" s="82"/>
      <c r="I244" s="81"/>
      <c r="J244" s="81"/>
      <c r="K244" s="72" t="s">
        <v>38</v>
      </c>
      <c r="L244" s="73">
        <f>L243-L242</f>
        <v>0</v>
      </c>
      <c r="M244" s="74" t="s">
        <v>39</v>
      </c>
      <c r="N244" s="75" t="b">
        <v>0</v>
      </c>
    </row>
    <row r="245" ht="13.5" customHeight="1">
      <c r="A245" s="83" t="s">
        <v>92</v>
      </c>
      <c r="B245" s="42" t="s">
        <v>20</v>
      </c>
      <c r="C245" s="24"/>
      <c r="D245" s="33"/>
      <c r="E245" s="43">
        <f t="shared" ref="E245:J245" si="66">E6</f>
        <v>17</v>
      </c>
      <c r="F245" s="43">
        <f t="shared" si="66"/>
        <v>27</v>
      </c>
      <c r="G245" s="43">
        <f t="shared" si="66"/>
        <v>27</v>
      </c>
      <c r="H245" s="43">
        <f t="shared" si="66"/>
        <v>27</v>
      </c>
      <c r="I245" s="43">
        <f t="shared" si="66"/>
        <v>32</v>
      </c>
      <c r="J245" s="44">
        <f t="shared" si="66"/>
        <v>37</v>
      </c>
      <c r="K245" s="42" t="s">
        <v>21</v>
      </c>
      <c r="L245" s="25"/>
      <c r="M245" s="45" t="s">
        <v>22</v>
      </c>
      <c r="N245" s="25"/>
    </row>
    <row r="246" ht="13.5" customHeight="1">
      <c r="A246" s="46" t="s">
        <v>23</v>
      </c>
      <c r="B246" s="47" t="s">
        <v>24</v>
      </c>
      <c r="C246" s="32" t="s">
        <v>25</v>
      </c>
      <c r="D246" s="33"/>
      <c r="E246" s="48"/>
      <c r="F246" s="48"/>
      <c r="G246" s="48"/>
      <c r="H246" s="48"/>
      <c r="I246" s="48"/>
      <c r="J246" s="48"/>
      <c r="K246" s="49"/>
      <c r="L246" s="25"/>
      <c r="M246" s="50"/>
      <c r="N246" s="10"/>
    </row>
    <row r="247" ht="13.5" customHeight="1">
      <c r="A247" s="92"/>
      <c r="B247" s="52" t="s">
        <v>93</v>
      </c>
      <c r="C247" s="53" t="s">
        <v>27</v>
      </c>
      <c r="D247" s="54"/>
      <c r="E247" s="55">
        <f t="shared" ref="E247:J247" si="67">E246-E248</f>
        <v>0</v>
      </c>
      <c r="F247" s="55">
        <f t="shared" si="67"/>
        <v>0</v>
      </c>
      <c r="G247" s="55">
        <f t="shared" si="67"/>
        <v>0</v>
      </c>
      <c r="H247" s="55">
        <f t="shared" si="67"/>
        <v>0</v>
      </c>
      <c r="I247" s="55">
        <f t="shared" si="67"/>
        <v>0</v>
      </c>
      <c r="J247" s="55">
        <f t="shared" si="67"/>
        <v>0</v>
      </c>
      <c r="K247" s="56"/>
      <c r="L247" s="30"/>
      <c r="M247" s="57" t="s">
        <v>28</v>
      </c>
      <c r="N247" s="58" t="b">
        <v>0</v>
      </c>
    </row>
    <row r="248" ht="13.5" customHeight="1">
      <c r="A248" s="46" t="s">
        <v>29</v>
      </c>
      <c r="B248" s="59"/>
      <c r="C248" s="53" t="s">
        <v>30</v>
      </c>
      <c r="D248" s="54"/>
      <c r="E248" s="60"/>
      <c r="F248" s="60"/>
      <c r="G248" s="60"/>
      <c r="H248" s="60"/>
      <c r="I248" s="60"/>
      <c r="J248" s="60"/>
      <c r="K248" s="61" t="s">
        <v>30</v>
      </c>
      <c r="L248" s="62">
        <f>(E248*E245)+(F248*F245)+(G248*G245)+(H248*H245)+(I248*I245)+(J248*J245)</f>
        <v>0</v>
      </c>
      <c r="M248" s="57" t="s">
        <v>31</v>
      </c>
      <c r="N248" s="63" t="b">
        <v>0</v>
      </c>
    </row>
    <row r="249" ht="13.5" customHeight="1">
      <c r="A249" s="64"/>
      <c r="B249" s="65" t="s">
        <v>33</v>
      </c>
      <c r="C249" s="53" t="s">
        <v>34</v>
      </c>
      <c r="D249" s="54"/>
      <c r="E249" s="66"/>
      <c r="F249" s="66"/>
      <c r="G249" s="66"/>
      <c r="H249" s="66"/>
      <c r="I249" s="66"/>
      <c r="J249" s="66"/>
      <c r="K249" s="67" t="s">
        <v>35</v>
      </c>
      <c r="L249" s="62">
        <f>(E249*E245)+(F249*F245)+(G249*G245)+(H249*H245)+(I249*I245)+(J249*J245)</f>
        <v>0</v>
      </c>
      <c r="M249" s="57" t="s">
        <v>36</v>
      </c>
      <c r="N249" s="63" t="b">
        <v>0</v>
      </c>
    </row>
    <row r="250" ht="13.5" customHeight="1">
      <c r="A250" s="68"/>
      <c r="B250" s="69" t="str">
        <f>IFS(L250=0,"",B250&lt;&gt;"",B250,TRUE,NOW())</f>
        <v/>
      </c>
      <c r="C250" s="70" t="s">
        <v>37</v>
      </c>
      <c r="D250" s="33"/>
      <c r="E250" s="71"/>
      <c r="F250" s="71"/>
      <c r="G250" s="71"/>
      <c r="H250" s="71"/>
      <c r="I250" s="71"/>
      <c r="J250" s="71"/>
      <c r="K250" s="72" t="s">
        <v>38</v>
      </c>
      <c r="L250" s="73">
        <f>L249-L248</f>
        <v>0</v>
      </c>
      <c r="M250" s="74" t="s">
        <v>39</v>
      </c>
      <c r="N250" s="75" t="b">
        <v>0</v>
      </c>
    </row>
    <row r="251" ht="15.0" customHeight="1">
      <c r="A251" s="46" t="s">
        <v>40</v>
      </c>
      <c r="B251" s="52" t="s">
        <v>93</v>
      </c>
      <c r="C251" s="53" t="s">
        <v>27</v>
      </c>
      <c r="D251" s="54"/>
      <c r="E251" s="55">
        <f t="shared" ref="E251:J251" si="68">E249-E252</f>
        <v>0</v>
      </c>
      <c r="F251" s="55">
        <f t="shared" si="68"/>
        <v>0</v>
      </c>
      <c r="G251" s="55">
        <f t="shared" si="68"/>
        <v>0</v>
      </c>
      <c r="H251" s="55">
        <f t="shared" si="68"/>
        <v>0</v>
      </c>
      <c r="I251" s="55">
        <f t="shared" si="68"/>
        <v>0</v>
      </c>
      <c r="J251" s="55">
        <f t="shared" si="68"/>
        <v>0</v>
      </c>
      <c r="K251" s="56"/>
      <c r="L251" s="30"/>
      <c r="M251" s="57" t="s">
        <v>28</v>
      </c>
      <c r="N251" s="58" t="b">
        <v>0</v>
      </c>
    </row>
    <row r="252" ht="13.5" customHeight="1">
      <c r="A252" s="64"/>
      <c r="B252" s="59"/>
      <c r="C252" s="53" t="s">
        <v>30</v>
      </c>
      <c r="D252" s="54"/>
      <c r="E252" s="60"/>
      <c r="F252" s="60"/>
      <c r="G252" s="60"/>
      <c r="H252" s="60"/>
      <c r="I252" s="60"/>
      <c r="J252" s="60"/>
      <c r="K252" s="61" t="s">
        <v>30</v>
      </c>
      <c r="L252" s="62">
        <f>(E252*E245)+(F252*F245)+(G252*G245)+(H252*H245)+(I252*I245)+(J252*J245)</f>
        <v>0</v>
      </c>
      <c r="M252" s="57" t="s">
        <v>31</v>
      </c>
      <c r="N252" s="63" t="b">
        <v>0</v>
      </c>
    </row>
    <row r="253" ht="13.5" customHeight="1">
      <c r="A253" s="68"/>
      <c r="B253" s="65" t="s">
        <v>42</v>
      </c>
      <c r="C253" s="53" t="s">
        <v>34</v>
      </c>
      <c r="D253" s="54"/>
      <c r="E253" s="66"/>
      <c r="F253" s="76"/>
      <c r="G253" s="76"/>
      <c r="H253" s="76"/>
      <c r="I253" s="76"/>
      <c r="J253" s="76"/>
      <c r="K253" s="67" t="s">
        <v>35</v>
      </c>
      <c r="L253" s="62">
        <f>(E253*E245)+(F253*F245)+(G253*G245)+(H253*H245)+(I253*I245)+(J253*J245)</f>
        <v>0</v>
      </c>
      <c r="M253" s="57" t="s">
        <v>36</v>
      </c>
      <c r="N253" s="63" t="b">
        <v>0</v>
      </c>
    </row>
    <row r="254" ht="13.5" customHeight="1">
      <c r="A254" s="46" t="s">
        <v>43</v>
      </c>
      <c r="B254" s="69" t="str">
        <f>IFS(L254=0,"",B254&lt;&gt;"",B254,TRUE,NOW())</f>
        <v/>
      </c>
      <c r="C254" s="70" t="s">
        <v>37</v>
      </c>
      <c r="D254" s="33"/>
      <c r="E254" s="71"/>
      <c r="F254" s="71"/>
      <c r="G254" s="71"/>
      <c r="H254" s="71"/>
      <c r="I254" s="71"/>
      <c r="J254" s="71"/>
      <c r="K254" s="72" t="s">
        <v>38</v>
      </c>
      <c r="L254" s="73">
        <f>L253-L252</f>
        <v>0</v>
      </c>
      <c r="M254" s="74" t="s">
        <v>39</v>
      </c>
      <c r="N254" s="75" t="b">
        <v>0</v>
      </c>
    </row>
    <row r="255" ht="13.5" customHeight="1">
      <c r="A255" s="64"/>
      <c r="B255" s="52" t="s">
        <v>93</v>
      </c>
      <c r="C255" s="53" t="s">
        <v>27</v>
      </c>
      <c r="D255" s="54"/>
      <c r="E255" s="55">
        <f t="shared" ref="E255:J255" si="69">E253-E256</f>
        <v>0</v>
      </c>
      <c r="F255" s="55">
        <f t="shared" si="69"/>
        <v>0</v>
      </c>
      <c r="G255" s="55">
        <f t="shared" si="69"/>
        <v>0</v>
      </c>
      <c r="H255" s="55">
        <f t="shared" si="69"/>
        <v>0</v>
      </c>
      <c r="I255" s="55">
        <f t="shared" si="69"/>
        <v>0</v>
      </c>
      <c r="J255" s="55">
        <f t="shared" si="69"/>
        <v>0</v>
      </c>
      <c r="K255" s="56"/>
      <c r="L255" s="30"/>
      <c r="M255" s="57" t="s">
        <v>28</v>
      </c>
      <c r="N255" s="58" t="b">
        <v>0</v>
      </c>
    </row>
    <row r="256" ht="15.0" customHeight="1">
      <c r="A256" s="46" t="s">
        <v>45</v>
      </c>
      <c r="B256" s="59"/>
      <c r="C256" s="53" t="s">
        <v>30</v>
      </c>
      <c r="D256" s="54"/>
      <c r="E256" s="60"/>
      <c r="F256" s="60"/>
      <c r="G256" s="60"/>
      <c r="H256" s="60"/>
      <c r="I256" s="60"/>
      <c r="J256" s="60"/>
      <c r="K256" s="61" t="s">
        <v>30</v>
      </c>
      <c r="L256" s="62">
        <f>(E256*E245)+(F256*F245)+(G256*G245)+(H256*H245)+(I256*I245)+(J256*J245)</f>
        <v>0</v>
      </c>
      <c r="M256" s="57" t="s">
        <v>31</v>
      </c>
      <c r="N256" s="63" t="b">
        <v>0</v>
      </c>
    </row>
    <row r="257" ht="13.5" customHeight="1">
      <c r="A257" s="77"/>
      <c r="B257" s="65" t="s">
        <v>47</v>
      </c>
      <c r="C257" s="53" t="s">
        <v>34</v>
      </c>
      <c r="D257" s="54"/>
      <c r="E257" s="66"/>
      <c r="F257" s="66"/>
      <c r="G257" s="66"/>
      <c r="H257" s="66"/>
      <c r="I257" s="66"/>
      <c r="J257" s="66"/>
      <c r="K257" s="67" t="s">
        <v>35</v>
      </c>
      <c r="L257" s="62">
        <f>(E257*E245)+(F257*F245)+(G257*G245)+(H257*H245)+(I257*I245)+(J257*J245)</f>
        <v>0</v>
      </c>
      <c r="M257" s="57" t="s">
        <v>36</v>
      </c>
      <c r="N257" s="63" t="b">
        <v>0</v>
      </c>
    </row>
    <row r="258" ht="13.5" customHeight="1">
      <c r="A258" s="68"/>
      <c r="B258" s="69" t="str">
        <f>IFS(L258=0,"",B258&lt;&gt;"",B258,TRUE,NOW())</f>
        <v/>
      </c>
      <c r="C258" s="70" t="s">
        <v>37</v>
      </c>
      <c r="D258" s="33"/>
      <c r="E258" s="71"/>
      <c r="F258" s="71"/>
      <c r="G258" s="71"/>
      <c r="H258" s="71"/>
      <c r="I258" s="71"/>
      <c r="J258" s="71"/>
      <c r="K258" s="72" t="s">
        <v>38</v>
      </c>
      <c r="L258" s="73">
        <f>L257-L256</f>
        <v>0</v>
      </c>
      <c r="M258" s="74" t="s">
        <v>39</v>
      </c>
      <c r="N258" s="75" t="b">
        <v>0</v>
      </c>
    </row>
    <row r="259" ht="13.5" customHeight="1">
      <c r="A259" s="78" t="s">
        <v>48</v>
      </c>
      <c r="B259" s="52" t="s">
        <v>93</v>
      </c>
      <c r="C259" s="53" t="s">
        <v>27</v>
      </c>
      <c r="D259" s="54"/>
      <c r="E259" s="55">
        <f t="shared" ref="E259:J259" si="70">E257-E260</f>
        <v>0</v>
      </c>
      <c r="F259" s="55">
        <f t="shared" si="70"/>
        <v>0</v>
      </c>
      <c r="G259" s="55">
        <f t="shared" si="70"/>
        <v>0</v>
      </c>
      <c r="H259" s="55">
        <f t="shared" si="70"/>
        <v>0</v>
      </c>
      <c r="I259" s="55">
        <f t="shared" si="70"/>
        <v>0</v>
      </c>
      <c r="J259" s="55">
        <f t="shared" si="70"/>
        <v>0</v>
      </c>
      <c r="K259" s="56"/>
      <c r="L259" s="30"/>
      <c r="M259" s="57" t="s">
        <v>28</v>
      </c>
      <c r="N259" s="58" t="b">
        <v>0</v>
      </c>
    </row>
    <row r="260" ht="13.5" customHeight="1">
      <c r="A260" s="87"/>
      <c r="B260" s="59"/>
      <c r="C260" s="53" t="s">
        <v>30</v>
      </c>
      <c r="D260" s="54"/>
      <c r="E260" s="60"/>
      <c r="F260" s="60"/>
      <c r="G260" s="60"/>
      <c r="H260" s="60"/>
      <c r="I260" s="60"/>
      <c r="J260" s="60"/>
      <c r="K260" s="61" t="s">
        <v>30</v>
      </c>
      <c r="L260" s="62">
        <f>(E260*E245)+(F260*F245)+(G260*G245)+(H260*H245)+(I260*I245)+(J260*J245)</f>
        <v>0</v>
      </c>
      <c r="M260" s="57" t="s">
        <v>31</v>
      </c>
      <c r="N260" s="63" t="b">
        <v>0</v>
      </c>
    </row>
    <row r="261" ht="15.0" customHeight="1">
      <c r="A261" s="68"/>
      <c r="B261" s="65" t="s">
        <v>49</v>
      </c>
      <c r="C261" s="53" t="s">
        <v>34</v>
      </c>
      <c r="D261" s="54"/>
      <c r="E261" s="66"/>
      <c r="F261" s="66"/>
      <c r="G261" s="66"/>
      <c r="H261" s="66"/>
      <c r="I261" s="66"/>
      <c r="J261" s="66"/>
      <c r="K261" s="67" t="s">
        <v>35</v>
      </c>
      <c r="L261" s="62">
        <f>(E261*E245)+(F261*F245)+(G261*G245)+(H261*H245)+(I261*I245)+(J261*J245)</f>
        <v>0</v>
      </c>
      <c r="M261" s="57" t="s">
        <v>36</v>
      </c>
      <c r="N261" s="63" t="b">
        <v>0</v>
      </c>
    </row>
    <row r="262" ht="13.5" customHeight="1">
      <c r="A262" s="80"/>
      <c r="B262" s="69" t="str">
        <f>IFS(L262=0,"",B262&lt;&gt;"",B262,TRUE,NOW())</f>
        <v/>
      </c>
      <c r="C262" s="86" t="s">
        <v>37</v>
      </c>
      <c r="D262" s="59"/>
      <c r="E262" s="81"/>
      <c r="F262" s="81"/>
      <c r="G262" s="81"/>
      <c r="H262" s="82"/>
      <c r="I262" s="81"/>
      <c r="J262" s="81"/>
      <c r="K262" s="72" t="s">
        <v>38</v>
      </c>
      <c r="L262" s="73">
        <f>L261-L260</f>
        <v>0</v>
      </c>
      <c r="M262" s="74" t="s">
        <v>39</v>
      </c>
      <c r="N262" s="75" t="b">
        <v>0</v>
      </c>
    </row>
    <row r="263" ht="13.5" customHeight="1">
      <c r="A263" s="83" t="s">
        <v>95</v>
      </c>
      <c r="B263" s="42" t="s">
        <v>20</v>
      </c>
      <c r="C263" s="24"/>
      <c r="D263" s="33"/>
      <c r="E263" s="43">
        <f t="shared" ref="E263:J263" si="71">E6</f>
        <v>17</v>
      </c>
      <c r="F263" s="43">
        <f t="shared" si="71"/>
        <v>27</v>
      </c>
      <c r="G263" s="43">
        <f t="shared" si="71"/>
        <v>27</v>
      </c>
      <c r="H263" s="43">
        <f t="shared" si="71"/>
        <v>27</v>
      </c>
      <c r="I263" s="43">
        <f t="shared" si="71"/>
        <v>32</v>
      </c>
      <c r="J263" s="44">
        <f t="shared" si="71"/>
        <v>37</v>
      </c>
      <c r="K263" s="42" t="s">
        <v>21</v>
      </c>
      <c r="L263" s="25"/>
      <c r="M263" s="45" t="s">
        <v>22</v>
      </c>
      <c r="N263" s="25"/>
    </row>
    <row r="264" ht="13.5" customHeight="1">
      <c r="A264" s="46" t="s">
        <v>23</v>
      </c>
      <c r="B264" s="47" t="s">
        <v>24</v>
      </c>
      <c r="C264" s="32" t="s">
        <v>25</v>
      </c>
      <c r="D264" s="33"/>
      <c r="E264" s="48"/>
      <c r="F264" s="48"/>
      <c r="G264" s="48"/>
      <c r="H264" s="48"/>
      <c r="I264" s="48"/>
      <c r="J264" s="48"/>
      <c r="K264" s="49"/>
      <c r="L264" s="25"/>
      <c r="M264" s="50"/>
      <c r="N264" s="10"/>
    </row>
    <row r="265" ht="13.5" customHeight="1">
      <c r="A265" s="92"/>
      <c r="B265" s="52" t="s">
        <v>96</v>
      </c>
      <c r="C265" s="53" t="s">
        <v>27</v>
      </c>
      <c r="D265" s="54"/>
      <c r="E265" s="55">
        <f t="shared" ref="E265:J265" si="72">E264-E266</f>
        <v>0</v>
      </c>
      <c r="F265" s="55">
        <f t="shared" si="72"/>
        <v>0</v>
      </c>
      <c r="G265" s="55">
        <f t="shared" si="72"/>
        <v>0</v>
      </c>
      <c r="H265" s="55">
        <f t="shared" si="72"/>
        <v>0</v>
      </c>
      <c r="I265" s="55">
        <f t="shared" si="72"/>
        <v>0</v>
      </c>
      <c r="J265" s="55">
        <f t="shared" si="72"/>
        <v>0</v>
      </c>
      <c r="K265" s="56"/>
      <c r="L265" s="30"/>
      <c r="M265" s="57" t="s">
        <v>28</v>
      </c>
      <c r="N265" s="58" t="b">
        <v>0</v>
      </c>
    </row>
    <row r="266" ht="15.0" customHeight="1">
      <c r="A266" s="46" t="s">
        <v>29</v>
      </c>
      <c r="B266" s="59"/>
      <c r="C266" s="53" t="s">
        <v>30</v>
      </c>
      <c r="D266" s="54"/>
      <c r="E266" s="60"/>
      <c r="F266" s="60"/>
      <c r="G266" s="60"/>
      <c r="H266" s="60"/>
      <c r="I266" s="60"/>
      <c r="J266" s="60"/>
      <c r="K266" s="61" t="s">
        <v>30</v>
      </c>
      <c r="L266" s="62">
        <f>(E266*E263)+(F266*F263)+(G266*G263)+(H266*H263)+(I266*I263)+(J266*J263)</f>
        <v>0</v>
      </c>
      <c r="M266" s="57" t="s">
        <v>31</v>
      </c>
      <c r="N266" s="63" t="b">
        <v>0</v>
      </c>
    </row>
    <row r="267" ht="13.5" customHeight="1">
      <c r="A267" s="64"/>
      <c r="B267" s="65" t="s">
        <v>33</v>
      </c>
      <c r="C267" s="53" t="s">
        <v>34</v>
      </c>
      <c r="D267" s="54"/>
      <c r="E267" s="66"/>
      <c r="F267" s="66"/>
      <c r="G267" s="66"/>
      <c r="H267" s="66"/>
      <c r="I267" s="66"/>
      <c r="J267" s="66"/>
      <c r="K267" s="67" t="s">
        <v>35</v>
      </c>
      <c r="L267" s="62">
        <f>(E267*E263)+(F267*F263)+(G267*G263)+(H267*H263)+(I267*I263)+(J267*J263)</f>
        <v>0</v>
      </c>
      <c r="M267" s="57" t="s">
        <v>36</v>
      </c>
      <c r="N267" s="63" t="b">
        <v>0</v>
      </c>
    </row>
    <row r="268" ht="13.5" customHeight="1">
      <c r="A268" s="68"/>
      <c r="B268" s="69" t="str">
        <f>IFS(L268=0,"",B268&lt;&gt;"",B268,TRUE,NOW())</f>
        <v/>
      </c>
      <c r="C268" s="70" t="s">
        <v>37</v>
      </c>
      <c r="D268" s="33"/>
      <c r="E268" s="71"/>
      <c r="F268" s="71"/>
      <c r="G268" s="71"/>
      <c r="H268" s="71"/>
      <c r="I268" s="71"/>
      <c r="J268" s="71"/>
      <c r="K268" s="72" t="s">
        <v>38</v>
      </c>
      <c r="L268" s="73">
        <f>L267-L266</f>
        <v>0</v>
      </c>
      <c r="M268" s="74" t="s">
        <v>39</v>
      </c>
      <c r="N268" s="75" t="b">
        <v>0</v>
      </c>
    </row>
    <row r="269" ht="13.5" customHeight="1">
      <c r="A269" s="46" t="s">
        <v>40</v>
      </c>
      <c r="B269" s="52" t="s">
        <v>96</v>
      </c>
      <c r="C269" s="53" t="s">
        <v>27</v>
      </c>
      <c r="D269" s="54"/>
      <c r="E269" s="55">
        <f t="shared" ref="E269:J269" si="73">E267-E270</f>
        <v>0</v>
      </c>
      <c r="F269" s="55">
        <f t="shared" si="73"/>
        <v>0</v>
      </c>
      <c r="G269" s="55">
        <f t="shared" si="73"/>
        <v>0</v>
      </c>
      <c r="H269" s="55">
        <f t="shared" si="73"/>
        <v>0</v>
      </c>
      <c r="I269" s="55">
        <f t="shared" si="73"/>
        <v>0</v>
      </c>
      <c r="J269" s="55">
        <f t="shared" si="73"/>
        <v>0</v>
      </c>
      <c r="K269" s="56"/>
      <c r="L269" s="30"/>
      <c r="M269" s="57" t="s">
        <v>28</v>
      </c>
      <c r="N269" s="58" t="b">
        <v>0</v>
      </c>
    </row>
    <row r="270" ht="13.5" customHeight="1">
      <c r="A270" s="64"/>
      <c r="B270" s="59"/>
      <c r="C270" s="53" t="s">
        <v>30</v>
      </c>
      <c r="D270" s="54"/>
      <c r="E270" s="60"/>
      <c r="F270" s="60"/>
      <c r="G270" s="60"/>
      <c r="H270" s="60"/>
      <c r="I270" s="60"/>
      <c r="J270" s="60"/>
      <c r="K270" s="61" t="s">
        <v>30</v>
      </c>
      <c r="L270" s="62">
        <f>(E270*E263)+(F270*F263)+(G270*G263)+(H270*H263)+(I270*I263)+(J270*J263)</f>
        <v>0</v>
      </c>
      <c r="M270" s="57" t="s">
        <v>31</v>
      </c>
      <c r="N270" s="63" t="b">
        <v>0</v>
      </c>
    </row>
    <row r="271" ht="13.5" customHeight="1">
      <c r="A271" s="68"/>
      <c r="B271" s="65" t="s">
        <v>42</v>
      </c>
      <c r="C271" s="53" t="s">
        <v>34</v>
      </c>
      <c r="D271" s="54"/>
      <c r="E271" s="66"/>
      <c r="F271" s="76"/>
      <c r="G271" s="76"/>
      <c r="H271" s="76"/>
      <c r="I271" s="76"/>
      <c r="J271" s="76"/>
      <c r="K271" s="67" t="s">
        <v>35</v>
      </c>
      <c r="L271" s="62">
        <f>(E271*E263)+(F271*F263)+(G271*G263)+(H271*H263)+(I271*I263)+(J271*J263)</f>
        <v>0</v>
      </c>
      <c r="M271" s="57" t="s">
        <v>36</v>
      </c>
      <c r="N271" s="63" t="b">
        <v>0</v>
      </c>
    </row>
    <row r="272" ht="13.5" customHeight="1">
      <c r="A272" s="46" t="s">
        <v>43</v>
      </c>
      <c r="B272" s="69" t="str">
        <f>IFS(L272=0,"",B272&lt;&gt;"",B272,TRUE,NOW())</f>
        <v/>
      </c>
      <c r="C272" s="70" t="s">
        <v>37</v>
      </c>
      <c r="D272" s="33"/>
      <c r="E272" s="71"/>
      <c r="F272" s="71"/>
      <c r="G272" s="71"/>
      <c r="H272" s="71"/>
      <c r="I272" s="71"/>
      <c r="J272" s="71"/>
      <c r="K272" s="72" t="s">
        <v>38</v>
      </c>
      <c r="L272" s="73">
        <f>L271-L270</f>
        <v>0</v>
      </c>
      <c r="M272" s="74" t="s">
        <v>39</v>
      </c>
      <c r="N272" s="75" t="b">
        <v>0</v>
      </c>
    </row>
    <row r="273" ht="18.0" customHeight="1">
      <c r="A273" s="64"/>
      <c r="B273" s="52" t="s">
        <v>96</v>
      </c>
      <c r="C273" s="53" t="s">
        <v>27</v>
      </c>
      <c r="D273" s="54"/>
      <c r="E273" s="55">
        <f t="shared" ref="E273:J273" si="74">E271-E274</f>
        <v>0</v>
      </c>
      <c r="F273" s="55">
        <f t="shared" si="74"/>
        <v>0</v>
      </c>
      <c r="G273" s="55">
        <f t="shared" si="74"/>
        <v>0</v>
      </c>
      <c r="H273" s="55">
        <f t="shared" si="74"/>
        <v>0</v>
      </c>
      <c r="I273" s="55">
        <f t="shared" si="74"/>
        <v>0</v>
      </c>
      <c r="J273" s="55">
        <f t="shared" si="74"/>
        <v>0</v>
      </c>
      <c r="K273" s="56"/>
      <c r="L273" s="30"/>
      <c r="M273" s="57" t="s">
        <v>28</v>
      </c>
      <c r="N273" s="58" t="b">
        <v>0</v>
      </c>
    </row>
    <row r="274" ht="13.5" customHeight="1">
      <c r="A274" s="46" t="s">
        <v>45</v>
      </c>
      <c r="B274" s="59"/>
      <c r="C274" s="53" t="s">
        <v>30</v>
      </c>
      <c r="D274" s="54"/>
      <c r="E274" s="60"/>
      <c r="F274" s="60"/>
      <c r="G274" s="60"/>
      <c r="H274" s="60"/>
      <c r="I274" s="60"/>
      <c r="J274" s="60"/>
      <c r="K274" s="61" t="s">
        <v>30</v>
      </c>
      <c r="L274" s="62">
        <f>(E274*E263)+(F274*F263)+(G274*G263)+(H274*H263)+(I274*I263)+(J274*J263)</f>
        <v>0</v>
      </c>
      <c r="M274" s="57" t="s">
        <v>31</v>
      </c>
      <c r="N274" s="63" t="b">
        <v>0</v>
      </c>
    </row>
    <row r="275" ht="13.5" customHeight="1">
      <c r="A275" s="77"/>
      <c r="B275" s="65" t="s">
        <v>47</v>
      </c>
      <c r="C275" s="53" t="s">
        <v>34</v>
      </c>
      <c r="D275" s="54"/>
      <c r="E275" s="66"/>
      <c r="F275" s="66"/>
      <c r="G275" s="66"/>
      <c r="H275" s="66"/>
      <c r="I275" s="66"/>
      <c r="J275" s="66"/>
      <c r="K275" s="67" t="s">
        <v>35</v>
      </c>
      <c r="L275" s="62">
        <f>(E275*E263)+(F275*F263)+(G275*G263)+(H275*H263)+(I275*I263)+(J275*J263)</f>
        <v>0</v>
      </c>
      <c r="M275" s="57" t="s">
        <v>36</v>
      </c>
      <c r="N275" s="63" t="b">
        <v>0</v>
      </c>
    </row>
    <row r="276" ht="13.5" customHeight="1">
      <c r="A276" s="68"/>
      <c r="B276" s="69" t="str">
        <f>IFS(L276=0,"",B276&lt;&gt;"",B276,TRUE,NOW())</f>
        <v/>
      </c>
      <c r="C276" s="70" t="s">
        <v>37</v>
      </c>
      <c r="D276" s="33"/>
      <c r="E276" s="71"/>
      <c r="F276" s="71"/>
      <c r="G276" s="71"/>
      <c r="H276" s="71"/>
      <c r="I276" s="71"/>
      <c r="J276" s="71"/>
      <c r="K276" s="72" t="s">
        <v>38</v>
      </c>
      <c r="L276" s="73">
        <f>L275-L274</f>
        <v>0</v>
      </c>
      <c r="M276" s="74" t="s">
        <v>39</v>
      </c>
      <c r="N276" s="75" t="b">
        <v>0</v>
      </c>
    </row>
    <row r="277" ht="13.5" customHeight="1">
      <c r="A277" s="78" t="s">
        <v>48</v>
      </c>
      <c r="B277" s="52" t="s">
        <v>96</v>
      </c>
      <c r="C277" s="53" t="s">
        <v>27</v>
      </c>
      <c r="D277" s="54"/>
      <c r="E277" s="55">
        <f t="shared" ref="E277:J277" si="75">E275-E278</f>
        <v>0</v>
      </c>
      <c r="F277" s="55">
        <f t="shared" si="75"/>
        <v>0</v>
      </c>
      <c r="G277" s="55">
        <f t="shared" si="75"/>
        <v>0</v>
      </c>
      <c r="H277" s="55">
        <f t="shared" si="75"/>
        <v>0</v>
      </c>
      <c r="I277" s="55">
        <f t="shared" si="75"/>
        <v>0</v>
      </c>
      <c r="J277" s="55">
        <f t="shared" si="75"/>
        <v>0</v>
      </c>
      <c r="K277" s="56"/>
      <c r="L277" s="30"/>
      <c r="M277" s="57" t="s">
        <v>28</v>
      </c>
      <c r="N277" s="58" t="b">
        <v>0</v>
      </c>
    </row>
    <row r="278" ht="15.0" customHeight="1">
      <c r="A278" s="87"/>
      <c r="B278" s="59"/>
      <c r="C278" s="53" t="s">
        <v>30</v>
      </c>
      <c r="D278" s="54"/>
      <c r="E278" s="60"/>
      <c r="F278" s="60"/>
      <c r="G278" s="60"/>
      <c r="H278" s="60"/>
      <c r="I278" s="60"/>
      <c r="J278" s="60"/>
      <c r="K278" s="61" t="s">
        <v>30</v>
      </c>
      <c r="L278" s="62">
        <f>(E278*E263)+(F278*F263)+(G278*G263)+(H278*H263)+(I278*I263)+(J278*J263)</f>
        <v>0</v>
      </c>
      <c r="M278" s="57" t="s">
        <v>31</v>
      </c>
      <c r="N278" s="63" t="b">
        <v>0</v>
      </c>
    </row>
    <row r="279" ht="13.5" customHeight="1">
      <c r="A279" s="68"/>
      <c r="B279" s="65" t="s">
        <v>49</v>
      </c>
      <c r="C279" s="53" t="s">
        <v>34</v>
      </c>
      <c r="D279" s="54"/>
      <c r="E279" s="66"/>
      <c r="F279" s="66"/>
      <c r="G279" s="66"/>
      <c r="H279" s="66"/>
      <c r="I279" s="66"/>
      <c r="J279" s="66"/>
      <c r="K279" s="67" t="s">
        <v>35</v>
      </c>
      <c r="L279" s="62">
        <f>(E279*E263)+(F279*F263)+(G279*G263)+(H279*H263)+(I279*I263)+(J279*J263)</f>
        <v>0</v>
      </c>
      <c r="M279" s="57" t="s">
        <v>36</v>
      </c>
      <c r="N279" s="63" t="b">
        <v>0</v>
      </c>
    </row>
    <row r="280" ht="13.5" customHeight="1">
      <c r="A280" s="80"/>
      <c r="B280" s="69" t="str">
        <f>IFS(L280=0,"",B280&lt;&gt;"",B280,TRUE,NOW())</f>
        <v/>
      </c>
      <c r="C280" s="86" t="s">
        <v>37</v>
      </c>
      <c r="D280" s="59"/>
      <c r="E280" s="81"/>
      <c r="F280" s="81"/>
      <c r="G280" s="81"/>
      <c r="H280" s="82"/>
      <c r="I280" s="81"/>
      <c r="J280" s="81"/>
      <c r="K280" s="72" t="s">
        <v>38</v>
      </c>
      <c r="L280" s="73">
        <f>L279-L278</f>
        <v>0</v>
      </c>
      <c r="M280" s="74" t="s">
        <v>39</v>
      </c>
      <c r="N280" s="75" t="b">
        <v>0</v>
      </c>
    </row>
    <row r="281" ht="13.5" customHeight="1">
      <c r="A281" s="83" t="s">
        <v>97</v>
      </c>
      <c r="B281" s="42" t="s">
        <v>20</v>
      </c>
      <c r="C281" s="24"/>
      <c r="D281" s="33"/>
      <c r="E281" s="43">
        <f t="shared" ref="E281:J281" si="76">E6</f>
        <v>17</v>
      </c>
      <c r="F281" s="43">
        <f t="shared" si="76"/>
        <v>27</v>
      </c>
      <c r="G281" s="43">
        <f t="shared" si="76"/>
        <v>27</v>
      </c>
      <c r="H281" s="43">
        <f t="shared" si="76"/>
        <v>27</v>
      </c>
      <c r="I281" s="43">
        <f t="shared" si="76"/>
        <v>32</v>
      </c>
      <c r="J281" s="44">
        <f t="shared" si="76"/>
        <v>37</v>
      </c>
      <c r="K281" s="42" t="s">
        <v>21</v>
      </c>
      <c r="L281" s="25"/>
      <c r="M281" s="45" t="s">
        <v>22</v>
      </c>
      <c r="N281" s="25"/>
    </row>
    <row r="282" ht="13.5" customHeight="1">
      <c r="A282" s="46" t="s">
        <v>23</v>
      </c>
      <c r="B282" s="47" t="s">
        <v>24</v>
      </c>
      <c r="C282" s="32" t="s">
        <v>25</v>
      </c>
      <c r="D282" s="33"/>
      <c r="E282" s="48"/>
      <c r="F282" s="48"/>
      <c r="G282" s="48"/>
      <c r="H282" s="48"/>
      <c r="I282" s="48"/>
      <c r="J282" s="48"/>
      <c r="K282" s="49"/>
      <c r="L282" s="25"/>
      <c r="M282" s="50"/>
      <c r="N282" s="10"/>
    </row>
    <row r="283" ht="15.0" customHeight="1">
      <c r="A283" s="92"/>
      <c r="B283" s="52" t="s">
        <v>98</v>
      </c>
      <c r="C283" s="53" t="s">
        <v>27</v>
      </c>
      <c r="D283" s="54"/>
      <c r="E283" s="55">
        <f t="shared" ref="E283:J283" si="77">E282-E284</f>
        <v>0</v>
      </c>
      <c r="F283" s="55">
        <f t="shared" si="77"/>
        <v>0</v>
      </c>
      <c r="G283" s="55">
        <f t="shared" si="77"/>
        <v>0</v>
      </c>
      <c r="H283" s="55">
        <f t="shared" si="77"/>
        <v>0</v>
      </c>
      <c r="I283" s="55">
        <f t="shared" si="77"/>
        <v>0</v>
      </c>
      <c r="J283" s="55">
        <f t="shared" si="77"/>
        <v>0</v>
      </c>
      <c r="K283" s="56"/>
      <c r="L283" s="30"/>
      <c r="M283" s="57" t="s">
        <v>28</v>
      </c>
      <c r="N283" s="58" t="b">
        <v>0</v>
      </c>
    </row>
    <row r="284" ht="13.5" customHeight="1">
      <c r="A284" s="46" t="s">
        <v>29</v>
      </c>
      <c r="B284" s="59"/>
      <c r="C284" s="53" t="s">
        <v>30</v>
      </c>
      <c r="D284" s="54"/>
      <c r="E284" s="60"/>
      <c r="F284" s="60"/>
      <c r="G284" s="60"/>
      <c r="H284" s="60"/>
      <c r="I284" s="60"/>
      <c r="J284" s="60"/>
      <c r="K284" s="61" t="s">
        <v>30</v>
      </c>
      <c r="L284" s="62">
        <f>(E284*E281)+(F284*F281)+(G284*G281)+(H284*H281)+(I284*I281)+(J284*J281)</f>
        <v>0</v>
      </c>
      <c r="M284" s="57" t="s">
        <v>31</v>
      </c>
      <c r="N284" s="63" t="b">
        <v>0</v>
      </c>
    </row>
    <row r="285" ht="13.5" customHeight="1">
      <c r="A285" s="64"/>
      <c r="B285" s="65" t="s">
        <v>33</v>
      </c>
      <c r="C285" s="53" t="s">
        <v>34</v>
      </c>
      <c r="D285" s="54"/>
      <c r="E285" s="66"/>
      <c r="F285" s="66"/>
      <c r="G285" s="66"/>
      <c r="H285" s="66"/>
      <c r="I285" s="66"/>
      <c r="J285" s="66"/>
      <c r="K285" s="67" t="s">
        <v>35</v>
      </c>
      <c r="L285" s="62">
        <f>(E285*E281)+(F285*F281)+(G285*G281)+(H285*H281)+(I285*I281)+(J285*J281)</f>
        <v>0</v>
      </c>
      <c r="M285" s="57" t="s">
        <v>36</v>
      </c>
      <c r="N285" s="63" t="b">
        <v>0</v>
      </c>
    </row>
    <row r="286" ht="13.5" customHeight="1">
      <c r="A286" s="68"/>
      <c r="B286" s="69" t="str">
        <f>IFS(L286=0,"",B286&lt;&gt;"",B286,TRUE,NOW())</f>
        <v/>
      </c>
      <c r="C286" s="70" t="s">
        <v>37</v>
      </c>
      <c r="D286" s="33"/>
      <c r="E286" s="71"/>
      <c r="F286" s="71"/>
      <c r="G286" s="71"/>
      <c r="H286" s="71"/>
      <c r="I286" s="71"/>
      <c r="J286" s="71"/>
      <c r="K286" s="72" t="s">
        <v>38</v>
      </c>
      <c r="L286" s="73">
        <f>L285-L284</f>
        <v>0</v>
      </c>
      <c r="M286" s="74" t="s">
        <v>39</v>
      </c>
      <c r="N286" s="75" t="b">
        <v>0</v>
      </c>
    </row>
    <row r="287" ht="13.5" customHeight="1">
      <c r="A287" s="46" t="s">
        <v>40</v>
      </c>
      <c r="B287" s="52" t="s">
        <v>98</v>
      </c>
      <c r="C287" s="53" t="s">
        <v>27</v>
      </c>
      <c r="D287" s="54"/>
      <c r="E287" s="55">
        <f t="shared" ref="E287:J287" si="78">E285-E288</f>
        <v>0</v>
      </c>
      <c r="F287" s="55">
        <f t="shared" si="78"/>
        <v>0</v>
      </c>
      <c r="G287" s="55">
        <f t="shared" si="78"/>
        <v>0</v>
      </c>
      <c r="H287" s="55">
        <f t="shared" si="78"/>
        <v>0</v>
      </c>
      <c r="I287" s="55">
        <f t="shared" si="78"/>
        <v>0</v>
      </c>
      <c r="J287" s="55">
        <f t="shared" si="78"/>
        <v>0</v>
      </c>
      <c r="K287" s="56"/>
      <c r="L287" s="30"/>
      <c r="M287" s="57" t="s">
        <v>28</v>
      </c>
      <c r="N287" s="58" t="b">
        <v>0</v>
      </c>
    </row>
    <row r="288" ht="15.0" customHeight="1">
      <c r="A288" s="64"/>
      <c r="B288" s="59"/>
      <c r="C288" s="53" t="s">
        <v>30</v>
      </c>
      <c r="D288" s="54"/>
      <c r="E288" s="60"/>
      <c r="F288" s="60"/>
      <c r="G288" s="60"/>
      <c r="H288" s="60"/>
      <c r="I288" s="60"/>
      <c r="J288" s="60"/>
      <c r="K288" s="61" t="s">
        <v>30</v>
      </c>
      <c r="L288" s="62">
        <f>(E288*E281)+(F288*F281)+(G288*G281)+(H288*H281)+(I288*I281)+(J288*J281)</f>
        <v>0</v>
      </c>
      <c r="M288" s="57" t="s">
        <v>31</v>
      </c>
      <c r="N288" s="63" t="b">
        <v>0</v>
      </c>
    </row>
    <row r="289" ht="13.5" customHeight="1">
      <c r="A289" s="68"/>
      <c r="B289" s="65" t="s">
        <v>42</v>
      </c>
      <c r="C289" s="53" t="s">
        <v>34</v>
      </c>
      <c r="D289" s="54"/>
      <c r="E289" s="66"/>
      <c r="F289" s="66"/>
      <c r="G289" s="66"/>
      <c r="H289" s="66"/>
      <c r="I289" s="66"/>
      <c r="J289" s="66"/>
      <c r="K289" s="67" t="s">
        <v>35</v>
      </c>
      <c r="L289" s="62">
        <f>(E289*E281)+(F289*F281)+(G289*G281)+(H289*H281)+(I289*I281)+(J289*J281)</f>
        <v>0</v>
      </c>
      <c r="M289" s="57" t="s">
        <v>36</v>
      </c>
      <c r="N289" s="63" t="b">
        <v>0</v>
      </c>
    </row>
    <row r="290" ht="13.5" customHeight="1">
      <c r="A290" s="46" t="s">
        <v>43</v>
      </c>
      <c r="B290" s="69" t="str">
        <f>IFS(L290=0,"",B290&lt;&gt;"",B290,TRUE,NOW())</f>
        <v/>
      </c>
      <c r="C290" s="70" t="s">
        <v>37</v>
      </c>
      <c r="D290" s="33"/>
      <c r="E290" s="71"/>
      <c r="F290" s="71"/>
      <c r="G290" s="71"/>
      <c r="H290" s="71"/>
      <c r="I290" s="71"/>
      <c r="J290" s="71"/>
      <c r="K290" s="72" t="s">
        <v>38</v>
      </c>
      <c r="L290" s="73">
        <f>L289-L288</f>
        <v>0</v>
      </c>
      <c r="M290" s="74" t="s">
        <v>39</v>
      </c>
      <c r="N290" s="75" t="b">
        <v>0</v>
      </c>
    </row>
    <row r="291" ht="13.5" customHeight="1">
      <c r="A291" s="64"/>
      <c r="B291" s="52" t="s">
        <v>98</v>
      </c>
      <c r="C291" s="53" t="s">
        <v>27</v>
      </c>
      <c r="D291" s="54"/>
      <c r="E291" s="55">
        <f t="shared" ref="E291:J291" si="79">E289-E292</f>
        <v>0</v>
      </c>
      <c r="F291" s="55">
        <f t="shared" si="79"/>
        <v>0</v>
      </c>
      <c r="G291" s="55">
        <f t="shared" si="79"/>
        <v>0</v>
      </c>
      <c r="H291" s="55">
        <f t="shared" si="79"/>
        <v>0</v>
      </c>
      <c r="I291" s="55">
        <f t="shared" si="79"/>
        <v>0</v>
      </c>
      <c r="J291" s="55">
        <f t="shared" si="79"/>
        <v>0</v>
      </c>
      <c r="K291" s="56"/>
      <c r="L291" s="30"/>
      <c r="M291" s="57" t="s">
        <v>28</v>
      </c>
      <c r="N291" s="58" t="b">
        <v>0</v>
      </c>
    </row>
    <row r="292" ht="13.5" customHeight="1">
      <c r="A292" s="46" t="s">
        <v>45</v>
      </c>
      <c r="B292" s="59"/>
      <c r="C292" s="53" t="s">
        <v>30</v>
      </c>
      <c r="D292" s="54"/>
      <c r="E292" s="60"/>
      <c r="F292" s="60"/>
      <c r="G292" s="60"/>
      <c r="H292" s="60"/>
      <c r="I292" s="60"/>
      <c r="J292" s="60"/>
      <c r="K292" s="61" t="s">
        <v>30</v>
      </c>
      <c r="L292" s="62">
        <f>(E292*E281)+(F292*F281)+(G292*G281)+(H292*H281)+(I292*I281)+(J292*J281)</f>
        <v>0</v>
      </c>
      <c r="M292" s="57" t="s">
        <v>31</v>
      </c>
      <c r="N292" s="63" t="b">
        <v>0</v>
      </c>
    </row>
    <row r="293" ht="13.5" customHeight="1">
      <c r="A293" s="77"/>
      <c r="B293" s="65" t="s">
        <v>47</v>
      </c>
      <c r="C293" s="53" t="s">
        <v>34</v>
      </c>
      <c r="D293" s="54"/>
      <c r="E293" s="66"/>
      <c r="F293" s="66"/>
      <c r="G293" s="66"/>
      <c r="H293" s="66"/>
      <c r="I293" s="66"/>
      <c r="J293" s="66"/>
      <c r="K293" s="67" t="s">
        <v>35</v>
      </c>
      <c r="L293" s="62">
        <f>(E293*E281)+(F293*F281)+(G293*G281)+(H293*H281)+(I293*I281)+(J293*J281)</f>
        <v>0</v>
      </c>
      <c r="M293" s="57" t="s">
        <v>36</v>
      </c>
      <c r="N293" s="63" t="b">
        <v>0</v>
      </c>
    </row>
    <row r="294" ht="13.5" customHeight="1">
      <c r="A294" s="68"/>
      <c r="B294" s="69" t="str">
        <f>IFS(L294=0,"",B294&lt;&gt;"",B294,TRUE,NOW())</f>
        <v/>
      </c>
      <c r="C294" s="70" t="s">
        <v>37</v>
      </c>
      <c r="D294" s="33"/>
      <c r="E294" s="71"/>
      <c r="F294" s="71"/>
      <c r="G294" s="71"/>
      <c r="H294" s="71"/>
      <c r="I294" s="71"/>
      <c r="J294" s="71"/>
      <c r="K294" s="72" t="s">
        <v>38</v>
      </c>
      <c r="L294" s="73">
        <f>L293-L292</f>
        <v>0</v>
      </c>
      <c r="M294" s="74" t="s">
        <v>39</v>
      </c>
      <c r="N294" s="75" t="b">
        <v>0</v>
      </c>
    </row>
    <row r="295" ht="15.0" customHeight="1">
      <c r="A295" s="78" t="s">
        <v>48</v>
      </c>
      <c r="B295" s="52" t="s">
        <v>98</v>
      </c>
      <c r="C295" s="53" t="s">
        <v>27</v>
      </c>
      <c r="D295" s="54"/>
      <c r="E295" s="55">
        <f t="shared" ref="E295:J295" si="80">E293-E296</f>
        <v>0</v>
      </c>
      <c r="F295" s="55">
        <f t="shared" si="80"/>
        <v>0</v>
      </c>
      <c r="G295" s="55">
        <f t="shared" si="80"/>
        <v>0</v>
      </c>
      <c r="H295" s="55">
        <f t="shared" si="80"/>
        <v>0</v>
      </c>
      <c r="I295" s="55">
        <f t="shared" si="80"/>
        <v>0</v>
      </c>
      <c r="J295" s="55">
        <f t="shared" si="80"/>
        <v>0</v>
      </c>
      <c r="K295" s="56"/>
      <c r="L295" s="30"/>
      <c r="M295" s="57" t="s">
        <v>28</v>
      </c>
      <c r="N295" s="58" t="b">
        <v>0</v>
      </c>
    </row>
    <row r="296" ht="13.5" customHeight="1">
      <c r="A296" s="87"/>
      <c r="B296" s="59"/>
      <c r="C296" s="53" t="s">
        <v>30</v>
      </c>
      <c r="D296" s="54"/>
      <c r="E296" s="60"/>
      <c r="F296" s="60"/>
      <c r="G296" s="60"/>
      <c r="H296" s="60"/>
      <c r="I296" s="60"/>
      <c r="J296" s="60"/>
      <c r="K296" s="61" t="s">
        <v>30</v>
      </c>
      <c r="L296" s="62">
        <f>(E296*E281)+(F296*F281)+(G296*G281)+(H296*H281)+(I296*I281)+(J296*J281)</f>
        <v>0</v>
      </c>
      <c r="M296" s="57" t="s">
        <v>31</v>
      </c>
      <c r="N296" s="63" t="b">
        <v>0</v>
      </c>
    </row>
    <row r="297" ht="13.5" customHeight="1">
      <c r="A297" s="68"/>
      <c r="B297" s="65" t="s">
        <v>49</v>
      </c>
      <c r="C297" s="53" t="s">
        <v>34</v>
      </c>
      <c r="D297" s="54"/>
      <c r="E297" s="66"/>
      <c r="F297" s="66"/>
      <c r="G297" s="66"/>
      <c r="H297" s="66"/>
      <c r="I297" s="66"/>
      <c r="J297" s="66"/>
      <c r="K297" s="67" t="s">
        <v>35</v>
      </c>
      <c r="L297" s="62">
        <f>(E297*E281)+(F297*F281)+(G297*G281)+(H297*H281)+(I297*I281)+(J297*J281)</f>
        <v>0</v>
      </c>
      <c r="M297" s="57" t="s">
        <v>36</v>
      </c>
      <c r="N297" s="63" t="b">
        <v>0</v>
      </c>
    </row>
    <row r="298" ht="13.5" customHeight="1">
      <c r="A298" s="80"/>
      <c r="B298" s="69" t="str">
        <f>IFS(L298=0,"",B298&lt;&gt;"",B298,TRUE,NOW())</f>
        <v/>
      </c>
      <c r="C298" s="53" t="s">
        <v>37</v>
      </c>
      <c r="D298" s="54"/>
      <c r="E298" s="81"/>
      <c r="F298" s="81"/>
      <c r="G298" s="81"/>
      <c r="H298" s="82"/>
      <c r="I298" s="81"/>
      <c r="J298" s="81"/>
      <c r="K298" s="72" t="s">
        <v>38</v>
      </c>
      <c r="L298" s="73">
        <f>L297-L296</f>
        <v>0</v>
      </c>
      <c r="M298" s="74" t="s">
        <v>39</v>
      </c>
      <c r="N298" s="75" t="b">
        <v>0</v>
      </c>
    </row>
    <row r="299" ht="13.5" customHeight="1">
      <c r="A299" s="83" t="s">
        <v>99</v>
      </c>
      <c r="B299" s="42" t="s">
        <v>20</v>
      </c>
      <c r="C299" s="24"/>
      <c r="D299" s="33"/>
      <c r="E299" s="43">
        <f t="shared" ref="E299:J299" si="81">E6</f>
        <v>17</v>
      </c>
      <c r="F299" s="43">
        <f t="shared" si="81"/>
        <v>27</v>
      </c>
      <c r="G299" s="43">
        <f t="shared" si="81"/>
        <v>27</v>
      </c>
      <c r="H299" s="43">
        <f t="shared" si="81"/>
        <v>27</v>
      </c>
      <c r="I299" s="43">
        <f t="shared" si="81"/>
        <v>32</v>
      </c>
      <c r="J299" s="44">
        <f t="shared" si="81"/>
        <v>37</v>
      </c>
      <c r="K299" s="42" t="s">
        <v>21</v>
      </c>
      <c r="L299" s="25"/>
      <c r="M299" s="45" t="s">
        <v>22</v>
      </c>
      <c r="N299" s="25"/>
    </row>
    <row r="300" ht="17.25" customHeight="1">
      <c r="A300" s="46" t="s">
        <v>23</v>
      </c>
      <c r="B300" s="47" t="s">
        <v>24</v>
      </c>
      <c r="C300" s="32" t="s">
        <v>25</v>
      </c>
      <c r="D300" s="33"/>
      <c r="E300" s="48"/>
      <c r="F300" s="48"/>
      <c r="G300" s="48"/>
      <c r="H300" s="48"/>
      <c r="I300" s="48"/>
      <c r="J300" s="48"/>
      <c r="K300" s="49"/>
      <c r="L300" s="25"/>
      <c r="M300" s="50"/>
      <c r="N300" s="10"/>
    </row>
    <row r="301" ht="13.5" customHeight="1">
      <c r="A301" s="92"/>
      <c r="B301" s="52" t="s">
        <v>100</v>
      </c>
      <c r="C301" s="53" t="s">
        <v>27</v>
      </c>
      <c r="D301" s="54"/>
      <c r="E301" s="55">
        <f t="shared" ref="E301:J301" si="82">E300-E302</f>
        <v>0</v>
      </c>
      <c r="F301" s="55">
        <f t="shared" si="82"/>
        <v>0</v>
      </c>
      <c r="G301" s="55">
        <f t="shared" si="82"/>
        <v>0</v>
      </c>
      <c r="H301" s="55">
        <f t="shared" si="82"/>
        <v>0</v>
      </c>
      <c r="I301" s="55">
        <f t="shared" si="82"/>
        <v>0</v>
      </c>
      <c r="J301" s="55">
        <f t="shared" si="82"/>
        <v>0</v>
      </c>
      <c r="K301" s="56"/>
      <c r="L301" s="30"/>
      <c r="M301" s="57" t="s">
        <v>28</v>
      </c>
      <c r="N301" s="58" t="b">
        <v>0</v>
      </c>
    </row>
    <row r="302" ht="13.5" customHeight="1">
      <c r="A302" s="46" t="s">
        <v>29</v>
      </c>
      <c r="B302" s="59"/>
      <c r="C302" s="53" t="s">
        <v>30</v>
      </c>
      <c r="D302" s="54"/>
      <c r="E302" s="60"/>
      <c r="F302" s="60"/>
      <c r="G302" s="60"/>
      <c r="H302" s="60"/>
      <c r="I302" s="60"/>
      <c r="J302" s="60"/>
      <c r="K302" s="61" t="s">
        <v>30</v>
      </c>
      <c r="L302" s="62">
        <f>(E302*E299)+(F302*F299)+(G302*G299)+(H302*H299)+(I302*I299)+(J302*J299)</f>
        <v>0</v>
      </c>
      <c r="M302" s="57" t="s">
        <v>31</v>
      </c>
      <c r="N302" s="63" t="b">
        <v>0</v>
      </c>
    </row>
    <row r="303" ht="13.5" customHeight="1">
      <c r="A303" s="64"/>
      <c r="B303" s="65" t="s">
        <v>33</v>
      </c>
      <c r="C303" s="53" t="s">
        <v>34</v>
      </c>
      <c r="D303" s="54"/>
      <c r="E303" s="66"/>
      <c r="F303" s="66"/>
      <c r="G303" s="66"/>
      <c r="H303" s="66"/>
      <c r="I303" s="66"/>
      <c r="J303" s="66"/>
      <c r="K303" s="67" t="s">
        <v>35</v>
      </c>
      <c r="L303" s="62">
        <f>(E303*E299)+(F303*F299)+(G303*G299)+(H303*H299)+(I303*I299)+(J303*J299)</f>
        <v>0</v>
      </c>
      <c r="M303" s="57" t="s">
        <v>36</v>
      </c>
      <c r="N303" s="63" t="b">
        <v>0</v>
      </c>
    </row>
    <row r="304" ht="13.5" customHeight="1">
      <c r="A304" s="68"/>
      <c r="B304" s="69" t="str">
        <f>IFS(L304=0,"",B304&lt;&gt;"",B304,TRUE,NOW())</f>
        <v/>
      </c>
      <c r="C304" s="70" t="s">
        <v>37</v>
      </c>
      <c r="D304" s="33"/>
      <c r="E304" s="71"/>
      <c r="F304" s="71"/>
      <c r="G304" s="71"/>
      <c r="H304" s="71"/>
      <c r="I304" s="71"/>
      <c r="J304" s="71"/>
      <c r="K304" s="72" t="s">
        <v>38</v>
      </c>
      <c r="L304" s="73">
        <f>L303-L302</f>
        <v>0</v>
      </c>
      <c r="M304" s="74" t="s">
        <v>39</v>
      </c>
      <c r="N304" s="75" t="b">
        <v>0</v>
      </c>
    </row>
    <row r="305" ht="18.75" customHeight="1">
      <c r="A305" s="46" t="s">
        <v>40</v>
      </c>
      <c r="B305" s="52" t="s">
        <v>100</v>
      </c>
      <c r="C305" s="53" t="s">
        <v>27</v>
      </c>
      <c r="D305" s="54"/>
      <c r="E305" s="55">
        <f t="shared" ref="E305:J305" si="83">E303-E306</f>
        <v>0</v>
      </c>
      <c r="F305" s="55">
        <f t="shared" si="83"/>
        <v>0</v>
      </c>
      <c r="G305" s="55">
        <f t="shared" si="83"/>
        <v>0</v>
      </c>
      <c r="H305" s="55">
        <f t="shared" si="83"/>
        <v>0</v>
      </c>
      <c r="I305" s="55">
        <f t="shared" si="83"/>
        <v>0</v>
      </c>
      <c r="J305" s="55">
        <f t="shared" si="83"/>
        <v>0</v>
      </c>
      <c r="K305" s="56"/>
      <c r="L305" s="30"/>
      <c r="M305" s="57" t="s">
        <v>28</v>
      </c>
      <c r="N305" s="58" t="b">
        <v>0</v>
      </c>
    </row>
    <row r="306" ht="13.5" customHeight="1">
      <c r="A306" s="64"/>
      <c r="B306" s="59"/>
      <c r="C306" s="53" t="s">
        <v>30</v>
      </c>
      <c r="D306" s="54"/>
      <c r="E306" s="60"/>
      <c r="F306" s="60"/>
      <c r="G306" s="60"/>
      <c r="H306" s="60"/>
      <c r="I306" s="60"/>
      <c r="J306" s="60"/>
      <c r="K306" s="61" t="s">
        <v>30</v>
      </c>
      <c r="L306" s="62">
        <f>(E306*E299)+(F306*F299)+(G306*G299)+(H306*H299)+(I306*I299)+(J306*J299)</f>
        <v>0</v>
      </c>
      <c r="M306" s="57" t="s">
        <v>31</v>
      </c>
      <c r="N306" s="63" t="b">
        <v>0</v>
      </c>
    </row>
    <row r="307" ht="13.5" customHeight="1">
      <c r="A307" s="68"/>
      <c r="B307" s="65" t="s">
        <v>42</v>
      </c>
      <c r="C307" s="53" t="s">
        <v>34</v>
      </c>
      <c r="D307" s="54"/>
      <c r="E307" s="66"/>
      <c r="F307" s="66"/>
      <c r="G307" s="66"/>
      <c r="H307" s="66"/>
      <c r="I307" s="66"/>
      <c r="J307" s="66"/>
      <c r="K307" s="67" t="s">
        <v>35</v>
      </c>
      <c r="L307" s="62">
        <f>(E307*E299)+(F307*F299)+(G307*G299)+(H307*H299)+(I307*I299)+(J307*J299)</f>
        <v>0</v>
      </c>
      <c r="M307" s="57" t="s">
        <v>36</v>
      </c>
      <c r="N307" s="63" t="b">
        <v>0</v>
      </c>
    </row>
    <row r="308" ht="13.5" customHeight="1">
      <c r="A308" s="46" t="s">
        <v>43</v>
      </c>
      <c r="B308" s="69" t="str">
        <f>IFS(L308=0,"",B308&lt;&gt;"",B308,TRUE,NOW())</f>
        <v/>
      </c>
      <c r="C308" s="70" t="s">
        <v>37</v>
      </c>
      <c r="D308" s="33"/>
      <c r="E308" s="71"/>
      <c r="F308" s="71"/>
      <c r="G308" s="71"/>
      <c r="H308" s="71"/>
      <c r="I308" s="71"/>
      <c r="J308" s="71"/>
      <c r="K308" s="72" t="s">
        <v>38</v>
      </c>
      <c r="L308" s="73">
        <f>L307-L306</f>
        <v>0</v>
      </c>
      <c r="M308" s="74" t="s">
        <v>39</v>
      </c>
      <c r="N308" s="75" t="b">
        <v>0</v>
      </c>
    </row>
    <row r="309" ht="13.5" customHeight="1">
      <c r="A309" s="64"/>
      <c r="B309" s="52" t="s">
        <v>100</v>
      </c>
      <c r="C309" s="53" t="s">
        <v>27</v>
      </c>
      <c r="D309" s="54"/>
      <c r="E309" s="55">
        <f t="shared" ref="E309:J309" si="84">E307-E310</f>
        <v>0</v>
      </c>
      <c r="F309" s="55">
        <f t="shared" si="84"/>
        <v>0</v>
      </c>
      <c r="G309" s="55">
        <f t="shared" si="84"/>
        <v>0</v>
      </c>
      <c r="H309" s="55">
        <f t="shared" si="84"/>
        <v>0</v>
      </c>
      <c r="I309" s="55">
        <f t="shared" si="84"/>
        <v>0</v>
      </c>
      <c r="J309" s="55">
        <f t="shared" si="84"/>
        <v>0</v>
      </c>
      <c r="K309" s="56"/>
      <c r="L309" s="30"/>
      <c r="M309" s="57" t="s">
        <v>28</v>
      </c>
      <c r="N309" s="58" t="b">
        <v>0</v>
      </c>
    </row>
    <row r="310" ht="15.0" customHeight="1">
      <c r="A310" s="46" t="s">
        <v>45</v>
      </c>
      <c r="B310" s="59"/>
      <c r="C310" s="53" t="s">
        <v>30</v>
      </c>
      <c r="D310" s="54"/>
      <c r="E310" s="60"/>
      <c r="F310" s="60"/>
      <c r="G310" s="60"/>
      <c r="H310" s="60"/>
      <c r="I310" s="60"/>
      <c r="J310" s="60"/>
      <c r="K310" s="61" t="s">
        <v>30</v>
      </c>
      <c r="L310" s="62">
        <f>(E310*E299)+(F310*F299)+(G310*G299)+(H310*H299)+(I310*I299)+(J310*J299)</f>
        <v>0</v>
      </c>
      <c r="M310" s="57" t="s">
        <v>31</v>
      </c>
      <c r="N310" s="63" t="b">
        <v>0</v>
      </c>
    </row>
    <row r="311" ht="13.5" customHeight="1">
      <c r="A311" s="77"/>
      <c r="B311" s="65" t="s">
        <v>47</v>
      </c>
      <c r="C311" s="53" t="s">
        <v>34</v>
      </c>
      <c r="D311" s="54"/>
      <c r="E311" s="66"/>
      <c r="F311" s="66"/>
      <c r="G311" s="66"/>
      <c r="H311" s="66"/>
      <c r="I311" s="66"/>
      <c r="J311" s="66"/>
      <c r="K311" s="67" t="s">
        <v>35</v>
      </c>
      <c r="L311" s="62">
        <f>(E311*E299)+(F311*F299)+(G311*G299)+(H311*H299)+(I311*I299)+(J311*J299)</f>
        <v>0</v>
      </c>
      <c r="M311" s="57" t="s">
        <v>36</v>
      </c>
      <c r="N311" s="63" t="b">
        <v>0</v>
      </c>
    </row>
    <row r="312" ht="13.5" customHeight="1">
      <c r="A312" s="68"/>
      <c r="B312" s="69" t="str">
        <f>IFS(L312=0,"",B312&lt;&gt;"",B312,TRUE,NOW())</f>
        <v/>
      </c>
      <c r="C312" s="70" t="s">
        <v>37</v>
      </c>
      <c r="D312" s="33"/>
      <c r="E312" s="71"/>
      <c r="F312" s="71"/>
      <c r="G312" s="71"/>
      <c r="H312" s="71"/>
      <c r="I312" s="71"/>
      <c r="J312" s="71"/>
      <c r="K312" s="72" t="s">
        <v>38</v>
      </c>
      <c r="L312" s="73">
        <f>L311-L310</f>
        <v>0</v>
      </c>
      <c r="M312" s="74" t="s">
        <v>39</v>
      </c>
      <c r="N312" s="75" t="b">
        <v>0</v>
      </c>
    </row>
    <row r="313" ht="13.5" customHeight="1">
      <c r="A313" s="78" t="s">
        <v>48</v>
      </c>
      <c r="B313" s="52" t="s">
        <v>100</v>
      </c>
      <c r="C313" s="53" t="s">
        <v>27</v>
      </c>
      <c r="D313" s="54"/>
      <c r="E313" s="55">
        <f t="shared" ref="E313:J313" si="85">E311-E314</f>
        <v>0</v>
      </c>
      <c r="F313" s="55">
        <f t="shared" si="85"/>
        <v>0</v>
      </c>
      <c r="G313" s="55">
        <f t="shared" si="85"/>
        <v>0</v>
      </c>
      <c r="H313" s="55">
        <f t="shared" si="85"/>
        <v>0</v>
      </c>
      <c r="I313" s="55">
        <f t="shared" si="85"/>
        <v>0</v>
      </c>
      <c r="J313" s="55">
        <f t="shared" si="85"/>
        <v>0</v>
      </c>
      <c r="K313" s="56"/>
      <c r="L313" s="30"/>
      <c r="M313" s="57" t="s">
        <v>28</v>
      </c>
      <c r="N313" s="58" t="b">
        <v>0</v>
      </c>
    </row>
    <row r="314" ht="13.5" customHeight="1">
      <c r="A314" s="87"/>
      <c r="B314" s="59"/>
      <c r="C314" s="53" t="s">
        <v>30</v>
      </c>
      <c r="D314" s="54"/>
      <c r="E314" s="60"/>
      <c r="F314" s="60"/>
      <c r="G314" s="60"/>
      <c r="H314" s="60"/>
      <c r="I314" s="60"/>
      <c r="J314" s="60"/>
      <c r="K314" s="61" t="s">
        <v>30</v>
      </c>
      <c r="L314" s="62">
        <f>(E314*E299)+(F314*F299)+(G314*G299)+(H314*H299)+(I314*I299)+(J314*J299)</f>
        <v>0</v>
      </c>
      <c r="M314" s="57" t="s">
        <v>31</v>
      </c>
      <c r="N314" s="63" t="b">
        <v>0</v>
      </c>
    </row>
    <row r="315" ht="13.5" customHeight="1">
      <c r="A315" s="68"/>
      <c r="B315" s="65" t="s">
        <v>49</v>
      </c>
      <c r="C315" s="53" t="s">
        <v>34</v>
      </c>
      <c r="D315" s="54"/>
      <c r="E315" s="66"/>
      <c r="F315" s="66"/>
      <c r="G315" s="66"/>
      <c r="H315" s="66"/>
      <c r="I315" s="66"/>
      <c r="J315" s="66"/>
      <c r="K315" s="67" t="s">
        <v>35</v>
      </c>
      <c r="L315" s="62">
        <f>(E315*E299)+(F315*F299)+(G315*G299)+(H315*H299)+(I315*I299)+(J315*J299)</f>
        <v>0</v>
      </c>
      <c r="M315" s="57" t="s">
        <v>36</v>
      </c>
      <c r="N315" s="63" t="b">
        <v>0</v>
      </c>
    </row>
    <row r="316" ht="13.5" customHeight="1">
      <c r="A316" s="80"/>
      <c r="B316" s="69" t="str">
        <f>IFS(L316=0,"",B316&lt;&gt;"",B316,TRUE,NOW())</f>
        <v/>
      </c>
      <c r="C316" s="53" t="s">
        <v>37</v>
      </c>
      <c r="D316" s="54"/>
      <c r="E316" s="81"/>
      <c r="F316" s="81"/>
      <c r="G316" s="81"/>
      <c r="H316" s="82"/>
      <c r="I316" s="81"/>
      <c r="J316" s="81"/>
      <c r="K316" s="72" t="s">
        <v>38</v>
      </c>
      <c r="L316" s="73">
        <f>L315-L314</f>
        <v>0</v>
      </c>
      <c r="M316" s="74" t="s">
        <v>39</v>
      </c>
      <c r="N316" s="75" t="b">
        <v>0</v>
      </c>
    </row>
    <row r="317" ht="15.0" customHeight="1">
      <c r="A317" s="83" t="s">
        <v>101</v>
      </c>
      <c r="B317" s="42" t="s">
        <v>20</v>
      </c>
      <c r="C317" s="24"/>
      <c r="D317" s="33"/>
      <c r="E317" s="43">
        <f t="shared" ref="E317:J317" si="86">E6</f>
        <v>17</v>
      </c>
      <c r="F317" s="43">
        <f t="shared" si="86"/>
        <v>27</v>
      </c>
      <c r="G317" s="43">
        <f t="shared" si="86"/>
        <v>27</v>
      </c>
      <c r="H317" s="43">
        <f t="shared" si="86"/>
        <v>27</v>
      </c>
      <c r="I317" s="43">
        <f t="shared" si="86"/>
        <v>32</v>
      </c>
      <c r="J317" s="44">
        <f t="shared" si="86"/>
        <v>37</v>
      </c>
      <c r="K317" s="42" t="s">
        <v>21</v>
      </c>
      <c r="L317" s="25"/>
      <c r="M317" s="45" t="s">
        <v>22</v>
      </c>
      <c r="N317" s="25"/>
    </row>
    <row r="318" ht="13.5" customHeight="1">
      <c r="A318" s="46" t="s">
        <v>23</v>
      </c>
      <c r="B318" s="47" t="s">
        <v>24</v>
      </c>
      <c r="C318" s="32" t="s">
        <v>25</v>
      </c>
      <c r="D318" s="33"/>
      <c r="E318" s="48"/>
      <c r="F318" s="48"/>
      <c r="G318" s="48"/>
      <c r="H318" s="48"/>
      <c r="I318" s="48"/>
      <c r="J318" s="48"/>
      <c r="K318" s="49"/>
      <c r="L318" s="25"/>
      <c r="M318" s="50"/>
      <c r="N318" s="10"/>
    </row>
    <row r="319" ht="13.5" customHeight="1">
      <c r="A319" s="92"/>
      <c r="B319" s="52" t="s">
        <v>102</v>
      </c>
      <c r="C319" s="53" t="s">
        <v>27</v>
      </c>
      <c r="D319" s="54"/>
      <c r="E319" s="55">
        <f t="shared" ref="E319:J319" si="87">E318-E320</f>
        <v>0</v>
      </c>
      <c r="F319" s="55">
        <f t="shared" si="87"/>
        <v>0</v>
      </c>
      <c r="G319" s="55">
        <f t="shared" si="87"/>
        <v>0</v>
      </c>
      <c r="H319" s="55">
        <f t="shared" si="87"/>
        <v>0</v>
      </c>
      <c r="I319" s="55">
        <f t="shared" si="87"/>
        <v>0</v>
      </c>
      <c r="J319" s="55">
        <f t="shared" si="87"/>
        <v>0</v>
      </c>
      <c r="K319" s="56"/>
      <c r="L319" s="30"/>
      <c r="M319" s="57" t="s">
        <v>28</v>
      </c>
      <c r="N319" s="58" t="b">
        <v>0</v>
      </c>
    </row>
    <row r="320" ht="13.5" customHeight="1">
      <c r="A320" s="46" t="s">
        <v>29</v>
      </c>
      <c r="B320" s="59"/>
      <c r="C320" s="53" t="s">
        <v>30</v>
      </c>
      <c r="D320" s="54"/>
      <c r="E320" s="60"/>
      <c r="F320" s="60"/>
      <c r="G320" s="60"/>
      <c r="H320" s="60"/>
      <c r="I320" s="60"/>
      <c r="J320" s="60"/>
      <c r="K320" s="61" t="s">
        <v>30</v>
      </c>
      <c r="L320" s="62">
        <f>(E320*E317)+(F320*F317)+(G320*G317)+(H320*H317)+(I320*I317)+(J320*J317)</f>
        <v>0</v>
      </c>
      <c r="M320" s="57" t="s">
        <v>31</v>
      </c>
      <c r="N320" s="63" t="b">
        <v>0</v>
      </c>
    </row>
    <row r="321" ht="13.5" customHeight="1">
      <c r="A321" s="64"/>
      <c r="B321" s="65" t="s">
        <v>33</v>
      </c>
      <c r="C321" s="53" t="s">
        <v>34</v>
      </c>
      <c r="D321" s="54"/>
      <c r="E321" s="66"/>
      <c r="F321" s="66"/>
      <c r="G321" s="66"/>
      <c r="H321" s="66"/>
      <c r="I321" s="66"/>
      <c r="J321" s="66"/>
      <c r="K321" s="67" t="s">
        <v>35</v>
      </c>
      <c r="L321" s="62">
        <f>(E321*E317)+(F321*F317)+(G321*G317)+(H321*H317)+(I321*I317)+(J321*J317)</f>
        <v>0</v>
      </c>
      <c r="M321" s="57" t="s">
        <v>36</v>
      </c>
      <c r="N321" s="63" t="b">
        <v>0</v>
      </c>
    </row>
    <row r="322" ht="15.0" customHeight="1">
      <c r="A322" s="68"/>
      <c r="B322" s="69" t="str">
        <f>IFS(L322=0,"",B322&lt;&gt;"",B322,TRUE,NOW())</f>
        <v/>
      </c>
      <c r="C322" s="70" t="s">
        <v>37</v>
      </c>
      <c r="D322" s="33"/>
      <c r="E322" s="71"/>
      <c r="F322" s="71"/>
      <c r="G322" s="71"/>
      <c r="H322" s="71"/>
      <c r="I322" s="71"/>
      <c r="J322" s="71"/>
      <c r="K322" s="72" t="s">
        <v>38</v>
      </c>
      <c r="L322" s="73">
        <f>L321-L320</f>
        <v>0</v>
      </c>
      <c r="M322" s="74" t="s">
        <v>39</v>
      </c>
      <c r="N322" s="75" t="b">
        <v>0</v>
      </c>
    </row>
    <row r="323" ht="13.5" customHeight="1">
      <c r="A323" s="46" t="s">
        <v>40</v>
      </c>
      <c r="B323" s="52" t="s">
        <v>102</v>
      </c>
      <c r="C323" s="53" t="s">
        <v>27</v>
      </c>
      <c r="D323" s="54"/>
      <c r="E323" s="55">
        <f t="shared" ref="E323:J323" si="88">E321-E324</f>
        <v>0</v>
      </c>
      <c r="F323" s="55">
        <f t="shared" si="88"/>
        <v>0</v>
      </c>
      <c r="G323" s="55">
        <f t="shared" si="88"/>
        <v>0</v>
      </c>
      <c r="H323" s="55">
        <f t="shared" si="88"/>
        <v>0</v>
      </c>
      <c r="I323" s="55">
        <f t="shared" si="88"/>
        <v>0</v>
      </c>
      <c r="J323" s="55">
        <f t="shared" si="88"/>
        <v>0</v>
      </c>
      <c r="K323" s="56"/>
      <c r="L323" s="30"/>
      <c r="M323" s="57" t="s">
        <v>28</v>
      </c>
      <c r="N323" s="58" t="b">
        <v>0</v>
      </c>
    </row>
    <row r="324" ht="13.5" customHeight="1">
      <c r="A324" s="64"/>
      <c r="B324" s="59"/>
      <c r="C324" s="53" t="s">
        <v>30</v>
      </c>
      <c r="D324" s="54"/>
      <c r="E324" s="60"/>
      <c r="F324" s="60"/>
      <c r="G324" s="60"/>
      <c r="H324" s="60"/>
      <c r="I324" s="60"/>
      <c r="J324" s="60"/>
      <c r="K324" s="61" t="s">
        <v>30</v>
      </c>
      <c r="L324" s="62">
        <f>(E324*E317)+(F324*F317)+(G324*G317)+(H324*H317)+(I324*I317)+(J324*J317)</f>
        <v>0</v>
      </c>
      <c r="M324" s="57" t="s">
        <v>31</v>
      </c>
      <c r="N324" s="63" t="b">
        <v>0</v>
      </c>
    </row>
    <row r="325" ht="13.5" customHeight="1">
      <c r="A325" s="68"/>
      <c r="B325" s="65" t="s">
        <v>42</v>
      </c>
      <c r="C325" s="53" t="s">
        <v>34</v>
      </c>
      <c r="D325" s="54"/>
      <c r="E325" s="66"/>
      <c r="F325" s="66"/>
      <c r="G325" s="66"/>
      <c r="H325" s="66"/>
      <c r="I325" s="66"/>
      <c r="J325" s="66"/>
      <c r="K325" s="67" t="s">
        <v>35</v>
      </c>
      <c r="L325" s="62">
        <f>(E325*E317)+(F325*F317)+(G325*G317)+(H325*H317)+(I325*I317)+(J325*J317)</f>
        <v>0</v>
      </c>
      <c r="M325" s="57" t="s">
        <v>36</v>
      </c>
      <c r="N325" s="63" t="b">
        <v>0</v>
      </c>
    </row>
    <row r="326" ht="13.5" customHeight="1">
      <c r="A326" s="46" t="s">
        <v>43</v>
      </c>
      <c r="B326" s="69" t="str">
        <f>IFS(L326=0,"",B326&lt;&gt;"",B326,TRUE,NOW())</f>
        <v/>
      </c>
      <c r="C326" s="70" t="s">
        <v>37</v>
      </c>
      <c r="D326" s="33"/>
      <c r="E326" s="71"/>
      <c r="F326" s="71"/>
      <c r="G326" s="71"/>
      <c r="H326" s="71"/>
      <c r="I326" s="71"/>
      <c r="J326" s="71"/>
      <c r="K326" s="72" t="s">
        <v>38</v>
      </c>
      <c r="L326" s="73">
        <f>L325-L324</f>
        <v>0</v>
      </c>
      <c r="M326" s="74" t="s">
        <v>39</v>
      </c>
      <c r="N326" s="75" t="b">
        <v>0</v>
      </c>
    </row>
    <row r="327" ht="15.0" customHeight="1">
      <c r="A327" s="64"/>
      <c r="B327" s="52" t="s">
        <v>102</v>
      </c>
      <c r="C327" s="53" t="s">
        <v>27</v>
      </c>
      <c r="D327" s="54"/>
      <c r="E327" s="55">
        <f t="shared" ref="E327:J327" si="89">E325-E328</f>
        <v>0</v>
      </c>
      <c r="F327" s="55">
        <f t="shared" si="89"/>
        <v>0</v>
      </c>
      <c r="G327" s="55">
        <f t="shared" si="89"/>
        <v>0</v>
      </c>
      <c r="H327" s="55">
        <f t="shared" si="89"/>
        <v>0</v>
      </c>
      <c r="I327" s="55">
        <f t="shared" si="89"/>
        <v>0</v>
      </c>
      <c r="J327" s="55">
        <f t="shared" si="89"/>
        <v>0</v>
      </c>
      <c r="K327" s="56"/>
      <c r="L327" s="30"/>
      <c r="M327" s="57" t="s">
        <v>28</v>
      </c>
      <c r="N327" s="58" t="b">
        <v>0</v>
      </c>
    </row>
    <row r="328" ht="13.5" customHeight="1">
      <c r="A328" s="46" t="s">
        <v>45</v>
      </c>
      <c r="B328" s="59"/>
      <c r="C328" s="53" t="s">
        <v>30</v>
      </c>
      <c r="D328" s="54"/>
      <c r="E328" s="60"/>
      <c r="F328" s="60"/>
      <c r="G328" s="60"/>
      <c r="H328" s="60"/>
      <c r="I328" s="60"/>
      <c r="J328" s="60"/>
      <c r="K328" s="61" t="s">
        <v>30</v>
      </c>
      <c r="L328" s="62">
        <f>(E328*E317)+(F328*F317)+(G328*G317)+(H328*H317)+(I328*I317)+(J328*J317)</f>
        <v>0</v>
      </c>
      <c r="M328" s="57" t="s">
        <v>31</v>
      </c>
      <c r="N328" s="63" t="b">
        <v>0</v>
      </c>
    </row>
    <row r="329" ht="13.5" customHeight="1">
      <c r="A329" s="77"/>
      <c r="B329" s="65" t="s">
        <v>47</v>
      </c>
      <c r="C329" s="53" t="s">
        <v>34</v>
      </c>
      <c r="D329" s="54"/>
      <c r="E329" s="66"/>
      <c r="F329" s="66"/>
      <c r="G329" s="66"/>
      <c r="H329" s="66"/>
      <c r="I329" s="66"/>
      <c r="J329" s="66"/>
      <c r="K329" s="67" t="s">
        <v>35</v>
      </c>
      <c r="L329" s="62">
        <f>(E329*E317)+(F329*F317)+(G329*G317)+(H329*H317)+(I329*I317)+(J329*J317)</f>
        <v>0</v>
      </c>
      <c r="M329" s="57" t="s">
        <v>36</v>
      </c>
      <c r="N329" s="63" t="b">
        <v>0</v>
      </c>
    </row>
    <row r="330" ht="13.5" customHeight="1">
      <c r="A330" s="68"/>
      <c r="B330" s="69" t="str">
        <f>IFS(L330=0,"",B330&lt;&gt;"",B330,TRUE,NOW())</f>
        <v/>
      </c>
      <c r="C330" s="70" t="s">
        <v>37</v>
      </c>
      <c r="D330" s="33"/>
      <c r="E330" s="71"/>
      <c r="F330" s="71"/>
      <c r="G330" s="71"/>
      <c r="H330" s="71"/>
      <c r="I330" s="71"/>
      <c r="J330" s="71"/>
      <c r="K330" s="72" t="s">
        <v>38</v>
      </c>
      <c r="L330" s="73">
        <f>L329-L328</f>
        <v>0</v>
      </c>
      <c r="M330" s="74" t="s">
        <v>39</v>
      </c>
      <c r="N330" s="75" t="b">
        <v>0</v>
      </c>
    </row>
    <row r="331" ht="13.5" customHeight="1">
      <c r="A331" s="78" t="s">
        <v>48</v>
      </c>
      <c r="B331" s="52" t="s">
        <v>102</v>
      </c>
      <c r="C331" s="53" t="s">
        <v>27</v>
      </c>
      <c r="D331" s="54"/>
      <c r="E331" s="55">
        <f t="shared" ref="E331:J331" si="90">E329-E332</f>
        <v>0</v>
      </c>
      <c r="F331" s="55">
        <f t="shared" si="90"/>
        <v>0</v>
      </c>
      <c r="G331" s="55">
        <f t="shared" si="90"/>
        <v>0</v>
      </c>
      <c r="H331" s="55">
        <f t="shared" si="90"/>
        <v>0</v>
      </c>
      <c r="I331" s="55">
        <f t="shared" si="90"/>
        <v>0</v>
      </c>
      <c r="J331" s="55">
        <f t="shared" si="90"/>
        <v>0</v>
      </c>
      <c r="K331" s="56"/>
      <c r="L331" s="30"/>
      <c r="M331" s="57" t="s">
        <v>28</v>
      </c>
      <c r="N331" s="58" t="b">
        <v>0</v>
      </c>
    </row>
    <row r="332" ht="15.0" customHeight="1">
      <c r="A332" s="87"/>
      <c r="B332" s="59"/>
      <c r="C332" s="53" t="s">
        <v>30</v>
      </c>
      <c r="D332" s="54"/>
      <c r="E332" s="60"/>
      <c r="F332" s="60"/>
      <c r="G332" s="60"/>
      <c r="H332" s="60"/>
      <c r="I332" s="60"/>
      <c r="J332" s="60"/>
      <c r="K332" s="61" t="s">
        <v>30</v>
      </c>
      <c r="L332" s="62">
        <f>(E332*E317)+(F332*F317)+(G332*G317)+(H332*H317)+(I332*I317)+(J332*J317)</f>
        <v>0</v>
      </c>
      <c r="M332" s="57" t="s">
        <v>31</v>
      </c>
      <c r="N332" s="63" t="b">
        <v>0</v>
      </c>
    </row>
    <row r="333" ht="13.5" customHeight="1">
      <c r="A333" s="68"/>
      <c r="B333" s="65" t="s">
        <v>49</v>
      </c>
      <c r="C333" s="53" t="s">
        <v>34</v>
      </c>
      <c r="D333" s="54"/>
      <c r="E333" s="66"/>
      <c r="F333" s="66"/>
      <c r="G333" s="66"/>
      <c r="H333" s="66"/>
      <c r="I333" s="66"/>
      <c r="J333" s="66"/>
      <c r="K333" s="67" t="s">
        <v>35</v>
      </c>
      <c r="L333" s="62">
        <f>(E333*E317)+(F333*F317)+(G333*G317)+(H333*H317)+(I333*I317)+(J333*J317)</f>
        <v>0</v>
      </c>
      <c r="M333" s="57" t="s">
        <v>36</v>
      </c>
      <c r="N333" s="63" t="b">
        <v>0</v>
      </c>
    </row>
    <row r="334" ht="13.5" customHeight="1">
      <c r="A334" s="80"/>
      <c r="B334" s="69" t="str">
        <f>IFS(L334=0,"",B334&lt;&gt;"",B334,TRUE,NOW())</f>
        <v/>
      </c>
      <c r="C334" s="53" t="s">
        <v>37</v>
      </c>
      <c r="D334" s="54"/>
      <c r="E334" s="81"/>
      <c r="F334" s="81"/>
      <c r="G334" s="81"/>
      <c r="H334" s="82"/>
      <c r="I334" s="81"/>
      <c r="J334" s="81"/>
      <c r="K334" s="72" t="s">
        <v>38</v>
      </c>
      <c r="L334" s="73">
        <f>L333-L332</f>
        <v>0</v>
      </c>
      <c r="M334" s="74" t="s">
        <v>39</v>
      </c>
      <c r="N334" s="75" t="b">
        <v>0</v>
      </c>
    </row>
    <row r="335" ht="13.5" customHeight="1">
      <c r="A335" s="83" t="s">
        <v>103</v>
      </c>
      <c r="B335" s="42" t="s">
        <v>20</v>
      </c>
      <c r="C335" s="24"/>
      <c r="D335" s="33"/>
      <c r="E335" s="43">
        <f t="shared" ref="E335:J335" si="91">E6</f>
        <v>17</v>
      </c>
      <c r="F335" s="43">
        <f t="shared" si="91"/>
        <v>27</v>
      </c>
      <c r="G335" s="43">
        <f t="shared" si="91"/>
        <v>27</v>
      </c>
      <c r="H335" s="43">
        <f t="shared" si="91"/>
        <v>27</v>
      </c>
      <c r="I335" s="43">
        <f t="shared" si="91"/>
        <v>32</v>
      </c>
      <c r="J335" s="44">
        <f t="shared" si="91"/>
        <v>37</v>
      </c>
      <c r="K335" s="42" t="s">
        <v>21</v>
      </c>
      <c r="L335" s="25"/>
      <c r="M335" s="45" t="s">
        <v>22</v>
      </c>
      <c r="N335" s="25"/>
    </row>
    <row r="336" ht="13.5" customHeight="1">
      <c r="A336" s="46" t="s">
        <v>23</v>
      </c>
      <c r="B336" s="47" t="s">
        <v>24</v>
      </c>
      <c r="C336" s="32" t="s">
        <v>25</v>
      </c>
      <c r="D336" s="33"/>
      <c r="E336" s="48"/>
      <c r="F336" s="48"/>
      <c r="G336" s="48"/>
      <c r="H336" s="48"/>
      <c r="I336" s="48"/>
      <c r="J336" s="48"/>
      <c r="K336" s="49"/>
      <c r="L336" s="25"/>
      <c r="M336" s="50"/>
      <c r="N336" s="10"/>
    </row>
    <row r="337" ht="13.5" customHeight="1">
      <c r="A337" s="92"/>
      <c r="B337" s="52" t="s">
        <v>104</v>
      </c>
      <c r="C337" s="53" t="s">
        <v>27</v>
      </c>
      <c r="D337" s="54"/>
      <c r="E337" s="55">
        <f t="shared" ref="E337:J337" si="92">E336-E338</f>
        <v>0</v>
      </c>
      <c r="F337" s="55">
        <f t="shared" si="92"/>
        <v>0</v>
      </c>
      <c r="G337" s="55">
        <f t="shared" si="92"/>
        <v>0</v>
      </c>
      <c r="H337" s="55">
        <f t="shared" si="92"/>
        <v>0</v>
      </c>
      <c r="I337" s="55">
        <f t="shared" si="92"/>
        <v>0</v>
      </c>
      <c r="J337" s="55">
        <f t="shared" si="92"/>
        <v>0</v>
      </c>
      <c r="K337" s="56"/>
      <c r="L337" s="30"/>
      <c r="M337" s="57" t="s">
        <v>28</v>
      </c>
      <c r="N337" s="58" t="b">
        <v>0</v>
      </c>
    </row>
    <row r="338" ht="13.5" customHeight="1">
      <c r="A338" s="46" t="s">
        <v>29</v>
      </c>
      <c r="B338" s="59"/>
      <c r="C338" s="53" t="s">
        <v>30</v>
      </c>
      <c r="D338" s="54"/>
      <c r="E338" s="60"/>
      <c r="F338" s="60"/>
      <c r="G338" s="60"/>
      <c r="H338" s="60"/>
      <c r="I338" s="60"/>
      <c r="J338" s="60"/>
      <c r="K338" s="61" t="s">
        <v>30</v>
      </c>
      <c r="L338" s="62">
        <f>(E338*E335)+(F338*F335)+(G338*G335)+(H338*H335)+(I338*I335)+(J338*J335)</f>
        <v>0</v>
      </c>
      <c r="M338" s="57" t="s">
        <v>31</v>
      </c>
      <c r="N338" s="63" t="b">
        <v>0</v>
      </c>
    </row>
    <row r="339" ht="15.0" customHeight="1">
      <c r="A339" s="64"/>
      <c r="B339" s="65" t="s">
        <v>33</v>
      </c>
      <c r="C339" s="53" t="s">
        <v>34</v>
      </c>
      <c r="D339" s="54"/>
      <c r="E339" s="66"/>
      <c r="F339" s="66"/>
      <c r="G339" s="66"/>
      <c r="H339" s="66"/>
      <c r="I339" s="66"/>
      <c r="J339" s="66"/>
      <c r="K339" s="67" t="s">
        <v>35</v>
      </c>
      <c r="L339" s="62">
        <f>(E339*E335)+(F339*F335)+(G339*G335)+(H339*H335)+(I339*I335)+(J339*J335)</f>
        <v>0</v>
      </c>
      <c r="M339" s="57" t="s">
        <v>36</v>
      </c>
      <c r="N339" s="63" t="b">
        <v>0</v>
      </c>
    </row>
    <row r="340" ht="13.5" customHeight="1">
      <c r="A340" s="68"/>
      <c r="B340" s="69" t="str">
        <f>IFS(L340=0,"",B340&lt;&gt;"",B340,TRUE,NOW())</f>
        <v/>
      </c>
      <c r="C340" s="70" t="s">
        <v>37</v>
      </c>
      <c r="D340" s="33"/>
      <c r="E340" s="71"/>
      <c r="F340" s="71"/>
      <c r="G340" s="71"/>
      <c r="H340" s="71"/>
      <c r="I340" s="71"/>
      <c r="J340" s="71"/>
      <c r="K340" s="72" t="s">
        <v>38</v>
      </c>
      <c r="L340" s="73">
        <f>L339-L338</f>
        <v>0</v>
      </c>
      <c r="M340" s="74" t="s">
        <v>39</v>
      </c>
      <c r="N340" s="75" t="b">
        <v>0</v>
      </c>
    </row>
    <row r="341" ht="13.5" customHeight="1">
      <c r="A341" s="46" t="s">
        <v>40</v>
      </c>
      <c r="B341" s="52" t="s">
        <v>104</v>
      </c>
      <c r="C341" s="53" t="s">
        <v>27</v>
      </c>
      <c r="D341" s="54"/>
      <c r="E341" s="55">
        <f t="shared" ref="E341:J341" si="93">E339-E342</f>
        <v>0</v>
      </c>
      <c r="F341" s="55">
        <f t="shared" si="93"/>
        <v>0</v>
      </c>
      <c r="G341" s="55">
        <f t="shared" si="93"/>
        <v>0</v>
      </c>
      <c r="H341" s="55">
        <f t="shared" si="93"/>
        <v>0</v>
      </c>
      <c r="I341" s="55">
        <f t="shared" si="93"/>
        <v>0</v>
      </c>
      <c r="J341" s="55">
        <f t="shared" si="93"/>
        <v>0</v>
      </c>
      <c r="K341" s="56"/>
      <c r="L341" s="30"/>
      <c r="M341" s="57" t="s">
        <v>28</v>
      </c>
      <c r="N341" s="58" t="b">
        <v>0</v>
      </c>
    </row>
    <row r="342" ht="13.5" customHeight="1">
      <c r="A342" s="64"/>
      <c r="B342" s="59"/>
      <c r="C342" s="53" t="s">
        <v>30</v>
      </c>
      <c r="D342" s="54"/>
      <c r="E342" s="60"/>
      <c r="F342" s="60"/>
      <c r="G342" s="60"/>
      <c r="H342" s="60"/>
      <c r="I342" s="60"/>
      <c r="J342" s="60"/>
      <c r="K342" s="61" t="s">
        <v>30</v>
      </c>
      <c r="L342" s="62">
        <f>(E342*E335)+(F342*F335)+(G342*G335)+(H342*H335)+(I342*I335)+(J342*J335)</f>
        <v>0</v>
      </c>
      <c r="M342" s="57" t="s">
        <v>31</v>
      </c>
      <c r="N342" s="63" t="b">
        <v>0</v>
      </c>
    </row>
    <row r="343" ht="13.5" customHeight="1">
      <c r="A343" s="68"/>
      <c r="B343" s="65" t="s">
        <v>42</v>
      </c>
      <c r="C343" s="53" t="s">
        <v>34</v>
      </c>
      <c r="D343" s="54"/>
      <c r="E343" s="66"/>
      <c r="F343" s="66"/>
      <c r="G343" s="66"/>
      <c r="H343" s="66"/>
      <c r="I343" s="66"/>
      <c r="J343" s="66"/>
      <c r="K343" s="67" t="s">
        <v>35</v>
      </c>
      <c r="L343" s="62">
        <f>(E343*E335)+(F343*F335)+(G343*G335)+(H343*H335)+(I343*I335)+(J343*J335)</f>
        <v>0</v>
      </c>
      <c r="M343" s="57" t="s">
        <v>36</v>
      </c>
      <c r="N343" s="63" t="b">
        <v>0</v>
      </c>
    </row>
    <row r="344" ht="15.0" customHeight="1">
      <c r="A344" s="46" t="s">
        <v>43</v>
      </c>
      <c r="B344" s="69" t="str">
        <f>IFS(L344=0,"",B344&lt;&gt;"",B344,TRUE,NOW())</f>
        <v/>
      </c>
      <c r="C344" s="70" t="s">
        <v>37</v>
      </c>
      <c r="D344" s="33"/>
      <c r="E344" s="71"/>
      <c r="F344" s="71"/>
      <c r="G344" s="71"/>
      <c r="H344" s="71"/>
      <c r="I344" s="71"/>
      <c r="J344" s="71"/>
      <c r="K344" s="72" t="s">
        <v>38</v>
      </c>
      <c r="L344" s="73">
        <f>L343-L342</f>
        <v>0</v>
      </c>
      <c r="M344" s="74" t="s">
        <v>39</v>
      </c>
      <c r="N344" s="75" t="b">
        <v>0</v>
      </c>
    </row>
    <row r="345" ht="13.5" customHeight="1">
      <c r="A345" s="64"/>
      <c r="B345" s="52" t="s">
        <v>104</v>
      </c>
      <c r="C345" s="53" t="s">
        <v>27</v>
      </c>
      <c r="D345" s="54"/>
      <c r="E345" s="55">
        <f t="shared" ref="E345:J345" si="94">E343-E346</f>
        <v>0</v>
      </c>
      <c r="F345" s="55">
        <f t="shared" si="94"/>
        <v>0</v>
      </c>
      <c r="G345" s="55">
        <f t="shared" si="94"/>
        <v>0</v>
      </c>
      <c r="H345" s="55">
        <f t="shared" si="94"/>
        <v>0</v>
      </c>
      <c r="I345" s="55">
        <f t="shared" si="94"/>
        <v>0</v>
      </c>
      <c r="J345" s="55">
        <f t="shared" si="94"/>
        <v>0</v>
      </c>
      <c r="K345" s="56"/>
      <c r="L345" s="30"/>
      <c r="M345" s="57" t="s">
        <v>28</v>
      </c>
      <c r="N345" s="58" t="b">
        <v>0</v>
      </c>
    </row>
    <row r="346" ht="13.5" customHeight="1">
      <c r="A346" s="46" t="s">
        <v>45</v>
      </c>
      <c r="B346" s="59"/>
      <c r="C346" s="53" t="s">
        <v>30</v>
      </c>
      <c r="D346" s="54"/>
      <c r="E346" s="60"/>
      <c r="F346" s="60"/>
      <c r="G346" s="60"/>
      <c r="H346" s="60"/>
      <c r="I346" s="60"/>
      <c r="J346" s="60"/>
      <c r="K346" s="61" t="s">
        <v>30</v>
      </c>
      <c r="L346" s="62">
        <f>(E346*E335)+(F346*F335)+(G346*G335)+(H346*H335)+(I346*I335)+(J346*J335)</f>
        <v>0</v>
      </c>
      <c r="M346" s="57" t="s">
        <v>31</v>
      </c>
      <c r="N346" s="63" t="b">
        <v>0</v>
      </c>
    </row>
    <row r="347" ht="13.5" customHeight="1">
      <c r="A347" s="77"/>
      <c r="B347" s="65" t="s">
        <v>47</v>
      </c>
      <c r="C347" s="53" t="s">
        <v>34</v>
      </c>
      <c r="D347" s="54"/>
      <c r="E347" s="66"/>
      <c r="F347" s="66"/>
      <c r="G347" s="66"/>
      <c r="H347" s="66"/>
      <c r="I347" s="66"/>
      <c r="J347" s="66"/>
      <c r="K347" s="67" t="s">
        <v>35</v>
      </c>
      <c r="L347" s="62">
        <f>(E347*E335)+(F347*F335)+(G347*G335)+(H347*H335)+(I347*I335)+(J347*J335)</f>
        <v>0</v>
      </c>
      <c r="M347" s="57" t="s">
        <v>36</v>
      </c>
      <c r="N347" s="63" t="b">
        <v>0</v>
      </c>
    </row>
    <row r="348" ht="13.5" customHeight="1">
      <c r="A348" s="68"/>
      <c r="B348" s="69" t="str">
        <f>IFS(L348=0,"",B348&lt;&gt;"",B348,TRUE,NOW())</f>
        <v/>
      </c>
      <c r="C348" s="70" t="s">
        <v>37</v>
      </c>
      <c r="D348" s="33"/>
      <c r="E348" s="71"/>
      <c r="F348" s="71"/>
      <c r="G348" s="71"/>
      <c r="H348" s="71"/>
      <c r="I348" s="71"/>
      <c r="J348" s="71"/>
      <c r="K348" s="72" t="s">
        <v>38</v>
      </c>
      <c r="L348" s="73">
        <f>L347-L346</f>
        <v>0</v>
      </c>
      <c r="M348" s="74" t="s">
        <v>39</v>
      </c>
      <c r="N348" s="75" t="b">
        <v>0</v>
      </c>
    </row>
    <row r="349" ht="15.0" customHeight="1">
      <c r="A349" s="78" t="s">
        <v>48</v>
      </c>
      <c r="B349" s="52" t="s">
        <v>104</v>
      </c>
      <c r="C349" s="53" t="s">
        <v>27</v>
      </c>
      <c r="D349" s="54"/>
      <c r="E349" s="55">
        <f t="shared" ref="E349:J349" si="95">E347-E350</f>
        <v>0</v>
      </c>
      <c r="F349" s="55">
        <f t="shared" si="95"/>
        <v>0</v>
      </c>
      <c r="G349" s="55">
        <f t="shared" si="95"/>
        <v>0</v>
      </c>
      <c r="H349" s="55">
        <f t="shared" si="95"/>
        <v>0</v>
      </c>
      <c r="I349" s="55">
        <f t="shared" si="95"/>
        <v>0</v>
      </c>
      <c r="J349" s="55">
        <f t="shared" si="95"/>
        <v>0</v>
      </c>
      <c r="K349" s="56"/>
      <c r="L349" s="30"/>
      <c r="M349" s="57" t="s">
        <v>28</v>
      </c>
      <c r="N349" s="58" t="b">
        <v>0</v>
      </c>
    </row>
    <row r="350" ht="13.5" customHeight="1">
      <c r="A350" s="87"/>
      <c r="B350" s="59"/>
      <c r="C350" s="53" t="s">
        <v>30</v>
      </c>
      <c r="D350" s="54"/>
      <c r="E350" s="60"/>
      <c r="F350" s="60"/>
      <c r="G350" s="60"/>
      <c r="H350" s="60"/>
      <c r="I350" s="60"/>
      <c r="J350" s="60"/>
      <c r="K350" s="61" t="s">
        <v>30</v>
      </c>
      <c r="L350" s="62">
        <f>(E350*E335)+(F350*F335)+(G350*G335)+(H350*H335)+(I350*I335)+(J350*J335)</f>
        <v>0</v>
      </c>
      <c r="M350" s="57" t="s">
        <v>31</v>
      </c>
      <c r="N350" s="63" t="b">
        <v>0</v>
      </c>
    </row>
    <row r="351" ht="13.5" customHeight="1">
      <c r="A351" s="68"/>
      <c r="B351" s="65" t="s">
        <v>49</v>
      </c>
      <c r="C351" s="53" t="s">
        <v>34</v>
      </c>
      <c r="D351" s="54"/>
      <c r="E351" s="66"/>
      <c r="F351" s="66"/>
      <c r="G351" s="66"/>
      <c r="H351" s="66"/>
      <c r="I351" s="66"/>
      <c r="J351" s="66"/>
      <c r="K351" s="67" t="s">
        <v>35</v>
      </c>
      <c r="L351" s="62">
        <f>(E351*E335)+(F351*F335)+(G351*G335)+(H351*H335)+(I351*I335)+(J351*J335)</f>
        <v>0</v>
      </c>
      <c r="M351" s="57" t="s">
        <v>36</v>
      </c>
      <c r="N351" s="63" t="b">
        <v>0</v>
      </c>
    </row>
    <row r="352" ht="13.5" customHeight="1">
      <c r="A352" s="80"/>
      <c r="B352" s="69" t="str">
        <f>IFS(L352=0,"",B352&lt;&gt;"",B352,TRUE,NOW())</f>
        <v/>
      </c>
      <c r="C352" s="86" t="s">
        <v>37</v>
      </c>
      <c r="D352" s="59"/>
      <c r="E352" s="81"/>
      <c r="F352" s="81"/>
      <c r="G352" s="81"/>
      <c r="H352" s="82"/>
      <c r="I352" s="81"/>
      <c r="J352" s="81"/>
      <c r="K352" s="72" t="s">
        <v>38</v>
      </c>
      <c r="L352" s="73">
        <f>L351-L350</f>
        <v>0</v>
      </c>
      <c r="M352" s="74" t="s">
        <v>39</v>
      </c>
      <c r="N352" s="75" t="b">
        <v>0</v>
      </c>
    </row>
    <row r="353" ht="13.5" customHeight="1">
      <c r="A353" s="83" t="s">
        <v>105</v>
      </c>
      <c r="B353" s="42" t="s">
        <v>20</v>
      </c>
      <c r="C353" s="24"/>
      <c r="D353" s="33"/>
      <c r="E353" s="43">
        <f t="shared" ref="E353:J353" si="96">E6</f>
        <v>17</v>
      </c>
      <c r="F353" s="43">
        <f t="shared" si="96"/>
        <v>27</v>
      </c>
      <c r="G353" s="43">
        <f t="shared" si="96"/>
        <v>27</v>
      </c>
      <c r="H353" s="43">
        <f t="shared" si="96"/>
        <v>27</v>
      </c>
      <c r="I353" s="43">
        <f t="shared" si="96"/>
        <v>32</v>
      </c>
      <c r="J353" s="44">
        <f t="shared" si="96"/>
        <v>37</v>
      </c>
      <c r="K353" s="42" t="s">
        <v>21</v>
      </c>
      <c r="L353" s="25"/>
      <c r="M353" s="45" t="s">
        <v>22</v>
      </c>
      <c r="N353" s="25"/>
    </row>
    <row r="354" ht="18.0" customHeight="1">
      <c r="A354" s="46" t="s">
        <v>23</v>
      </c>
      <c r="B354" s="47" t="s">
        <v>24</v>
      </c>
      <c r="C354" s="32" t="s">
        <v>25</v>
      </c>
      <c r="D354" s="33"/>
      <c r="E354" s="48"/>
      <c r="F354" s="48"/>
      <c r="G354" s="48"/>
      <c r="H354" s="48"/>
      <c r="I354" s="48"/>
      <c r="J354" s="48"/>
      <c r="K354" s="49"/>
      <c r="L354" s="25"/>
      <c r="M354" s="50"/>
      <c r="N354" s="10"/>
    </row>
    <row r="355" ht="13.5" customHeight="1">
      <c r="A355" s="92"/>
      <c r="B355" s="52" t="s">
        <v>106</v>
      </c>
      <c r="C355" s="53" t="s">
        <v>27</v>
      </c>
      <c r="D355" s="54"/>
      <c r="E355" s="55">
        <f t="shared" ref="E355:J355" si="97">E354-E356</f>
        <v>0</v>
      </c>
      <c r="F355" s="55">
        <f t="shared" si="97"/>
        <v>0</v>
      </c>
      <c r="G355" s="55">
        <f t="shared" si="97"/>
        <v>0</v>
      </c>
      <c r="H355" s="55">
        <f t="shared" si="97"/>
        <v>0</v>
      </c>
      <c r="I355" s="55">
        <f t="shared" si="97"/>
        <v>0</v>
      </c>
      <c r="J355" s="55">
        <f t="shared" si="97"/>
        <v>0</v>
      </c>
      <c r="K355" s="56"/>
      <c r="L355" s="30"/>
      <c r="M355" s="57" t="s">
        <v>28</v>
      </c>
      <c r="N355" s="58" t="b">
        <v>0</v>
      </c>
    </row>
    <row r="356" ht="13.5" customHeight="1">
      <c r="A356" s="46" t="s">
        <v>29</v>
      </c>
      <c r="B356" s="59"/>
      <c r="C356" s="53" t="s">
        <v>30</v>
      </c>
      <c r="D356" s="54"/>
      <c r="E356" s="60"/>
      <c r="F356" s="60"/>
      <c r="G356" s="60"/>
      <c r="H356" s="60"/>
      <c r="I356" s="60"/>
      <c r="J356" s="60"/>
      <c r="K356" s="61" t="s">
        <v>30</v>
      </c>
      <c r="L356" s="62">
        <f>(E356*E353)+(F356*F353)+(G356*G353)+(H356*H353)+(I356*I353)+(J356*J353)</f>
        <v>0</v>
      </c>
      <c r="M356" s="57" t="s">
        <v>31</v>
      </c>
      <c r="N356" s="63" t="b">
        <v>0</v>
      </c>
    </row>
    <row r="357" ht="13.5" customHeight="1">
      <c r="A357" s="64"/>
      <c r="B357" s="65" t="s">
        <v>33</v>
      </c>
      <c r="C357" s="53" t="s">
        <v>34</v>
      </c>
      <c r="D357" s="54"/>
      <c r="E357" s="66"/>
      <c r="F357" s="66"/>
      <c r="G357" s="66"/>
      <c r="H357" s="66"/>
      <c r="I357" s="66"/>
      <c r="J357" s="66"/>
      <c r="K357" s="67" t="s">
        <v>35</v>
      </c>
      <c r="L357" s="62">
        <f>(E357*E353)+(F357*F353)+(G357*G353)+(H357*H353)+(I357*I353)+(J357*J353)</f>
        <v>0</v>
      </c>
      <c r="M357" s="57" t="s">
        <v>36</v>
      </c>
      <c r="N357" s="63" t="b">
        <v>0</v>
      </c>
    </row>
    <row r="358" ht="13.5" customHeight="1">
      <c r="A358" s="68"/>
      <c r="B358" s="69" t="str">
        <f>IFS(L358=0,"",B358&lt;&gt;"",B358,TRUE,NOW())</f>
        <v/>
      </c>
      <c r="C358" s="70" t="s">
        <v>37</v>
      </c>
      <c r="D358" s="33"/>
      <c r="E358" s="71"/>
      <c r="F358" s="71"/>
      <c r="G358" s="71"/>
      <c r="H358" s="71"/>
      <c r="I358" s="71"/>
      <c r="J358" s="71"/>
      <c r="K358" s="72" t="s">
        <v>38</v>
      </c>
      <c r="L358" s="73">
        <f>L357-L356</f>
        <v>0</v>
      </c>
      <c r="M358" s="74" t="s">
        <v>39</v>
      </c>
      <c r="N358" s="75" t="b">
        <v>0</v>
      </c>
    </row>
    <row r="359" ht="13.5" customHeight="1">
      <c r="A359" s="46" t="s">
        <v>40</v>
      </c>
      <c r="B359" s="52" t="s">
        <v>106</v>
      </c>
      <c r="C359" s="53" t="s">
        <v>27</v>
      </c>
      <c r="D359" s="54"/>
      <c r="E359" s="55">
        <f t="shared" ref="E359:J359" si="98">E357-E360</f>
        <v>0</v>
      </c>
      <c r="F359" s="55">
        <f t="shared" si="98"/>
        <v>0</v>
      </c>
      <c r="G359" s="55">
        <f t="shared" si="98"/>
        <v>0</v>
      </c>
      <c r="H359" s="55">
        <f t="shared" si="98"/>
        <v>0</v>
      </c>
      <c r="I359" s="55">
        <f t="shared" si="98"/>
        <v>0</v>
      </c>
      <c r="J359" s="55">
        <f t="shared" si="98"/>
        <v>0</v>
      </c>
      <c r="K359" s="56"/>
      <c r="L359" s="30"/>
      <c r="M359" s="57" t="s">
        <v>28</v>
      </c>
      <c r="N359" s="58" t="b">
        <v>0</v>
      </c>
    </row>
    <row r="360" ht="13.5" customHeight="1">
      <c r="A360" s="64"/>
      <c r="B360" s="59"/>
      <c r="C360" s="53" t="s">
        <v>30</v>
      </c>
      <c r="D360" s="54"/>
      <c r="E360" s="60"/>
      <c r="F360" s="60"/>
      <c r="G360" s="60"/>
      <c r="H360" s="60"/>
      <c r="I360" s="60"/>
      <c r="J360" s="60"/>
      <c r="K360" s="61" t="s">
        <v>30</v>
      </c>
      <c r="L360" s="62">
        <f>(E360*E353)+(F360*F353)+(G360*G353)+(H360*H353)+(I360*I353)+(J360*J353)</f>
        <v>0</v>
      </c>
      <c r="M360" s="57" t="s">
        <v>31</v>
      </c>
      <c r="N360" s="63" t="b">
        <v>0</v>
      </c>
    </row>
    <row r="361" ht="15.0" customHeight="1">
      <c r="A361" s="68"/>
      <c r="B361" s="65" t="s">
        <v>42</v>
      </c>
      <c r="C361" s="53" t="s">
        <v>34</v>
      </c>
      <c r="D361" s="54"/>
      <c r="E361" s="66"/>
      <c r="F361" s="66"/>
      <c r="G361" s="66"/>
      <c r="H361" s="66"/>
      <c r="I361" s="66"/>
      <c r="J361" s="66"/>
      <c r="K361" s="67" t="s">
        <v>35</v>
      </c>
      <c r="L361" s="62">
        <f>(E361*E353)+(F361*F353)+(G361*G353)+(H361*H353)+(I361*I353)+(J361*J353)</f>
        <v>0</v>
      </c>
      <c r="M361" s="57" t="s">
        <v>36</v>
      </c>
      <c r="N361" s="63" t="b">
        <v>0</v>
      </c>
    </row>
    <row r="362" ht="13.5" customHeight="1">
      <c r="A362" s="46" t="s">
        <v>43</v>
      </c>
      <c r="B362" s="69" t="str">
        <f>IFS(L362=0,"",B362&lt;&gt;"",B362,TRUE,NOW())</f>
        <v/>
      </c>
      <c r="C362" s="70" t="s">
        <v>37</v>
      </c>
      <c r="D362" s="33"/>
      <c r="E362" s="71"/>
      <c r="F362" s="71"/>
      <c r="G362" s="71"/>
      <c r="H362" s="71"/>
      <c r="I362" s="71"/>
      <c r="J362" s="71"/>
      <c r="K362" s="72" t="s">
        <v>38</v>
      </c>
      <c r="L362" s="73">
        <f>L361-L360</f>
        <v>0</v>
      </c>
      <c r="M362" s="74" t="s">
        <v>39</v>
      </c>
      <c r="N362" s="75" t="b">
        <v>0</v>
      </c>
    </row>
    <row r="363" ht="13.5" customHeight="1">
      <c r="A363" s="64"/>
      <c r="B363" s="52" t="s">
        <v>106</v>
      </c>
      <c r="C363" s="53" t="s">
        <v>27</v>
      </c>
      <c r="D363" s="54"/>
      <c r="E363" s="55">
        <f t="shared" ref="E363:J363" si="99">E361-E364</f>
        <v>0</v>
      </c>
      <c r="F363" s="55">
        <f t="shared" si="99"/>
        <v>0</v>
      </c>
      <c r="G363" s="55">
        <f t="shared" si="99"/>
        <v>0</v>
      </c>
      <c r="H363" s="55">
        <f t="shared" si="99"/>
        <v>0</v>
      </c>
      <c r="I363" s="55">
        <f t="shared" si="99"/>
        <v>0</v>
      </c>
      <c r="J363" s="55">
        <f t="shared" si="99"/>
        <v>0</v>
      </c>
      <c r="K363" s="56"/>
      <c r="L363" s="30"/>
      <c r="M363" s="57" t="s">
        <v>28</v>
      </c>
      <c r="N363" s="58" t="b">
        <v>0</v>
      </c>
    </row>
    <row r="364" ht="13.5" customHeight="1">
      <c r="A364" s="46" t="s">
        <v>45</v>
      </c>
      <c r="B364" s="59"/>
      <c r="C364" s="53" t="s">
        <v>30</v>
      </c>
      <c r="D364" s="54"/>
      <c r="E364" s="60"/>
      <c r="F364" s="60"/>
      <c r="G364" s="60"/>
      <c r="H364" s="60"/>
      <c r="I364" s="60"/>
      <c r="J364" s="60"/>
      <c r="K364" s="61" t="s">
        <v>30</v>
      </c>
      <c r="L364" s="62">
        <f>(E364*E353)+(F364*F353)+(G364*G353)+(H364*H353)+(I364*I353)+(J364*J353)</f>
        <v>0</v>
      </c>
      <c r="M364" s="57" t="s">
        <v>31</v>
      </c>
      <c r="N364" s="63" t="b">
        <v>0</v>
      </c>
    </row>
    <row r="365" ht="13.5" customHeight="1">
      <c r="A365" s="77"/>
      <c r="B365" s="65" t="s">
        <v>47</v>
      </c>
      <c r="C365" s="53" t="s">
        <v>34</v>
      </c>
      <c r="D365" s="54"/>
      <c r="E365" s="66"/>
      <c r="F365" s="66"/>
      <c r="G365" s="66"/>
      <c r="H365" s="66"/>
      <c r="I365" s="66"/>
      <c r="J365" s="66"/>
      <c r="K365" s="67" t="s">
        <v>35</v>
      </c>
      <c r="L365" s="62">
        <f>(E365*E353)+(F365*F353)+(G365*G353)+(H365*H353)+(I365*I353)+(J365*J353)</f>
        <v>0</v>
      </c>
      <c r="M365" s="57" t="s">
        <v>36</v>
      </c>
      <c r="N365" s="63" t="b">
        <v>0</v>
      </c>
    </row>
    <row r="366" ht="15.0" customHeight="1">
      <c r="A366" s="68"/>
      <c r="B366" s="69" t="str">
        <f>IFS(L366=0,"",B366&lt;&gt;"",B366,TRUE,NOW())</f>
        <v/>
      </c>
      <c r="C366" s="70" t="s">
        <v>37</v>
      </c>
      <c r="D366" s="33"/>
      <c r="E366" s="71"/>
      <c r="F366" s="71"/>
      <c r="G366" s="71"/>
      <c r="H366" s="71"/>
      <c r="I366" s="71"/>
      <c r="J366" s="71"/>
      <c r="K366" s="72" t="s">
        <v>38</v>
      </c>
      <c r="L366" s="73">
        <f>L365-L364</f>
        <v>0</v>
      </c>
      <c r="M366" s="74" t="s">
        <v>39</v>
      </c>
      <c r="N366" s="75" t="b">
        <v>0</v>
      </c>
    </row>
    <row r="367" ht="13.5" customHeight="1">
      <c r="A367" s="78" t="s">
        <v>48</v>
      </c>
      <c r="B367" s="52" t="s">
        <v>106</v>
      </c>
      <c r="C367" s="53" t="s">
        <v>27</v>
      </c>
      <c r="D367" s="54"/>
      <c r="E367" s="55">
        <f t="shared" ref="E367:J367" si="100">E365-E368</f>
        <v>0</v>
      </c>
      <c r="F367" s="55">
        <f t="shared" si="100"/>
        <v>0</v>
      </c>
      <c r="G367" s="55">
        <f t="shared" si="100"/>
        <v>0</v>
      </c>
      <c r="H367" s="55">
        <f t="shared" si="100"/>
        <v>0</v>
      </c>
      <c r="I367" s="55">
        <f t="shared" si="100"/>
        <v>0</v>
      </c>
      <c r="J367" s="55">
        <f t="shared" si="100"/>
        <v>0</v>
      </c>
      <c r="K367" s="56"/>
      <c r="L367" s="30"/>
      <c r="M367" s="57" t="s">
        <v>28</v>
      </c>
      <c r="N367" s="58" t="b">
        <v>0</v>
      </c>
    </row>
    <row r="368" ht="13.5" customHeight="1">
      <c r="A368" s="87"/>
      <c r="B368" s="59"/>
      <c r="C368" s="53" t="s">
        <v>30</v>
      </c>
      <c r="D368" s="54"/>
      <c r="E368" s="60"/>
      <c r="F368" s="60"/>
      <c r="G368" s="60"/>
      <c r="H368" s="60"/>
      <c r="I368" s="60"/>
      <c r="J368" s="60"/>
      <c r="K368" s="61" t="s">
        <v>30</v>
      </c>
      <c r="L368" s="62">
        <f>(E368*E353)+(F368*F353)+(G368*G353)+(H368*H353)+(I368*I353)+(J368*J353)</f>
        <v>0</v>
      </c>
      <c r="M368" s="57" t="s">
        <v>31</v>
      </c>
      <c r="N368" s="63" t="b">
        <v>0</v>
      </c>
    </row>
    <row r="369" ht="13.5" customHeight="1">
      <c r="A369" s="68"/>
      <c r="B369" s="65" t="s">
        <v>49</v>
      </c>
      <c r="C369" s="53" t="s">
        <v>34</v>
      </c>
      <c r="D369" s="54"/>
      <c r="E369" s="66"/>
      <c r="F369" s="66"/>
      <c r="G369" s="66"/>
      <c r="H369" s="66"/>
      <c r="I369" s="66"/>
      <c r="J369" s="66"/>
      <c r="K369" s="67" t="s">
        <v>35</v>
      </c>
      <c r="L369" s="62">
        <f>(E369*E353)+(F369*F353)+(G369*G353)+(H369*H353)+(I369*I353)+(J369*J353)</f>
        <v>0</v>
      </c>
      <c r="M369" s="57" t="s">
        <v>36</v>
      </c>
      <c r="N369" s="63" t="b">
        <v>0</v>
      </c>
    </row>
    <row r="370" ht="13.5" customHeight="1">
      <c r="A370" s="80"/>
      <c r="B370" s="69" t="str">
        <f>IFS(L370=0,"",B370&lt;&gt;"",B370,TRUE,NOW())</f>
        <v/>
      </c>
      <c r="C370" s="86" t="s">
        <v>37</v>
      </c>
      <c r="D370" s="59"/>
      <c r="E370" s="81"/>
      <c r="F370" s="81"/>
      <c r="G370" s="81"/>
      <c r="H370" s="82"/>
      <c r="I370" s="81"/>
      <c r="J370" s="81"/>
      <c r="K370" s="72" t="s">
        <v>38</v>
      </c>
      <c r="L370" s="73">
        <f>L369-L368</f>
        <v>0</v>
      </c>
      <c r="M370" s="74" t="s">
        <v>39</v>
      </c>
      <c r="N370" s="75" t="b">
        <v>0</v>
      </c>
    </row>
    <row r="371" ht="18.75" customHeight="1">
      <c r="A371" s="83" t="s">
        <v>107</v>
      </c>
      <c r="B371" s="42" t="s">
        <v>20</v>
      </c>
      <c r="C371" s="24"/>
      <c r="D371" s="33"/>
      <c r="E371" s="43">
        <f t="shared" ref="E371:J371" si="101">E6</f>
        <v>17</v>
      </c>
      <c r="F371" s="43">
        <f t="shared" si="101"/>
        <v>27</v>
      </c>
      <c r="G371" s="43">
        <f t="shared" si="101"/>
        <v>27</v>
      </c>
      <c r="H371" s="43">
        <f t="shared" si="101"/>
        <v>27</v>
      </c>
      <c r="I371" s="43">
        <f t="shared" si="101"/>
        <v>32</v>
      </c>
      <c r="J371" s="44">
        <f t="shared" si="101"/>
        <v>37</v>
      </c>
      <c r="K371" s="42" t="s">
        <v>21</v>
      </c>
      <c r="L371" s="25"/>
      <c r="M371" s="45" t="s">
        <v>22</v>
      </c>
      <c r="N371" s="25"/>
    </row>
    <row r="372" ht="13.5" customHeight="1">
      <c r="A372" s="46" t="s">
        <v>23</v>
      </c>
      <c r="B372" s="47" t="s">
        <v>24</v>
      </c>
      <c r="C372" s="32" t="s">
        <v>25</v>
      </c>
      <c r="D372" s="33"/>
      <c r="E372" s="48"/>
      <c r="F372" s="48"/>
      <c r="G372" s="48"/>
      <c r="H372" s="48"/>
      <c r="I372" s="48"/>
      <c r="J372" s="48"/>
      <c r="K372" s="49"/>
      <c r="L372" s="25"/>
      <c r="M372" s="50"/>
      <c r="N372" s="10"/>
    </row>
    <row r="373" ht="13.5" customHeight="1">
      <c r="A373" s="92"/>
      <c r="B373" s="52" t="s">
        <v>108</v>
      </c>
      <c r="C373" s="53" t="s">
        <v>27</v>
      </c>
      <c r="D373" s="54"/>
      <c r="E373" s="55">
        <f t="shared" ref="E373:J373" si="102">E372-E374</f>
        <v>0</v>
      </c>
      <c r="F373" s="55">
        <f t="shared" si="102"/>
        <v>0</v>
      </c>
      <c r="G373" s="55">
        <f t="shared" si="102"/>
        <v>0</v>
      </c>
      <c r="H373" s="55">
        <f t="shared" si="102"/>
        <v>0</v>
      </c>
      <c r="I373" s="55">
        <f t="shared" si="102"/>
        <v>0</v>
      </c>
      <c r="J373" s="55">
        <f t="shared" si="102"/>
        <v>0</v>
      </c>
      <c r="K373" s="56"/>
      <c r="L373" s="30"/>
      <c r="M373" s="57" t="s">
        <v>28</v>
      </c>
      <c r="N373" s="58" t="b">
        <v>0</v>
      </c>
    </row>
    <row r="374" ht="13.5" customHeight="1">
      <c r="A374" s="46" t="s">
        <v>29</v>
      </c>
      <c r="B374" s="59"/>
      <c r="C374" s="53" t="s">
        <v>30</v>
      </c>
      <c r="D374" s="54"/>
      <c r="E374" s="60"/>
      <c r="F374" s="60"/>
      <c r="G374" s="60"/>
      <c r="H374" s="60"/>
      <c r="I374" s="60"/>
      <c r="J374" s="60"/>
      <c r="K374" s="61" t="s">
        <v>30</v>
      </c>
      <c r="L374" s="62">
        <f>(E374*E371)+(F374*F371)+(G374*G371)+(H374*H371)+(I374*I371)+(J374*J371)</f>
        <v>0</v>
      </c>
      <c r="M374" s="57" t="s">
        <v>31</v>
      </c>
      <c r="N374" s="63" t="b">
        <v>0</v>
      </c>
    </row>
    <row r="375" ht="13.5" customHeight="1">
      <c r="A375" s="64"/>
      <c r="B375" s="65" t="s">
        <v>33</v>
      </c>
      <c r="C375" s="53" t="s">
        <v>34</v>
      </c>
      <c r="D375" s="54"/>
      <c r="E375" s="66"/>
      <c r="F375" s="66"/>
      <c r="G375" s="66"/>
      <c r="H375" s="66"/>
      <c r="I375" s="66"/>
      <c r="J375" s="66"/>
      <c r="K375" s="67" t="s">
        <v>35</v>
      </c>
      <c r="L375" s="62">
        <f>(E375*E371)+(F375*F371)+(G375*G371)+(H375*H371)+(I375*I371)+(J375*J371)</f>
        <v>0</v>
      </c>
      <c r="M375" s="57" t="s">
        <v>36</v>
      </c>
      <c r="N375" s="63" t="b">
        <v>0</v>
      </c>
    </row>
    <row r="376" ht="15.0" customHeight="1">
      <c r="A376" s="68"/>
      <c r="B376" s="69" t="str">
        <f>IFS(L376=0,"",B376&lt;&gt;"",B376,TRUE,NOW())</f>
        <v/>
      </c>
      <c r="C376" s="70" t="s">
        <v>37</v>
      </c>
      <c r="D376" s="33"/>
      <c r="E376" s="71"/>
      <c r="F376" s="71"/>
      <c r="G376" s="71"/>
      <c r="H376" s="71"/>
      <c r="I376" s="71"/>
      <c r="J376" s="71"/>
      <c r="K376" s="72" t="s">
        <v>38</v>
      </c>
      <c r="L376" s="73">
        <f>L375-L374</f>
        <v>0</v>
      </c>
      <c r="M376" s="74" t="s">
        <v>39</v>
      </c>
      <c r="N376" s="75" t="b">
        <v>0</v>
      </c>
    </row>
    <row r="377" ht="13.5" customHeight="1">
      <c r="A377" s="46" t="s">
        <v>40</v>
      </c>
      <c r="B377" s="52" t="s">
        <v>108</v>
      </c>
      <c r="C377" s="53" t="s">
        <v>27</v>
      </c>
      <c r="D377" s="54"/>
      <c r="E377" s="55">
        <f t="shared" ref="E377:J377" si="103">E375-E378</f>
        <v>0</v>
      </c>
      <c r="F377" s="55">
        <f t="shared" si="103"/>
        <v>0</v>
      </c>
      <c r="G377" s="55">
        <f t="shared" si="103"/>
        <v>0</v>
      </c>
      <c r="H377" s="55">
        <f t="shared" si="103"/>
        <v>0</v>
      </c>
      <c r="I377" s="55">
        <f t="shared" si="103"/>
        <v>0</v>
      </c>
      <c r="J377" s="55">
        <f t="shared" si="103"/>
        <v>0</v>
      </c>
      <c r="K377" s="56"/>
      <c r="L377" s="30"/>
      <c r="M377" s="57" t="s">
        <v>28</v>
      </c>
      <c r="N377" s="58" t="b">
        <v>0</v>
      </c>
    </row>
    <row r="378" ht="13.5" customHeight="1">
      <c r="A378" s="64"/>
      <c r="B378" s="59"/>
      <c r="C378" s="53" t="s">
        <v>30</v>
      </c>
      <c r="D378" s="54"/>
      <c r="E378" s="60"/>
      <c r="F378" s="60"/>
      <c r="G378" s="60"/>
      <c r="H378" s="60"/>
      <c r="I378" s="60"/>
      <c r="J378" s="60"/>
      <c r="K378" s="61" t="s">
        <v>30</v>
      </c>
      <c r="L378" s="62">
        <f>(E378*E371)+(F378*F371)+(G378*G371)+(H378*H371)+(I378*I371)+(J378*J371)</f>
        <v>0</v>
      </c>
      <c r="M378" s="57" t="s">
        <v>31</v>
      </c>
      <c r="N378" s="63" t="b">
        <v>0</v>
      </c>
    </row>
    <row r="379" ht="13.5" customHeight="1">
      <c r="A379" s="68"/>
      <c r="B379" s="65" t="s">
        <v>42</v>
      </c>
      <c r="C379" s="53" t="s">
        <v>34</v>
      </c>
      <c r="D379" s="54"/>
      <c r="E379" s="66"/>
      <c r="F379" s="66"/>
      <c r="G379" s="66"/>
      <c r="H379" s="66"/>
      <c r="I379" s="66"/>
      <c r="J379" s="66"/>
      <c r="K379" s="67" t="s">
        <v>35</v>
      </c>
      <c r="L379" s="62">
        <f>(E379*E371)+(F379*F371)+(G379*G371)+(H379*H371)+(I379*I371)+(J379*J371)</f>
        <v>0</v>
      </c>
      <c r="M379" s="57" t="s">
        <v>36</v>
      </c>
      <c r="N379" s="63" t="b">
        <v>0</v>
      </c>
    </row>
    <row r="380" ht="13.5" customHeight="1">
      <c r="A380" s="46" t="s">
        <v>43</v>
      </c>
      <c r="B380" s="69" t="str">
        <f>IFS(L380=0,"",B380&lt;&gt;"",B380,TRUE,NOW())</f>
        <v/>
      </c>
      <c r="C380" s="70" t="s">
        <v>37</v>
      </c>
      <c r="D380" s="33"/>
      <c r="E380" s="71"/>
      <c r="F380" s="71"/>
      <c r="G380" s="71"/>
      <c r="H380" s="71"/>
      <c r="I380" s="71"/>
      <c r="J380" s="71"/>
      <c r="K380" s="72" t="s">
        <v>38</v>
      </c>
      <c r="L380" s="73">
        <f>L379-L378</f>
        <v>0</v>
      </c>
      <c r="M380" s="74" t="s">
        <v>39</v>
      </c>
      <c r="N380" s="75" t="b">
        <v>0</v>
      </c>
    </row>
    <row r="381" ht="13.5" customHeight="1">
      <c r="A381" s="64"/>
      <c r="B381" s="52" t="s">
        <v>108</v>
      </c>
      <c r="C381" s="53" t="s">
        <v>27</v>
      </c>
      <c r="D381" s="54"/>
      <c r="E381" s="55">
        <f t="shared" ref="E381:J381" si="104">E379-E382</f>
        <v>0</v>
      </c>
      <c r="F381" s="55">
        <f t="shared" si="104"/>
        <v>0</v>
      </c>
      <c r="G381" s="55">
        <f t="shared" si="104"/>
        <v>0</v>
      </c>
      <c r="H381" s="55">
        <f t="shared" si="104"/>
        <v>0</v>
      </c>
      <c r="I381" s="55">
        <f t="shared" si="104"/>
        <v>0</v>
      </c>
      <c r="J381" s="55">
        <f t="shared" si="104"/>
        <v>0</v>
      </c>
      <c r="K381" s="56"/>
      <c r="L381" s="30"/>
      <c r="M381" s="57" t="s">
        <v>28</v>
      </c>
      <c r="N381" s="58" t="b">
        <v>0</v>
      </c>
    </row>
    <row r="382" ht="13.5" customHeight="1">
      <c r="A382" s="46" t="s">
        <v>45</v>
      </c>
      <c r="B382" s="59"/>
      <c r="C382" s="53" t="s">
        <v>30</v>
      </c>
      <c r="D382" s="54"/>
      <c r="E382" s="60"/>
      <c r="F382" s="60"/>
      <c r="G382" s="60"/>
      <c r="H382" s="60"/>
      <c r="I382" s="60"/>
      <c r="J382" s="60"/>
      <c r="K382" s="61" t="s">
        <v>30</v>
      </c>
      <c r="L382" s="62">
        <f>(E382*E371)+(F382*F371)+(G382*G371)+(H382*H371)+(I382*I371)+(J382*J371)</f>
        <v>0</v>
      </c>
      <c r="M382" s="57" t="s">
        <v>31</v>
      </c>
      <c r="N382" s="63" t="b">
        <v>0</v>
      </c>
    </row>
    <row r="383" ht="17.25" customHeight="1">
      <c r="A383" s="77"/>
      <c r="B383" s="65" t="s">
        <v>47</v>
      </c>
      <c r="C383" s="53" t="s">
        <v>34</v>
      </c>
      <c r="D383" s="54"/>
      <c r="E383" s="66"/>
      <c r="F383" s="66"/>
      <c r="G383" s="66"/>
      <c r="H383" s="66"/>
      <c r="I383" s="66"/>
      <c r="J383" s="66"/>
      <c r="K383" s="67" t="s">
        <v>35</v>
      </c>
      <c r="L383" s="62">
        <f>(E383*E371)+(F383*F371)+(G383*G371)+(H383*H371)+(I383*I371)+(J383*J371)</f>
        <v>0</v>
      </c>
      <c r="M383" s="57" t="s">
        <v>36</v>
      </c>
      <c r="N383" s="63" t="b">
        <v>0</v>
      </c>
    </row>
    <row r="384" ht="13.5" customHeight="1">
      <c r="A384" s="68"/>
      <c r="B384" s="69" t="str">
        <f>IFS(L384=0,"",B384&lt;&gt;"",B384,TRUE,NOW())</f>
        <v/>
      </c>
      <c r="C384" s="70" t="s">
        <v>37</v>
      </c>
      <c r="D384" s="33"/>
      <c r="E384" s="71"/>
      <c r="F384" s="71"/>
      <c r="G384" s="71"/>
      <c r="H384" s="71"/>
      <c r="I384" s="71"/>
      <c r="J384" s="71"/>
      <c r="K384" s="72" t="s">
        <v>38</v>
      </c>
      <c r="L384" s="73">
        <f>L383-L382</f>
        <v>0</v>
      </c>
      <c r="M384" s="74" t="s">
        <v>39</v>
      </c>
      <c r="N384" s="75" t="b">
        <v>0</v>
      </c>
    </row>
    <row r="385" ht="13.5" customHeight="1">
      <c r="A385" s="78" t="s">
        <v>48</v>
      </c>
      <c r="B385" s="52" t="s">
        <v>108</v>
      </c>
      <c r="C385" s="53" t="s">
        <v>27</v>
      </c>
      <c r="D385" s="54"/>
      <c r="E385" s="55">
        <f t="shared" ref="E385:J385" si="105">E383-E386</f>
        <v>0</v>
      </c>
      <c r="F385" s="55">
        <f t="shared" si="105"/>
        <v>0</v>
      </c>
      <c r="G385" s="55">
        <f t="shared" si="105"/>
        <v>0</v>
      </c>
      <c r="H385" s="55">
        <f t="shared" si="105"/>
        <v>0</v>
      </c>
      <c r="I385" s="55">
        <f t="shared" si="105"/>
        <v>0</v>
      </c>
      <c r="J385" s="55">
        <f t="shared" si="105"/>
        <v>0</v>
      </c>
      <c r="K385" s="56"/>
      <c r="L385" s="30"/>
      <c r="M385" s="57" t="s">
        <v>28</v>
      </c>
      <c r="N385" s="58" t="b">
        <v>0</v>
      </c>
    </row>
    <row r="386" ht="13.5" customHeight="1">
      <c r="A386" s="87"/>
      <c r="B386" s="59"/>
      <c r="C386" s="53" t="s">
        <v>30</v>
      </c>
      <c r="D386" s="54"/>
      <c r="E386" s="60"/>
      <c r="F386" s="60"/>
      <c r="G386" s="60"/>
      <c r="H386" s="60"/>
      <c r="I386" s="60"/>
      <c r="J386" s="60"/>
      <c r="K386" s="61" t="s">
        <v>30</v>
      </c>
      <c r="L386" s="62">
        <f>(E386*E371)+(F386*F371)+(G386*G371)+(H386*H371)+(I386*I371)+(J386*J371)</f>
        <v>0</v>
      </c>
      <c r="M386" s="57" t="s">
        <v>31</v>
      </c>
      <c r="N386" s="63" t="b">
        <v>0</v>
      </c>
    </row>
    <row r="387" ht="13.5" customHeight="1">
      <c r="A387" s="68"/>
      <c r="B387" s="65" t="s">
        <v>49</v>
      </c>
      <c r="C387" s="53" t="s">
        <v>34</v>
      </c>
      <c r="D387" s="54"/>
      <c r="E387" s="66"/>
      <c r="F387" s="66"/>
      <c r="G387" s="66"/>
      <c r="H387" s="66"/>
      <c r="I387" s="66"/>
      <c r="J387" s="66"/>
      <c r="K387" s="67" t="s">
        <v>35</v>
      </c>
      <c r="L387" s="62">
        <f>(E387*E371)+(F387*F371)+(G387*G371)+(H387*H371)+(I387*I371)+(J387*J371)</f>
        <v>0</v>
      </c>
      <c r="M387" s="57" t="s">
        <v>36</v>
      </c>
      <c r="N387" s="63" t="b">
        <v>0</v>
      </c>
    </row>
    <row r="388" ht="15.0" customHeight="1">
      <c r="A388" s="80"/>
      <c r="B388" s="69" t="str">
        <f>IFS(L388=0,"",B388&lt;&gt;"",B388,TRUE,NOW())</f>
        <v/>
      </c>
      <c r="C388" s="53" t="s">
        <v>37</v>
      </c>
      <c r="D388" s="54"/>
      <c r="E388" s="81"/>
      <c r="F388" s="81"/>
      <c r="G388" s="81"/>
      <c r="H388" s="82"/>
      <c r="I388" s="81"/>
      <c r="J388" s="81"/>
      <c r="K388" s="72" t="s">
        <v>38</v>
      </c>
      <c r="L388" s="73">
        <f>L387-L386</f>
        <v>0</v>
      </c>
      <c r="M388" s="74" t="s">
        <v>39</v>
      </c>
      <c r="N388" s="75" t="b">
        <v>0</v>
      </c>
    </row>
    <row r="389" ht="13.5" customHeight="1">
      <c r="A389" s="83" t="s">
        <v>109</v>
      </c>
      <c r="B389" s="42" t="s">
        <v>20</v>
      </c>
      <c r="C389" s="24"/>
      <c r="D389" s="33"/>
      <c r="E389" s="43">
        <f t="shared" ref="E389:J389" si="106">E6</f>
        <v>17</v>
      </c>
      <c r="F389" s="43">
        <f t="shared" si="106"/>
        <v>27</v>
      </c>
      <c r="G389" s="43">
        <f t="shared" si="106"/>
        <v>27</v>
      </c>
      <c r="H389" s="43">
        <f t="shared" si="106"/>
        <v>27</v>
      </c>
      <c r="I389" s="43">
        <f t="shared" si="106"/>
        <v>32</v>
      </c>
      <c r="J389" s="44">
        <f t="shared" si="106"/>
        <v>37</v>
      </c>
      <c r="K389" s="42" t="s">
        <v>21</v>
      </c>
      <c r="L389" s="25"/>
      <c r="M389" s="45" t="s">
        <v>22</v>
      </c>
      <c r="N389" s="25"/>
    </row>
    <row r="390" ht="13.5" customHeight="1">
      <c r="A390" s="46" t="s">
        <v>23</v>
      </c>
      <c r="B390" s="47" t="s">
        <v>24</v>
      </c>
      <c r="C390" s="32" t="s">
        <v>25</v>
      </c>
      <c r="D390" s="33"/>
      <c r="E390" s="48"/>
      <c r="F390" s="48"/>
      <c r="G390" s="48"/>
      <c r="H390" s="48"/>
      <c r="I390" s="48"/>
      <c r="J390" s="48"/>
      <c r="K390" s="49"/>
      <c r="L390" s="25"/>
      <c r="M390" s="50"/>
      <c r="N390" s="10"/>
    </row>
    <row r="391" ht="13.5" customHeight="1">
      <c r="A391" s="92"/>
      <c r="B391" s="52" t="s">
        <v>110</v>
      </c>
      <c r="C391" s="53" t="s">
        <v>27</v>
      </c>
      <c r="D391" s="54"/>
      <c r="E391" s="55">
        <f t="shared" ref="E391:J391" si="107">E390-E392</f>
        <v>0</v>
      </c>
      <c r="F391" s="55">
        <f t="shared" si="107"/>
        <v>0</v>
      </c>
      <c r="G391" s="55">
        <f t="shared" si="107"/>
        <v>0</v>
      </c>
      <c r="H391" s="55">
        <f t="shared" si="107"/>
        <v>0</v>
      </c>
      <c r="I391" s="55">
        <f t="shared" si="107"/>
        <v>0</v>
      </c>
      <c r="J391" s="55">
        <f t="shared" si="107"/>
        <v>0</v>
      </c>
      <c r="K391" s="56"/>
      <c r="L391" s="30"/>
      <c r="M391" s="57" t="s">
        <v>28</v>
      </c>
      <c r="N391" s="58" t="b">
        <v>0</v>
      </c>
    </row>
    <row r="392" ht="13.5" customHeight="1">
      <c r="A392" s="46" t="s">
        <v>29</v>
      </c>
      <c r="B392" s="59"/>
      <c r="C392" s="53" t="s">
        <v>30</v>
      </c>
      <c r="D392" s="54"/>
      <c r="E392" s="60"/>
      <c r="F392" s="60"/>
      <c r="G392" s="60"/>
      <c r="H392" s="60"/>
      <c r="I392" s="60"/>
      <c r="J392" s="60"/>
      <c r="K392" s="61" t="s">
        <v>30</v>
      </c>
      <c r="L392" s="62">
        <f>(E392*E389)+(F392*F389)+(G392*G389)+(H392*H389)+(I392*I389)+(J392*J389)</f>
        <v>0</v>
      </c>
      <c r="M392" s="57" t="s">
        <v>31</v>
      </c>
      <c r="N392" s="63" t="b">
        <v>0</v>
      </c>
    </row>
    <row r="393" ht="16.5" customHeight="1">
      <c r="A393" s="64"/>
      <c r="B393" s="65" t="s">
        <v>33</v>
      </c>
      <c r="C393" s="53" t="s">
        <v>34</v>
      </c>
      <c r="D393" s="54"/>
      <c r="E393" s="66"/>
      <c r="F393" s="66"/>
      <c r="G393" s="66"/>
      <c r="H393" s="66"/>
      <c r="I393" s="66"/>
      <c r="J393" s="66"/>
      <c r="K393" s="67" t="s">
        <v>35</v>
      </c>
      <c r="L393" s="62">
        <f>(E393*E389)+(F393*F389)+(G393*G389)+(H393*H389)+(I393*I389)+(J393*J389)</f>
        <v>0</v>
      </c>
      <c r="M393" s="57" t="s">
        <v>36</v>
      </c>
      <c r="N393" s="63" t="b">
        <v>0</v>
      </c>
    </row>
    <row r="394" ht="13.5" customHeight="1">
      <c r="A394" s="68"/>
      <c r="B394" s="69" t="str">
        <f>IFS(L394=0,"",B394&lt;&gt;"",B394,TRUE,NOW())</f>
        <v/>
      </c>
      <c r="C394" s="70" t="s">
        <v>37</v>
      </c>
      <c r="D394" s="33"/>
      <c r="E394" s="71"/>
      <c r="F394" s="71"/>
      <c r="G394" s="71"/>
      <c r="H394" s="71"/>
      <c r="I394" s="71"/>
      <c r="J394" s="71"/>
      <c r="K394" s="72" t="s">
        <v>38</v>
      </c>
      <c r="L394" s="73">
        <f>L393-L392</f>
        <v>0</v>
      </c>
      <c r="M394" s="74" t="s">
        <v>39</v>
      </c>
      <c r="N394" s="75" t="b">
        <v>0</v>
      </c>
    </row>
    <row r="395" ht="13.5" customHeight="1">
      <c r="A395" s="46" t="s">
        <v>40</v>
      </c>
      <c r="B395" s="52" t="s">
        <v>110</v>
      </c>
      <c r="C395" s="53" t="s">
        <v>27</v>
      </c>
      <c r="D395" s="54"/>
      <c r="E395" s="55">
        <f t="shared" ref="E395:J395" si="108">E393-E396</f>
        <v>0</v>
      </c>
      <c r="F395" s="55">
        <f t="shared" si="108"/>
        <v>0</v>
      </c>
      <c r="G395" s="55">
        <f t="shared" si="108"/>
        <v>0</v>
      </c>
      <c r="H395" s="55">
        <f t="shared" si="108"/>
        <v>0</v>
      </c>
      <c r="I395" s="55">
        <f t="shared" si="108"/>
        <v>0</v>
      </c>
      <c r="J395" s="55">
        <f t="shared" si="108"/>
        <v>0</v>
      </c>
      <c r="K395" s="56"/>
      <c r="L395" s="30"/>
      <c r="M395" s="57" t="s">
        <v>28</v>
      </c>
      <c r="N395" s="58" t="b">
        <v>0</v>
      </c>
    </row>
    <row r="396" ht="13.5" customHeight="1">
      <c r="A396" s="64"/>
      <c r="B396" s="59"/>
      <c r="C396" s="53" t="s">
        <v>30</v>
      </c>
      <c r="D396" s="54"/>
      <c r="E396" s="60"/>
      <c r="F396" s="60"/>
      <c r="G396" s="60"/>
      <c r="H396" s="60"/>
      <c r="I396" s="60"/>
      <c r="J396" s="60"/>
      <c r="K396" s="61" t="s">
        <v>30</v>
      </c>
      <c r="L396" s="62">
        <f>(E396*E389)+(F396*F389)+(G396*G389)+(H396*H389)+(I396*I389)+(J396*J389)</f>
        <v>0</v>
      </c>
      <c r="M396" s="57" t="s">
        <v>31</v>
      </c>
      <c r="N396" s="63" t="b">
        <v>0</v>
      </c>
    </row>
    <row r="397" ht="13.5" customHeight="1">
      <c r="A397" s="68"/>
      <c r="B397" s="65" t="s">
        <v>42</v>
      </c>
      <c r="C397" s="53" t="s">
        <v>34</v>
      </c>
      <c r="D397" s="54"/>
      <c r="E397" s="66"/>
      <c r="F397" s="66"/>
      <c r="G397" s="66"/>
      <c r="H397" s="66"/>
      <c r="I397" s="66"/>
      <c r="J397" s="66"/>
      <c r="K397" s="67" t="s">
        <v>35</v>
      </c>
      <c r="L397" s="62">
        <f>(E397*E389)+(F397*F389)+(G397*G389)+(H397*H389)+(I397*I389)+(J397*J389)</f>
        <v>0</v>
      </c>
      <c r="M397" s="57" t="s">
        <v>36</v>
      </c>
      <c r="N397" s="63" t="b">
        <v>0</v>
      </c>
    </row>
    <row r="398" ht="15.0" customHeight="1">
      <c r="A398" s="46" t="s">
        <v>43</v>
      </c>
      <c r="B398" s="69" t="str">
        <f>IFS(L398=0,"",B398&lt;&gt;"",B398,TRUE,NOW())</f>
        <v/>
      </c>
      <c r="C398" s="70" t="s">
        <v>37</v>
      </c>
      <c r="D398" s="33"/>
      <c r="E398" s="71"/>
      <c r="F398" s="71"/>
      <c r="G398" s="71"/>
      <c r="H398" s="71"/>
      <c r="I398" s="71"/>
      <c r="J398" s="71"/>
      <c r="K398" s="72" t="s">
        <v>38</v>
      </c>
      <c r="L398" s="73">
        <f>L397-L396</f>
        <v>0</v>
      </c>
      <c r="M398" s="74" t="s">
        <v>39</v>
      </c>
      <c r="N398" s="75" t="b">
        <v>0</v>
      </c>
    </row>
    <row r="399" ht="13.5" customHeight="1">
      <c r="A399" s="64"/>
      <c r="B399" s="52" t="s">
        <v>110</v>
      </c>
      <c r="C399" s="53" t="s">
        <v>27</v>
      </c>
      <c r="D399" s="54"/>
      <c r="E399" s="55">
        <f t="shared" ref="E399:J399" si="109">E397-E400</f>
        <v>0</v>
      </c>
      <c r="F399" s="55">
        <f t="shared" si="109"/>
        <v>0</v>
      </c>
      <c r="G399" s="55">
        <f t="shared" si="109"/>
        <v>0</v>
      </c>
      <c r="H399" s="55">
        <f t="shared" si="109"/>
        <v>0</v>
      </c>
      <c r="I399" s="55">
        <f t="shared" si="109"/>
        <v>0</v>
      </c>
      <c r="J399" s="55">
        <f t="shared" si="109"/>
        <v>0</v>
      </c>
      <c r="K399" s="56"/>
      <c r="L399" s="30"/>
      <c r="M399" s="57" t="s">
        <v>28</v>
      </c>
      <c r="N399" s="58" t="b">
        <v>0</v>
      </c>
    </row>
    <row r="400" ht="13.5" customHeight="1">
      <c r="A400" s="46" t="s">
        <v>45</v>
      </c>
      <c r="B400" s="59"/>
      <c r="C400" s="53" t="s">
        <v>30</v>
      </c>
      <c r="D400" s="54"/>
      <c r="E400" s="60"/>
      <c r="F400" s="60"/>
      <c r="G400" s="60"/>
      <c r="H400" s="60"/>
      <c r="I400" s="60"/>
      <c r="J400" s="60"/>
      <c r="K400" s="61" t="s">
        <v>30</v>
      </c>
      <c r="L400" s="62">
        <f>(E400*E389)+(F400*F389)+(G400*G389)+(H400*H389)+(I400*I389)+(J400*J389)</f>
        <v>0</v>
      </c>
      <c r="M400" s="57" t="s">
        <v>31</v>
      </c>
      <c r="N400" s="63" t="b">
        <v>0</v>
      </c>
    </row>
    <row r="401" ht="13.5" customHeight="1">
      <c r="A401" s="77"/>
      <c r="B401" s="65" t="s">
        <v>47</v>
      </c>
      <c r="C401" s="53" t="s">
        <v>34</v>
      </c>
      <c r="D401" s="54"/>
      <c r="E401" s="66"/>
      <c r="F401" s="66"/>
      <c r="G401" s="66"/>
      <c r="H401" s="66"/>
      <c r="I401" s="66"/>
      <c r="J401" s="66"/>
      <c r="K401" s="67" t="s">
        <v>35</v>
      </c>
      <c r="L401" s="62">
        <f>(E401*E389)+(F401*F389)+(G401*G389)+(H401*H389)+(I401*I389)+(J401*J389)</f>
        <v>0</v>
      </c>
      <c r="M401" s="57" t="s">
        <v>36</v>
      </c>
      <c r="N401" s="63" t="b">
        <v>0</v>
      </c>
    </row>
    <row r="402" ht="13.5" customHeight="1">
      <c r="A402" s="68"/>
      <c r="B402" s="69" t="str">
        <f>IFS(L402=0,"",B402&lt;&gt;"",B402,TRUE,NOW())</f>
        <v/>
      </c>
      <c r="C402" s="70" t="s">
        <v>37</v>
      </c>
      <c r="D402" s="33"/>
      <c r="E402" s="71"/>
      <c r="F402" s="71"/>
      <c r="G402" s="71"/>
      <c r="H402" s="71"/>
      <c r="I402" s="71"/>
      <c r="J402" s="71"/>
      <c r="K402" s="72" t="s">
        <v>38</v>
      </c>
      <c r="L402" s="73">
        <f>L401-L400</f>
        <v>0</v>
      </c>
      <c r="M402" s="74" t="s">
        <v>39</v>
      </c>
      <c r="N402" s="75" t="b">
        <v>0</v>
      </c>
    </row>
    <row r="403" ht="13.5" customHeight="1">
      <c r="A403" s="78" t="s">
        <v>48</v>
      </c>
      <c r="B403" s="52" t="s">
        <v>110</v>
      </c>
      <c r="C403" s="53" t="s">
        <v>27</v>
      </c>
      <c r="D403" s="54"/>
      <c r="E403" s="55">
        <f t="shared" ref="E403:J403" si="110">E401-E404</f>
        <v>0</v>
      </c>
      <c r="F403" s="55">
        <f t="shared" si="110"/>
        <v>0</v>
      </c>
      <c r="G403" s="55">
        <f t="shared" si="110"/>
        <v>0</v>
      </c>
      <c r="H403" s="55">
        <f t="shared" si="110"/>
        <v>0</v>
      </c>
      <c r="I403" s="55">
        <f t="shared" si="110"/>
        <v>0</v>
      </c>
      <c r="J403" s="55">
        <f t="shared" si="110"/>
        <v>0</v>
      </c>
      <c r="K403" s="56"/>
      <c r="L403" s="30"/>
      <c r="M403" s="57" t="s">
        <v>28</v>
      </c>
      <c r="N403" s="58" t="b">
        <v>0</v>
      </c>
    </row>
    <row r="404" ht="13.5" customHeight="1">
      <c r="A404" s="87"/>
      <c r="B404" s="59"/>
      <c r="C404" s="53" t="s">
        <v>30</v>
      </c>
      <c r="D404" s="54"/>
      <c r="E404" s="60"/>
      <c r="F404" s="60"/>
      <c r="G404" s="60"/>
      <c r="H404" s="60"/>
      <c r="I404" s="60"/>
      <c r="J404" s="60"/>
      <c r="K404" s="61" t="s">
        <v>30</v>
      </c>
      <c r="L404" s="62">
        <f>(E404*E389)+(F404*F389)+(G404*G389)+(H404*H389)+(I404*I389)+(J404*J389)</f>
        <v>0</v>
      </c>
      <c r="M404" s="57" t="s">
        <v>31</v>
      </c>
      <c r="N404" s="63" t="b">
        <v>0</v>
      </c>
    </row>
    <row r="405" ht="15.0" customHeight="1">
      <c r="A405" s="68"/>
      <c r="B405" s="65" t="s">
        <v>49</v>
      </c>
      <c r="C405" s="53" t="s">
        <v>34</v>
      </c>
      <c r="D405" s="54"/>
      <c r="E405" s="66"/>
      <c r="F405" s="66"/>
      <c r="G405" s="66"/>
      <c r="H405" s="66"/>
      <c r="I405" s="66"/>
      <c r="J405" s="66"/>
      <c r="K405" s="67" t="s">
        <v>35</v>
      </c>
      <c r="L405" s="62">
        <f>(E405*E389)+(F405*F389)+(G405*G389)+(H405*H389)+(I405*I389)+(J405*J389)</f>
        <v>0</v>
      </c>
      <c r="M405" s="57" t="s">
        <v>36</v>
      </c>
      <c r="N405" s="63" t="b">
        <v>0</v>
      </c>
    </row>
    <row r="406" ht="13.5" customHeight="1">
      <c r="A406" s="80"/>
      <c r="B406" s="69" t="str">
        <f>IFS(L406=0,"",B406&lt;&gt;"",B406,TRUE,NOW())</f>
        <v/>
      </c>
      <c r="C406" s="53" t="s">
        <v>37</v>
      </c>
      <c r="D406" s="54"/>
      <c r="E406" s="81"/>
      <c r="F406" s="81"/>
      <c r="G406" s="81"/>
      <c r="H406" s="82"/>
      <c r="I406" s="81"/>
      <c r="J406" s="81"/>
      <c r="K406" s="72" t="s">
        <v>38</v>
      </c>
      <c r="L406" s="73">
        <f>L405-L404</f>
        <v>0</v>
      </c>
      <c r="M406" s="74" t="s">
        <v>39</v>
      </c>
      <c r="N406" s="75" t="b">
        <v>0</v>
      </c>
    </row>
    <row r="407" ht="13.5" customHeight="1">
      <c r="A407" s="83" t="s">
        <v>111</v>
      </c>
      <c r="B407" s="42" t="s">
        <v>20</v>
      </c>
      <c r="C407" s="24"/>
      <c r="D407" s="33"/>
      <c r="E407" s="43">
        <f t="shared" ref="E407:J407" si="111">E6</f>
        <v>17</v>
      </c>
      <c r="F407" s="43">
        <f t="shared" si="111"/>
        <v>27</v>
      </c>
      <c r="G407" s="43">
        <f t="shared" si="111"/>
        <v>27</v>
      </c>
      <c r="H407" s="43">
        <f t="shared" si="111"/>
        <v>27</v>
      </c>
      <c r="I407" s="43">
        <f t="shared" si="111"/>
        <v>32</v>
      </c>
      <c r="J407" s="44">
        <f t="shared" si="111"/>
        <v>37</v>
      </c>
      <c r="K407" s="42" t="s">
        <v>21</v>
      </c>
      <c r="L407" s="25"/>
      <c r="M407" s="45" t="s">
        <v>22</v>
      </c>
      <c r="N407" s="25"/>
    </row>
    <row r="408" ht="13.5" customHeight="1">
      <c r="A408" s="46" t="s">
        <v>23</v>
      </c>
      <c r="B408" s="47" t="s">
        <v>24</v>
      </c>
      <c r="C408" s="32" t="s">
        <v>25</v>
      </c>
      <c r="D408" s="33"/>
      <c r="E408" s="48"/>
      <c r="F408" s="48"/>
      <c r="G408" s="48"/>
      <c r="H408" s="48"/>
      <c r="I408" s="48"/>
      <c r="J408" s="48"/>
      <c r="K408" s="49"/>
      <c r="L408" s="25"/>
      <c r="M408" s="50"/>
      <c r="N408" s="10"/>
    </row>
    <row r="409" ht="13.5" customHeight="1">
      <c r="A409" s="92"/>
      <c r="B409" s="52" t="s">
        <v>112</v>
      </c>
      <c r="C409" s="53" t="s">
        <v>27</v>
      </c>
      <c r="D409" s="54"/>
      <c r="E409" s="55">
        <f t="shared" ref="E409:J409" si="112">E408-E410</f>
        <v>0</v>
      </c>
      <c r="F409" s="55">
        <f t="shared" si="112"/>
        <v>0</v>
      </c>
      <c r="G409" s="55">
        <f t="shared" si="112"/>
        <v>0</v>
      </c>
      <c r="H409" s="55">
        <f t="shared" si="112"/>
        <v>0</v>
      </c>
      <c r="I409" s="55">
        <f t="shared" si="112"/>
        <v>0</v>
      </c>
      <c r="J409" s="55">
        <f t="shared" si="112"/>
        <v>0</v>
      </c>
      <c r="K409" s="56"/>
      <c r="L409" s="30"/>
      <c r="M409" s="57" t="s">
        <v>28</v>
      </c>
      <c r="N409" s="58" t="b">
        <v>0</v>
      </c>
    </row>
    <row r="410" ht="15.0" customHeight="1">
      <c r="A410" s="46" t="s">
        <v>29</v>
      </c>
      <c r="B410" s="59"/>
      <c r="C410" s="53" t="s">
        <v>30</v>
      </c>
      <c r="D410" s="54"/>
      <c r="E410" s="60"/>
      <c r="F410" s="60"/>
      <c r="G410" s="60"/>
      <c r="H410" s="60"/>
      <c r="I410" s="60"/>
      <c r="J410" s="60"/>
      <c r="K410" s="61" t="s">
        <v>30</v>
      </c>
      <c r="L410" s="62">
        <f>(E410*E407)+(F410*F407)+(G410*G407)+(H410*H407)+(I410*I407)+(J410*J407)</f>
        <v>0</v>
      </c>
      <c r="M410" s="57" t="s">
        <v>31</v>
      </c>
      <c r="N410" s="63" t="b">
        <v>0</v>
      </c>
    </row>
    <row r="411" ht="13.5" customHeight="1">
      <c r="A411" s="64"/>
      <c r="B411" s="65" t="s">
        <v>33</v>
      </c>
      <c r="C411" s="53" t="s">
        <v>34</v>
      </c>
      <c r="D411" s="54"/>
      <c r="E411" s="66"/>
      <c r="F411" s="66"/>
      <c r="G411" s="66"/>
      <c r="H411" s="66"/>
      <c r="I411" s="66"/>
      <c r="J411" s="66"/>
      <c r="K411" s="67" t="s">
        <v>35</v>
      </c>
      <c r="L411" s="62">
        <f>(E411*E407)+(F411*F407)+(G411*G407)+(H411*H407)+(I411*I407)+(J411*J407)</f>
        <v>0</v>
      </c>
      <c r="M411" s="57" t="s">
        <v>36</v>
      </c>
      <c r="N411" s="63" t="b">
        <v>0</v>
      </c>
    </row>
    <row r="412" ht="13.5" customHeight="1">
      <c r="A412" s="68"/>
      <c r="B412" s="69" t="str">
        <f>IFS(L412=0,"",B412&lt;&gt;"",B412,TRUE,NOW())</f>
        <v/>
      </c>
      <c r="C412" s="70" t="s">
        <v>37</v>
      </c>
      <c r="D412" s="33"/>
      <c r="E412" s="71"/>
      <c r="F412" s="71"/>
      <c r="G412" s="71"/>
      <c r="H412" s="71"/>
      <c r="I412" s="71"/>
      <c r="J412" s="71"/>
      <c r="K412" s="72" t="s">
        <v>38</v>
      </c>
      <c r="L412" s="73">
        <f>L411-L410</f>
        <v>0</v>
      </c>
      <c r="M412" s="74" t="s">
        <v>39</v>
      </c>
      <c r="N412" s="75" t="b">
        <v>0</v>
      </c>
    </row>
    <row r="413" ht="13.5" customHeight="1">
      <c r="A413" s="46" t="s">
        <v>40</v>
      </c>
      <c r="B413" s="52" t="s">
        <v>112</v>
      </c>
      <c r="C413" s="53" t="s">
        <v>27</v>
      </c>
      <c r="D413" s="54"/>
      <c r="E413" s="55">
        <f t="shared" ref="E413:J413" si="113">E411-E414</f>
        <v>0</v>
      </c>
      <c r="F413" s="55">
        <f t="shared" si="113"/>
        <v>0</v>
      </c>
      <c r="G413" s="55">
        <f t="shared" si="113"/>
        <v>0</v>
      </c>
      <c r="H413" s="55">
        <f t="shared" si="113"/>
        <v>0</v>
      </c>
      <c r="I413" s="55">
        <f t="shared" si="113"/>
        <v>0</v>
      </c>
      <c r="J413" s="55">
        <f t="shared" si="113"/>
        <v>0</v>
      </c>
      <c r="K413" s="56"/>
      <c r="L413" s="30"/>
      <c r="M413" s="57" t="s">
        <v>28</v>
      </c>
      <c r="N413" s="58" t="b">
        <v>0</v>
      </c>
    </row>
    <row r="414" ht="13.5" customHeight="1">
      <c r="A414" s="64"/>
      <c r="B414" s="59"/>
      <c r="C414" s="53" t="s">
        <v>30</v>
      </c>
      <c r="D414" s="54"/>
      <c r="E414" s="60"/>
      <c r="F414" s="60"/>
      <c r="G414" s="60"/>
      <c r="H414" s="60"/>
      <c r="I414" s="60"/>
      <c r="J414" s="60"/>
      <c r="K414" s="61" t="s">
        <v>30</v>
      </c>
      <c r="L414" s="62">
        <f>(E414*E407)+(F414*F407)+(G414*G407)+(H414*H407)+(I414*I407)+(J414*J407)</f>
        <v>0</v>
      </c>
      <c r="M414" s="57" t="s">
        <v>31</v>
      </c>
      <c r="N414" s="63" t="b">
        <v>0</v>
      </c>
    </row>
    <row r="415" ht="18.75" customHeight="1">
      <c r="A415" s="68"/>
      <c r="B415" s="65" t="s">
        <v>42</v>
      </c>
      <c r="C415" s="53" t="s">
        <v>34</v>
      </c>
      <c r="D415" s="54"/>
      <c r="E415" s="66"/>
      <c r="F415" s="66"/>
      <c r="G415" s="66"/>
      <c r="H415" s="66"/>
      <c r="I415" s="66"/>
      <c r="J415" s="66"/>
      <c r="K415" s="67" t="s">
        <v>35</v>
      </c>
      <c r="L415" s="62">
        <f>(E415*E407)+(F415*F407)+(G415*G407)+(H415*H407)+(I415*I407)+(J415*J407)</f>
        <v>0</v>
      </c>
      <c r="M415" s="57" t="s">
        <v>36</v>
      </c>
      <c r="N415" s="63" t="b">
        <v>0</v>
      </c>
    </row>
    <row r="416" ht="13.5" customHeight="1">
      <c r="A416" s="46" t="s">
        <v>43</v>
      </c>
      <c r="B416" s="69" t="str">
        <f>IFS(L416=0,"",B416&lt;&gt;"",B416,TRUE,NOW())</f>
        <v/>
      </c>
      <c r="C416" s="70" t="s">
        <v>37</v>
      </c>
      <c r="D416" s="33"/>
      <c r="E416" s="71"/>
      <c r="F416" s="71"/>
      <c r="G416" s="71"/>
      <c r="H416" s="71"/>
      <c r="I416" s="71"/>
      <c r="J416" s="71"/>
      <c r="K416" s="72" t="s">
        <v>38</v>
      </c>
      <c r="L416" s="73">
        <f>L415-L414</f>
        <v>0</v>
      </c>
      <c r="M416" s="74" t="s">
        <v>39</v>
      </c>
      <c r="N416" s="75" t="b">
        <v>0</v>
      </c>
    </row>
    <row r="417" ht="13.5" customHeight="1">
      <c r="A417" s="64"/>
      <c r="B417" s="52" t="s">
        <v>112</v>
      </c>
      <c r="C417" s="53" t="s">
        <v>27</v>
      </c>
      <c r="D417" s="54"/>
      <c r="E417" s="55">
        <f t="shared" ref="E417:J417" si="114">E415-E418</f>
        <v>0</v>
      </c>
      <c r="F417" s="55">
        <f t="shared" si="114"/>
        <v>0</v>
      </c>
      <c r="G417" s="55">
        <f t="shared" si="114"/>
        <v>0</v>
      </c>
      <c r="H417" s="55">
        <f t="shared" si="114"/>
        <v>0</v>
      </c>
      <c r="I417" s="55">
        <f t="shared" si="114"/>
        <v>0</v>
      </c>
      <c r="J417" s="55">
        <f t="shared" si="114"/>
        <v>0</v>
      </c>
      <c r="K417" s="56"/>
      <c r="L417" s="30"/>
      <c r="M417" s="57" t="s">
        <v>28</v>
      </c>
      <c r="N417" s="58" t="b">
        <v>0</v>
      </c>
    </row>
    <row r="418" ht="13.5" customHeight="1">
      <c r="A418" s="46" t="s">
        <v>45</v>
      </c>
      <c r="B418" s="59"/>
      <c r="C418" s="53" t="s">
        <v>30</v>
      </c>
      <c r="D418" s="54"/>
      <c r="E418" s="60"/>
      <c r="F418" s="60"/>
      <c r="G418" s="60"/>
      <c r="H418" s="60"/>
      <c r="I418" s="60"/>
      <c r="J418" s="60"/>
      <c r="K418" s="61" t="s">
        <v>30</v>
      </c>
      <c r="L418" s="62">
        <f>(E418*E407)+(F418*F407)+(G418*G407)+(H418*H407)+(I418*I407)+(J418*J407)</f>
        <v>0</v>
      </c>
      <c r="M418" s="57" t="s">
        <v>31</v>
      </c>
      <c r="N418" s="63" t="b">
        <v>0</v>
      </c>
    </row>
    <row r="419" ht="13.5" customHeight="1">
      <c r="A419" s="77"/>
      <c r="B419" s="65" t="s">
        <v>47</v>
      </c>
      <c r="C419" s="53" t="s">
        <v>34</v>
      </c>
      <c r="D419" s="54"/>
      <c r="E419" s="66"/>
      <c r="F419" s="66"/>
      <c r="G419" s="66"/>
      <c r="H419" s="66"/>
      <c r="I419" s="66"/>
      <c r="J419" s="66"/>
      <c r="K419" s="67" t="s">
        <v>35</v>
      </c>
      <c r="L419" s="62">
        <f>(E419*E407)+(F419*F407)+(G419*G407)+(H419*H407)+(I419*I407)+(J419*J407)</f>
        <v>0</v>
      </c>
      <c r="M419" s="57" t="s">
        <v>36</v>
      </c>
      <c r="N419" s="63" t="b">
        <v>0</v>
      </c>
    </row>
    <row r="420" ht="18.75" customHeight="1">
      <c r="A420" s="68"/>
      <c r="B420" s="69" t="str">
        <f>IFS(L420=0,"",B420&lt;&gt;"",B420,TRUE,NOW())</f>
        <v/>
      </c>
      <c r="C420" s="70" t="s">
        <v>37</v>
      </c>
      <c r="D420" s="33"/>
      <c r="E420" s="71"/>
      <c r="F420" s="71"/>
      <c r="G420" s="71"/>
      <c r="H420" s="71"/>
      <c r="I420" s="71"/>
      <c r="J420" s="71"/>
      <c r="K420" s="72" t="s">
        <v>38</v>
      </c>
      <c r="L420" s="73">
        <f>L419-L418</f>
        <v>0</v>
      </c>
      <c r="M420" s="74" t="s">
        <v>39</v>
      </c>
      <c r="N420" s="75" t="b">
        <v>0</v>
      </c>
    </row>
    <row r="421" ht="13.5" customHeight="1">
      <c r="A421" s="78" t="s">
        <v>48</v>
      </c>
      <c r="B421" s="52" t="s">
        <v>112</v>
      </c>
      <c r="C421" s="53" t="s">
        <v>27</v>
      </c>
      <c r="D421" s="54"/>
      <c r="E421" s="55">
        <f t="shared" ref="E421:J421" si="115">E419-E422</f>
        <v>0</v>
      </c>
      <c r="F421" s="55">
        <f t="shared" si="115"/>
        <v>0</v>
      </c>
      <c r="G421" s="55">
        <f t="shared" si="115"/>
        <v>0</v>
      </c>
      <c r="H421" s="55">
        <f t="shared" si="115"/>
        <v>0</v>
      </c>
      <c r="I421" s="55">
        <f t="shared" si="115"/>
        <v>0</v>
      </c>
      <c r="J421" s="55">
        <f t="shared" si="115"/>
        <v>0</v>
      </c>
      <c r="K421" s="56"/>
      <c r="L421" s="30"/>
      <c r="M421" s="57" t="s">
        <v>28</v>
      </c>
      <c r="N421" s="58" t="b">
        <v>0</v>
      </c>
    </row>
    <row r="422" ht="13.5" customHeight="1">
      <c r="A422" s="87"/>
      <c r="B422" s="59"/>
      <c r="C422" s="53" t="s">
        <v>30</v>
      </c>
      <c r="D422" s="54"/>
      <c r="E422" s="60"/>
      <c r="F422" s="60"/>
      <c r="G422" s="60"/>
      <c r="H422" s="60"/>
      <c r="I422" s="60"/>
      <c r="J422" s="60"/>
      <c r="K422" s="61" t="s">
        <v>30</v>
      </c>
      <c r="L422" s="62">
        <f>(E422*E407)+(F422*F407)+(G422*G407)+(H422*H407)+(I422*I407)+(J422*J407)</f>
        <v>0</v>
      </c>
      <c r="M422" s="57" t="s">
        <v>31</v>
      </c>
      <c r="N422" s="63" t="b">
        <v>0</v>
      </c>
    </row>
    <row r="423" ht="13.5" customHeight="1">
      <c r="A423" s="68"/>
      <c r="B423" s="65" t="s">
        <v>49</v>
      </c>
      <c r="C423" s="53" t="s">
        <v>34</v>
      </c>
      <c r="D423" s="54"/>
      <c r="E423" s="66"/>
      <c r="F423" s="66"/>
      <c r="G423" s="66"/>
      <c r="H423" s="66"/>
      <c r="I423" s="66"/>
      <c r="J423" s="66"/>
      <c r="K423" s="67" t="s">
        <v>35</v>
      </c>
      <c r="L423" s="62">
        <f>(E423*E407)+(F423*F407)+(G423*G407)+(H423*H407)+(I423*I407)+(J423*J407)</f>
        <v>0</v>
      </c>
      <c r="M423" s="57" t="s">
        <v>36</v>
      </c>
      <c r="N423" s="63" t="b">
        <v>0</v>
      </c>
    </row>
    <row r="424" ht="13.5" customHeight="1">
      <c r="A424" s="80"/>
      <c r="B424" s="69" t="str">
        <f>IFS(L424=0,"",B424&lt;&gt;"",B424,TRUE,NOW())</f>
        <v/>
      </c>
      <c r="C424" s="53" t="s">
        <v>37</v>
      </c>
      <c r="D424" s="54"/>
      <c r="E424" s="81"/>
      <c r="F424" s="81"/>
      <c r="G424" s="81"/>
      <c r="H424" s="82"/>
      <c r="I424" s="81"/>
      <c r="J424" s="81"/>
      <c r="K424" s="72" t="s">
        <v>38</v>
      </c>
      <c r="L424" s="73">
        <f>L423-L422</f>
        <v>0</v>
      </c>
      <c r="M424" s="74" t="s">
        <v>39</v>
      </c>
      <c r="N424" s="75" t="b">
        <v>0</v>
      </c>
    </row>
    <row r="425" ht="13.5" customHeight="1">
      <c r="A425" s="83" t="s">
        <v>113</v>
      </c>
      <c r="B425" s="42" t="s">
        <v>20</v>
      </c>
      <c r="C425" s="24"/>
      <c r="D425" s="33"/>
      <c r="E425" s="43">
        <f t="shared" ref="E425:J425" si="116">E6</f>
        <v>17</v>
      </c>
      <c r="F425" s="43">
        <f t="shared" si="116"/>
        <v>27</v>
      </c>
      <c r="G425" s="43">
        <f t="shared" si="116"/>
        <v>27</v>
      </c>
      <c r="H425" s="43">
        <f t="shared" si="116"/>
        <v>27</v>
      </c>
      <c r="I425" s="43">
        <f t="shared" si="116"/>
        <v>32</v>
      </c>
      <c r="J425" s="44">
        <f t="shared" si="116"/>
        <v>37</v>
      </c>
      <c r="K425" s="42" t="s">
        <v>21</v>
      </c>
      <c r="L425" s="25"/>
      <c r="M425" s="45" t="s">
        <v>22</v>
      </c>
      <c r="N425" s="25"/>
    </row>
    <row r="426" ht="13.5" customHeight="1">
      <c r="A426" s="46" t="s">
        <v>23</v>
      </c>
      <c r="B426" s="47" t="s">
        <v>24</v>
      </c>
      <c r="C426" s="32" t="s">
        <v>25</v>
      </c>
      <c r="D426" s="33"/>
      <c r="E426" s="48"/>
      <c r="F426" s="48"/>
      <c r="G426" s="48"/>
      <c r="H426" s="48"/>
      <c r="I426" s="48"/>
      <c r="J426" s="48"/>
      <c r="K426" s="49"/>
      <c r="L426" s="25"/>
      <c r="M426" s="50"/>
      <c r="N426" s="10"/>
    </row>
    <row r="427" ht="15.0" customHeight="1">
      <c r="A427" s="92"/>
      <c r="B427" s="52" t="s">
        <v>114</v>
      </c>
      <c r="C427" s="53" t="s">
        <v>27</v>
      </c>
      <c r="D427" s="54"/>
      <c r="E427" s="55">
        <f t="shared" ref="E427:J427" si="117">E426-E428</f>
        <v>0</v>
      </c>
      <c r="F427" s="55">
        <f t="shared" si="117"/>
        <v>0</v>
      </c>
      <c r="G427" s="55">
        <f t="shared" si="117"/>
        <v>0</v>
      </c>
      <c r="H427" s="55">
        <f t="shared" si="117"/>
        <v>0</v>
      </c>
      <c r="I427" s="55">
        <f t="shared" si="117"/>
        <v>0</v>
      </c>
      <c r="J427" s="55">
        <f t="shared" si="117"/>
        <v>0</v>
      </c>
      <c r="K427" s="56"/>
      <c r="L427" s="30"/>
      <c r="M427" s="57" t="s">
        <v>28</v>
      </c>
      <c r="N427" s="58" t="b">
        <v>0</v>
      </c>
    </row>
    <row r="428" ht="13.5" customHeight="1">
      <c r="A428" s="46" t="s">
        <v>29</v>
      </c>
      <c r="B428" s="59"/>
      <c r="C428" s="53" t="s">
        <v>30</v>
      </c>
      <c r="D428" s="54"/>
      <c r="E428" s="60"/>
      <c r="F428" s="60"/>
      <c r="G428" s="60"/>
      <c r="H428" s="60"/>
      <c r="I428" s="60"/>
      <c r="J428" s="60"/>
      <c r="K428" s="61" t="s">
        <v>30</v>
      </c>
      <c r="L428" s="62">
        <f>(E428*E425)+(F428*F425)+(G428*G425)+(H428*H425)+(I428*I425)+(J428*J425)</f>
        <v>0</v>
      </c>
      <c r="M428" s="57" t="s">
        <v>31</v>
      </c>
      <c r="N428" s="63" t="b">
        <v>0</v>
      </c>
    </row>
    <row r="429" ht="13.5" customHeight="1">
      <c r="A429" s="64"/>
      <c r="B429" s="65" t="s">
        <v>33</v>
      </c>
      <c r="C429" s="53" t="s">
        <v>34</v>
      </c>
      <c r="D429" s="54"/>
      <c r="E429" s="66"/>
      <c r="F429" s="66"/>
      <c r="G429" s="66"/>
      <c r="H429" s="66"/>
      <c r="I429" s="66"/>
      <c r="J429" s="66"/>
      <c r="K429" s="67" t="s">
        <v>35</v>
      </c>
      <c r="L429" s="62">
        <f>(E429*E425)+(F429*F425)+(G429*G425)+(H429*H425)+(I429*I425)+(J429*J425)</f>
        <v>0</v>
      </c>
      <c r="M429" s="57" t="s">
        <v>36</v>
      </c>
      <c r="N429" s="63" t="b">
        <v>0</v>
      </c>
    </row>
    <row r="430" ht="13.5" customHeight="1">
      <c r="A430" s="68"/>
      <c r="B430" s="69" t="str">
        <f>IFS(L430=0,"",B430&lt;&gt;"",B430,TRUE,NOW())</f>
        <v/>
      </c>
      <c r="C430" s="70" t="s">
        <v>37</v>
      </c>
      <c r="D430" s="33"/>
      <c r="E430" s="71"/>
      <c r="F430" s="71"/>
      <c r="G430" s="71"/>
      <c r="H430" s="71"/>
      <c r="I430" s="71"/>
      <c r="J430" s="71"/>
      <c r="K430" s="72" t="s">
        <v>38</v>
      </c>
      <c r="L430" s="73">
        <f>L429-L428</f>
        <v>0</v>
      </c>
      <c r="M430" s="74" t="s">
        <v>39</v>
      </c>
      <c r="N430" s="75" t="b">
        <v>0</v>
      </c>
    </row>
    <row r="431" ht="13.5" customHeight="1">
      <c r="A431" s="46" t="s">
        <v>40</v>
      </c>
      <c r="B431" s="52" t="s">
        <v>114</v>
      </c>
      <c r="C431" s="53" t="s">
        <v>27</v>
      </c>
      <c r="D431" s="54"/>
      <c r="E431" s="55">
        <f t="shared" ref="E431:J431" si="118">E429-E432</f>
        <v>0</v>
      </c>
      <c r="F431" s="55">
        <f t="shared" si="118"/>
        <v>0</v>
      </c>
      <c r="G431" s="55">
        <f t="shared" si="118"/>
        <v>0</v>
      </c>
      <c r="H431" s="55">
        <f t="shared" si="118"/>
        <v>0</v>
      </c>
      <c r="I431" s="55">
        <f t="shared" si="118"/>
        <v>0</v>
      </c>
      <c r="J431" s="55">
        <f t="shared" si="118"/>
        <v>0</v>
      </c>
      <c r="K431" s="56"/>
      <c r="L431" s="30"/>
      <c r="M431" s="57" t="s">
        <v>28</v>
      </c>
      <c r="N431" s="58" t="b">
        <v>0</v>
      </c>
    </row>
    <row r="432" ht="15.0" customHeight="1">
      <c r="A432" s="64"/>
      <c r="B432" s="59"/>
      <c r="C432" s="53" t="s">
        <v>30</v>
      </c>
      <c r="D432" s="54"/>
      <c r="E432" s="60"/>
      <c r="F432" s="60"/>
      <c r="G432" s="60"/>
      <c r="H432" s="60"/>
      <c r="I432" s="60"/>
      <c r="J432" s="60"/>
      <c r="K432" s="61" t="s">
        <v>30</v>
      </c>
      <c r="L432" s="62">
        <f>(E432*E425)+(F432*F425)+(G432*G425)+(H432*H425)+(I432*I425)+(J432*J425)</f>
        <v>0</v>
      </c>
      <c r="M432" s="57" t="s">
        <v>31</v>
      </c>
      <c r="N432" s="63" t="b">
        <v>0</v>
      </c>
    </row>
    <row r="433" ht="13.5" customHeight="1">
      <c r="A433" s="68"/>
      <c r="B433" s="65" t="s">
        <v>42</v>
      </c>
      <c r="C433" s="53" t="s">
        <v>34</v>
      </c>
      <c r="D433" s="54"/>
      <c r="E433" s="66"/>
      <c r="F433" s="66"/>
      <c r="G433" s="66"/>
      <c r="H433" s="66"/>
      <c r="I433" s="66"/>
      <c r="J433" s="66"/>
      <c r="K433" s="67" t="s">
        <v>35</v>
      </c>
      <c r="L433" s="62">
        <f>(E433*E425)+(F433*F425)+(G433*G425)+(H433*H425)+(I433*I425)+(J433*J425)</f>
        <v>0</v>
      </c>
      <c r="M433" s="57" t="s">
        <v>36</v>
      </c>
      <c r="N433" s="63" t="b">
        <v>0</v>
      </c>
    </row>
    <row r="434" ht="13.5" customHeight="1">
      <c r="A434" s="46" t="s">
        <v>43</v>
      </c>
      <c r="B434" s="69" t="str">
        <f>IFS(L434=0,"",B434&lt;&gt;"",B434,TRUE,NOW())</f>
        <v/>
      </c>
      <c r="C434" s="70" t="s">
        <v>37</v>
      </c>
      <c r="D434" s="33"/>
      <c r="E434" s="71"/>
      <c r="F434" s="71"/>
      <c r="G434" s="71"/>
      <c r="H434" s="71"/>
      <c r="I434" s="71"/>
      <c r="J434" s="71"/>
      <c r="K434" s="72" t="s">
        <v>38</v>
      </c>
      <c r="L434" s="73">
        <f>L433-L432</f>
        <v>0</v>
      </c>
      <c r="M434" s="74" t="s">
        <v>39</v>
      </c>
      <c r="N434" s="75" t="b">
        <v>0</v>
      </c>
    </row>
    <row r="435" ht="13.5" customHeight="1">
      <c r="A435" s="64"/>
      <c r="B435" s="52" t="s">
        <v>114</v>
      </c>
      <c r="C435" s="53" t="s">
        <v>27</v>
      </c>
      <c r="D435" s="54"/>
      <c r="E435" s="55">
        <f t="shared" ref="E435:J435" si="119">E433-E436</f>
        <v>0</v>
      </c>
      <c r="F435" s="55">
        <f t="shared" si="119"/>
        <v>0</v>
      </c>
      <c r="G435" s="55">
        <f t="shared" si="119"/>
        <v>0</v>
      </c>
      <c r="H435" s="55">
        <f t="shared" si="119"/>
        <v>0</v>
      </c>
      <c r="I435" s="55">
        <f t="shared" si="119"/>
        <v>0</v>
      </c>
      <c r="J435" s="55">
        <f t="shared" si="119"/>
        <v>0</v>
      </c>
      <c r="K435" s="56"/>
      <c r="L435" s="30"/>
      <c r="M435" s="57" t="s">
        <v>28</v>
      </c>
      <c r="N435" s="58" t="b">
        <v>0</v>
      </c>
    </row>
    <row r="436" ht="13.5" customHeight="1">
      <c r="A436" s="46" t="s">
        <v>45</v>
      </c>
      <c r="B436" s="59"/>
      <c r="C436" s="53" t="s">
        <v>30</v>
      </c>
      <c r="D436" s="54"/>
      <c r="E436" s="60"/>
      <c r="F436" s="60"/>
      <c r="G436" s="60"/>
      <c r="H436" s="60"/>
      <c r="I436" s="60"/>
      <c r="J436" s="60"/>
      <c r="K436" s="61" t="s">
        <v>30</v>
      </c>
      <c r="L436" s="62">
        <f>(E436*E425)+(F436*F425)+(G436*G425)+(H436*H425)+(I436*I425)+(J436*J425)</f>
        <v>0</v>
      </c>
      <c r="M436" s="57" t="s">
        <v>31</v>
      </c>
      <c r="N436" s="63" t="b">
        <v>0</v>
      </c>
    </row>
    <row r="437" ht="15.0" customHeight="1">
      <c r="A437" s="77"/>
      <c r="B437" s="65" t="s">
        <v>47</v>
      </c>
      <c r="C437" s="53" t="s">
        <v>34</v>
      </c>
      <c r="D437" s="54"/>
      <c r="E437" s="66"/>
      <c r="F437" s="66"/>
      <c r="G437" s="66"/>
      <c r="H437" s="66"/>
      <c r="I437" s="66"/>
      <c r="J437" s="66"/>
      <c r="K437" s="67" t="s">
        <v>35</v>
      </c>
      <c r="L437" s="62">
        <f>(E437*E425)+(F437*F425)+(G437*G425)+(H437*H425)+(I437*I425)+(J437*J425)</f>
        <v>0</v>
      </c>
      <c r="M437" s="57" t="s">
        <v>36</v>
      </c>
      <c r="N437" s="63" t="b">
        <v>0</v>
      </c>
    </row>
    <row r="438" ht="13.5" customHeight="1">
      <c r="A438" s="68"/>
      <c r="B438" s="69" t="str">
        <f>IFS(L438=0,"",B438&lt;&gt;"",B438,TRUE,NOW())</f>
        <v/>
      </c>
      <c r="C438" s="70" t="s">
        <v>37</v>
      </c>
      <c r="D438" s="33"/>
      <c r="E438" s="71"/>
      <c r="F438" s="71"/>
      <c r="G438" s="71"/>
      <c r="H438" s="71"/>
      <c r="I438" s="71"/>
      <c r="J438" s="71"/>
      <c r="K438" s="72" t="s">
        <v>38</v>
      </c>
      <c r="L438" s="73">
        <f>L437-L436</f>
        <v>0</v>
      </c>
      <c r="M438" s="74" t="s">
        <v>39</v>
      </c>
      <c r="N438" s="75" t="b">
        <v>0</v>
      </c>
    </row>
    <row r="439" ht="13.5" customHeight="1">
      <c r="A439" s="78" t="s">
        <v>48</v>
      </c>
      <c r="B439" s="52" t="s">
        <v>114</v>
      </c>
      <c r="C439" s="53" t="s">
        <v>27</v>
      </c>
      <c r="D439" s="54"/>
      <c r="E439" s="55">
        <f t="shared" ref="E439:J439" si="120">E437-E440</f>
        <v>0</v>
      </c>
      <c r="F439" s="55">
        <f t="shared" si="120"/>
        <v>0</v>
      </c>
      <c r="G439" s="55">
        <f t="shared" si="120"/>
        <v>0</v>
      </c>
      <c r="H439" s="55">
        <f t="shared" si="120"/>
        <v>0</v>
      </c>
      <c r="I439" s="55">
        <f t="shared" si="120"/>
        <v>0</v>
      </c>
      <c r="J439" s="55">
        <f t="shared" si="120"/>
        <v>0</v>
      </c>
      <c r="K439" s="56"/>
      <c r="L439" s="30"/>
      <c r="M439" s="57" t="s">
        <v>28</v>
      </c>
      <c r="N439" s="58" t="b">
        <v>0</v>
      </c>
    </row>
    <row r="440" ht="13.5" customHeight="1">
      <c r="A440" s="87"/>
      <c r="B440" s="59"/>
      <c r="C440" s="53" t="s">
        <v>30</v>
      </c>
      <c r="D440" s="54"/>
      <c r="E440" s="60"/>
      <c r="F440" s="60"/>
      <c r="G440" s="60"/>
      <c r="H440" s="60"/>
      <c r="I440" s="60"/>
      <c r="J440" s="60"/>
      <c r="K440" s="61" t="s">
        <v>30</v>
      </c>
      <c r="L440" s="62">
        <f>(E440*E425)+(F440*F425)+(G440*G425)+(H440*H425)+(I440*I425)+(J440*J425)</f>
        <v>0</v>
      </c>
      <c r="M440" s="57" t="s">
        <v>31</v>
      </c>
      <c r="N440" s="63" t="b">
        <v>0</v>
      </c>
    </row>
    <row r="441" ht="13.5" customHeight="1">
      <c r="A441" s="68"/>
      <c r="B441" s="65" t="s">
        <v>49</v>
      </c>
      <c r="C441" s="53" t="s">
        <v>34</v>
      </c>
      <c r="D441" s="54"/>
      <c r="E441" s="66"/>
      <c r="F441" s="66"/>
      <c r="G441" s="66"/>
      <c r="H441" s="66"/>
      <c r="I441" s="66"/>
      <c r="J441" s="66"/>
      <c r="K441" s="67" t="s">
        <v>35</v>
      </c>
      <c r="L441" s="62">
        <f>(E441*E425)+(F441*F425)+(G441*G425)+(H441*H425)+(I441*I425)+(J441*J425)</f>
        <v>0</v>
      </c>
      <c r="M441" s="57" t="s">
        <v>36</v>
      </c>
      <c r="N441" s="63" t="b">
        <v>0</v>
      </c>
    </row>
    <row r="442" ht="15.0" customHeight="1">
      <c r="A442" s="80"/>
      <c r="B442" s="69" t="str">
        <f>IFS(L442=0,"",B442&lt;&gt;"",B442,TRUE,NOW())</f>
        <v/>
      </c>
      <c r="C442" s="86" t="s">
        <v>37</v>
      </c>
      <c r="D442" s="59"/>
      <c r="E442" s="81"/>
      <c r="F442" s="81"/>
      <c r="G442" s="81"/>
      <c r="H442" s="82"/>
      <c r="I442" s="81"/>
      <c r="J442" s="81"/>
      <c r="K442" s="72" t="s">
        <v>38</v>
      </c>
      <c r="L442" s="73">
        <f>L441-L440</f>
        <v>0</v>
      </c>
      <c r="M442" s="74" t="s">
        <v>39</v>
      </c>
      <c r="N442" s="75" t="b">
        <v>0</v>
      </c>
    </row>
    <row r="443" ht="13.5" customHeight="1">
      <c r="A443" s="83" t="s">
        <v>115</v>
      </c>
      <c r="B443" s="42" t="s">
        <v>20</v>
      </c>
      <c r="C443" s="24"/>
      <c r="D443" s="33"/>
      <c r="E443" s="43">
        <f t="shared" ref="E443:J443" si="121">E6</f>
        <v>17</v>
      </c>
      <c r="F443" s="43">
        <f t="shared" si="121"/>
        <v>27</v>
      </c>
      <c r="G443" s="43">
        <f t="shared" si="121"/>
        <v>27</v>
      </c>
      <c r="H443" s="43">
        <f t="shared" si="121"/>
        <v>27</v>
      </c>
      <c r="I443" s="43">
        <f t="shared" si="121"/>
        <v>32</v>
      </c>
      <c r="J443" s="44">
        <f t="shared" si="121"/>
        <v>37</v>
      </c>
      <c r="K443" s="42" t="s">
        <v>21</v>
      </c>
      <c r="L443" s="25"/>
      <c r="M443" s="45" t="s">
        <v>22</v>
      </c>
      <c r="N443" s="25"/>
    </row>
    <row r="444" ht="13.5" customHeight="1">
      <c r="A444" s="46" t="s">
        <v>23</v>
      </c>
      <c r="B444" s="47" t="s">
        <v>24</v>
      </c>
      <c r="C444" s="32" t="s">
        <v>25</v>
      </c>
      <c r="D444" s="33"/>
      <c r="E444" s="48"/>
      <c r="F444" s="48"/>
      <c r="G444" s="48"/>
      <c r="H444" s="48"/>
      <c r="I444" s="48"/>
      <c r="J444" s="48"/>
      <c r="K444" s="49"/>
      <c r="L444" s="25"/>
      <c r="M444" s="50"/>
      <c r="N444" s="10"/>
    </row>
    <row r="445" ht="13.5" customHeight="1">
      <c r="A445" s="92"/>
      <c r="B445" s="52" t="s">
        <v>116</v>
      </c>
      <c r="C445" s="53" t="s">
        <v>27</v>
      </c>
      <c r="D445" s="54"/>
      <c r="E445" s="55">
        <f t="shared" ref="E445:J445" si="122">E444-E446</f>
        <v>0</v>
      </c>
      <c r="F445" s="55">
        <f t="shared" si="122"/>
        <v>0</v>
      </c>
      <c r="G445" s="55">
        <f t="shared" si="122"/>
        <v>0</v>
      </c>
      <c r="H445" s="55">
        <f t="shared" si="122"/>
        <v>0</v>
      </c>
      <c r="I445" s="55">
        <f t="shared" si="122"/>
        <v>0</v>
      </c>
      <c r="J445" s="55">
        <f t="shared" si="122"/>
        <v>0</v>
      </c>
      <c r="K445" s="56"/>
      <c r="L445" s="30"/>
      <c r="M445" s="57" t="s">
        <v>28</v>
      </c>
      <c r="N445" s="58" t="b">
        <v>0</v>
      </c>
    </row>
    <row r="446" ht="13.5" customHeight="1">
      <c r="A446" s="46" t="s">
        <v>29</v>
      </c>
      <c r="B446" s="59"/>
      <c r="C446" s="53" t="s">
        <v>30</v>
      </c>
      <c r="D446" s="54"/>
      <c r="E446" s="60"/>
      <c r="F446" s="60"/>
      <c r="G446" s="60"/>
      <c r="H446" s="60"/>
      <c r="I446" s="60"/>
      <c r="J446" s="60"/>
      <c r="K446" s="61" t="s">
        <v>30</v>
      </c>
      <c r="L446" s="62">
        <f>(E446*E443)+(F446*F443)+(G446*G443)+(H446*H443)+(I446*I443)+(J446*J443)</f>
        <v>0</v>
      </c>
      <c r="M446" s="57" t="s">
        <v>31</v>
      </c>
      <c r="N446" s="63" t="b">
        <v>0</v>
      </c>
    </row>
    <row r="447" ht="13.5" customHeight="1">
      <c r="A447" s="64"/>
      <c r="B447" s="65" t="s">
        <v>33</v>
      </c>
      <c r="C447" s="53" t="s">
        <v>34</v>
      </c>
      <c r="D447" s="54"/>
      <c r="E447" s="66"/>
      <c r="F447" s="66"/>
      <c r="G447" s="66"/>
      <c r="H447" s="66"/>
      <c r="I447" s="66"/>
      <c r="J447" s="66"/>
      <c r="K447" s="67" t="s">
        <v>35</v>
      </c>
      <c r="L447" s="62">
        <f>(E447*E443)+(F447*F443)+(G447*G443)+(H447*H443)+(I447*I443)+(J447*J443)</f>
        <v>0</v>
      </c>
      <c r="M447" s="57" t="s">
        <v>36</v>
      </c>
      <c r="N447" s="63" t="b">
        <v>0</v>
      </c>
    </row>
    <row r="448" ht="13.5" customHeight="1">
      <c r="A448" s="68"/>
      <c r="B448" s="69" t="str">
        <f>IFS(L448=0,"",B448&lt;&gt;"",B448,TRUE,NOW())</f>
        <v/>
      </c>
      <c r="C448" s="70" t="s">
        <v>37</v>
      </c>
      <c r="D448" s="33"/>
      <c r="E448" s="71"/>
      <c r="F448" s="71"/>
      <c r="G448" s="71"/>
      <c r="H448" s="71"/>
      <c r="I448" s="71"/>
      <c r="J448" s="71"/>
      <c r="K448" s="72" t="s">
        <v>38</v>
      </c>
      <c r="L448" s="73">
        <f>L447-L446</f>
        <v>0</v>
      </c>
      <c r="M448" s="74" t="s">
        <v>39</v>
      </c>
      <c r="N448" s="75" t="b">
        <v>0</v>
      </c>
    </row>
    <row r="449" ht="17.25" customHeight="1">
      <c r="A449" s="46" t="s">
        <v>40</v>
      </c>
      <c r="B449" s="52" t="s">
        <v>116</v>
      </c>
      <c r="C449" s="53" t="s">
        <v>27</v>
      </c>
      <c r="D449" s="54"/>
      <c r="E449" s="55">
        <f t="shared" ref="E449:J449" si="123">E447-E450</f>
        <v>0</v>
      </c>
      <c r="F449" s="55">
        <f t="shared" si="123"/>
        <v>0</v>
      </c>
      <c r="G449" s="55">
        <f t="shared" si="123"/>
        <v>0</v>
      </c>
      <c r="H449" s="55">
        <f t="shared" si="123"/>
        <v>0</v>
      </c>
      <c r="I449" s="55">
        <f t="shared" si="123"/>
        <v>0</v>
      </c>
      <c r="J449" s="55">
        <f t="shared" si="123"/>
        <v>0</v>
      </c>
      <c r="K449" s="56"/>
      <c r="L449" s="30"/>
      <c r="M449" s="57" t="s">
        <v>28</v>
      </c>
      <c r="N449" s="58" t="b">
        <v>0</v>
      </c>
    </row>
    <row r="450" ht="13.5" customHeight="1">
      <c r="A450" s="64"/>
      <c r="B450" s="59"/>
      <c r="C450" s="53" t="s">
        <v>30</v>
      </c>
      <c r="D450" s="54"/>
      <c r="E450" s="60"/>
      <c r="F450" s="60"/>
      <c r="G450" s="60"/>
      <c r="H450" s="60"/>
      <c r="I450" s="60"/>
      <c r="J450" s="60"/>
      <c r="K450" s="61" t="s">
        <v>30</v>
      </c>
      <c r="L450" s="62">
        <f>(E450*E443)+(F450*F443)+(G450*G443)+(H450*H443)+(I450*I443)+(J450*J443)</f>
        <v>0</v>
      </c>
      <c r="M450" s="57" t="s">
        <v>31</v>
      </c>
      <c r="N450" s="63" t="b">
        <v>0</v>
      </c>
    </row>
    <row r="451" ht="13.5" customHeight="1">
      <c r="A451" s="68"/>
      <c r="B451" s="65" t="s">
        <v>42</v>
      </c>
      <c r="C451" s="53" t="s">
        <v>34</v>
      </c>
      <c r="D451" s="54"/>
      <c r="E451" s="66"/>
      <c r="F451" s="66"/>
      <c r="G451" s="66"/>
      <c r="H451" s="66"/>
      <c r="I451" s="66"/>
      <c r="J451" s="66"/>
      <c r="K451" s="67" t="s">
        <v>35</v>
      </c>
      <c r="L451" s="62">
        <f>(E451*E443)+(F451*F443)+(G451*G443)+(H451*H443)+(I451*I443)+(J451*J443)</f>
        <v>0</v>
      </c>
      <c r="M451" s="57" t="s">
        <v>36</v>
      </c>
      <c r="N451" s="63" t="b">
        <v>0</v>
      </c>
    </row>
    <row r="452" ht="13.5" customHeight="1">
      <c r="A452" s="46" t="s">
        <v>43</v>
      </c>
      <c r="B452" s="69" t="str">
        <f>IFS(L452=0,"",B452&lt;&gt;"",B452,TRUE,NOW())</f>
        <v/>
      </c>
      <c r="C452" s="70" t="s">
        <v>37</v>
      </c>
      <c r="D452" s="33"/>
      <c r="E452" s="71"/>
      <c r="F452" s="71"/>
      <c r="G452" s="71"/>
      <c r="H452" s="71"/>
      <c r="I452" s="71"/>
      <c r="J452" s="71"/>
      <c r="K452" s="72" t="s">
        <v>38</v>
      </c>
      <c r="L452" s="73">
        <f>L451-L450</f>
        <v>0</v>
      </c>
      <c r="M452" s="74" t="s">
        <v>39</v>
      </c>
      <c r="N452" s="75" t="b">
        <v>0</v>
      </c>
    </row>
    <row r="453" ht="13.5" customHeight="1">
      <c r="A453" s="64"/>
      <c r="B453" s="52" t="s">
        <v>116</v>
      </c>
      <c r="C453" s="53" t="s">
        <v>27</v>
      </c>
      <c r="D453" s="54"/>
      <c r="E453" s="55">
        <f t="shared" ref="E453:J453" si="124">E451-E454</f>
        <v>0</v>
      </c>
      <c r="F453" s="55">
        <f t="shared" si="124"/>
        <v>0</v>
      </c>
      <c r="G453" s="55">
        <f t="shared" si="124"/>
        <v>0</v>
      </c>
      <c r="H453" s="55">
        <f t="shared" si="124"/>
        <v>0</v>
      </c>
      <c r="I453" s="55">
        <f t="shared" si="124"/>
        <v>0</v>
      </c>
      <c r="J453" s="55">
        <f t="shared" si="124"/>
        <v>0</v>
      </c>
      <c r="K453" s="56"/>
      <c r="L453" s="30"/>
      <c r="M453" s="57" t="s">
        <v>28</v>
      </c>
      <c r="N453" s="58" t="b">
        <v>0</v>
      </c>
    </row>
    <row r="454" ht="15.0" customHeight="1">
      <c r="A454" s="46" t="s">
        <v>45</v>
      </c>
      <c r="B454" s="59"/>
      <c r="C454" s="53" t="s">
        <v>30</v>
      </c>
      <c r="D454" s="54"/>
      <c r="E454" s="60"/>
      <c r="F454" s="60"/>
      <c r="G454" s="60"/>
      <c r="H454" s="60"/>
      <c r="I454" s="60"/>
      <c r="J454" s="60"/>
      <c r="K454" s="61" t="s">
        <v>30</v>
      </c>
      <c r="L454" s="62">
        <f>(E454*E443)+(F454*F443)+(G454*G443)+(H454*H443)+(I454*I443)+(J454*J443)</f>
        <v>0</v>
      </c>
      <c r="M454" s="57" t="s">
        <v>31</v>
      </c>
      <c r="N454" s="63" t="b">
        <v>0</v>
      </c>
    </row>
    <row r="455" ht="13.5" customHeight="1">
      <c r="A455" s="77"/>
      <c r="B455" s="65" t="s">
        <v>47</v>
      </c>
      <c r="C455" s="53" t="s">
        <v>34</v>
      </c>
      <c r="D455" s="54"/>
      <c r="E455" s="66"/>
      <c r="F455" s="66"/>
      <c r="G455" s="66"/>
      <c r="H455" s="66"/>
      <c r="I455" s="66"/>
      <c r="J455" s="66"/>
      <c r="K455" s="67" t="s">
        <v>35</v>
      </c>
      <c r="L455" s="62">
        <f>(E455*E443)+(F455*F443)+(G455*G443)+(H455*H443)+(I455*I443)+(J455*J443)</f>
        <v>0</v>
      </c>
      <c r="M455" s="57" t="s">
        <v>36</v>
      </c>
      <c r="N455" s="63" t="b">
        <v>0</v>
      </c>
    </row>
    <row r="456" ht="13.5" customHeight="1">
      <c r="A456" s="68"/>
      <c r="B456" s="69" t="str">
        <f>IFS(L456=0,"",B456&lt;&gt;"",B456,TRUE,NOW())</f>
        <v/>
      </c>
      <c r="C456" s="70" t="s">
        <v>37</v>
      </c>
      <c r="D456" s="33"/>
      <c r="E456" s="71"/>
      <c r="F456" s="71"/>
      <c r="G456" s="71"/>
      <c r="H456" s="71"/>
      <c r="I456" s="71"/>
      <c r="J456" s="71"/>
      <c r="K456" s="72" t="s">
        <v>38</v>
      </c>
      <c r="L456" s="73">
        <f>L455-L454</f>
        <v>0</v>
      </c>
      <c r="M456" s="74" t="s">
        <v>39</v>
      </c>
      <c r="N456" s="75" t="b">
        <v>0</v>
      </c>
    </row>
    <row r="457" ht="13.5" customHeight="1">
      <c r="A457" s="78" t="s">
        <v>48</v>
      </c>
      <c r="B457" s="52" t="s">
        <v>116</v>
      </c>
      <c r="C457" s="53" t="s">
        <v>27</v>
      </c>
      <c r="D457" s="54"/>
      <c r="E457" s="55">
        <f t="shared" ref="E457:J457" si="125">E455-E458</f>
        <v>0</v>
      </c>
      <c r="F457" s="55">
        <f t="shared" si="125"/>
        <v>0</v>
      </c>
      <c r="G457" s="55">
        <f t="shared" si="125"/>
        <v>0</v>
      </c>
      <c r="H457" s="55">
        <f t="shared" si="125"/>
        <v>0</v>
      </c>
      <c r="I457" s="55">
        <f t="shared" si="125"/>
        <v>0</v>
      </c>
      <c r="J457" s="55">
        <f t="shared" si="125"/>
        <v>0</v>
      </c>
      <c r="K457" s="56"/>
      <c r="L457" s="30"/>
      <c r="M457" s="57" t="s">
        <v>28</v>
      </c>
      <c r="N457" s="58" t="b">
        <v>0</v>
      </c>
    </row>
    <row r="458" ht="13.5" customHeight="1">
      <c r="A458" s="87"/>
      <c r="B458" s="59"/>
      <c r="C458" s="53" t="s">
        <v>30</v>
      </c>
      <c r="D458" s="54"/>
      <c r="E458" s="60"/>
      <c r="F458" s="60"/>
      <c r="G458" s="60"/>
      <c r="H458" s="60"/>
      <c r="I458" s="60"/>
      <c r="J458" s="60"/>
      <c r="K458" s="61" t="s">
        <v>30</v>
      </c>
      <c r="L458" s="62">
        <f>(E458*E443)+(F458*F443)+(G458*G443)+(H458*H443)+(I458*I443)+(J458*J443)</f>
        <v>0</v>
      </c>
      <c r="M458" s="57" t="s">
        <v>31</v>
      </c>
      <c r="N458" s="63" t="b">
        <v>0</v>
      </c>
    </row>
    <row r="459" ht="15.0" customHeight="1">
      <c r="A459" s="68"/>
      <c r="B459" s="65" t="s">
        <v>49</v>
      </c>
      <c r="C459" s="53" t="s">
        <v>34</v>
      </c>
      <c r="D459" s="54"/>
      <c r="E459" s="66"/>
      <c r="F459" s="66"/>
      <c r="G459" s="66"/>
      <c r="H459" s="66"/>
      <c r="I459" s="66"/>
      <c r="J459" s="66"/>
      <c r="K459" s="67" t="s">
        <v>35</v>
      </c>
      <c r="L459" s="62">
        <f>(E459*E443)+(F459*F443)+(G459*G443)+(H459*H443)+(I459*I443)+(J459*J443)</f>
        <v>0</v>
      </c>
      <c r="M459" s="57" t="s">
        <v>36</v>
      </c>
      <c r="N459" s="63" t="b">
        <v>0</v>
      </c>
    </row>
    <row r="460" ht="13.5" customHeight="1">
      <c r="A460" s="80"/>
      <c r="B460" s="69" t="str">
        <f>IFS(L460=0,"",B460&lt;&gt;"",B460,TRUE,NOW())</f>
        <v/>
      </c>
      <c r="C460" s="86" t="s">
        <v>37</v>
      </c>
      <c r="D460" s="59"/>
      <c r="E460" s="93"/>
      <c r="F460" s="93"/>
      <c r="G460" s="93"/>
      <c r="H460" s="93"/>
      <c r="I460" s="93"/>
      <c r="J460" s="93"/>
      <c r="K460" s="72" t="s">
        <v>38</v>
      </c>
      <c r="L460" s="73">
        <f>L459-L458</f>
        <v>0</v>
      </c>
      <c r="M460" s="74" t="s">
        <v>39</v>
      </c>
      <c r="N460" s="75" t="b">
        <v>0</v>
      </c>
    </row>
    <row r="461" ht="13.5" customHeight="1">
      <c r="A461" s="94" t="s">
        <v>117</v>
      </c>
      <c r="B461" s="95" t="s">
        <v>20</v>
      </c>
      <c r="C461" s="96"/>
      <c r="D461" s="10"/>
      <c r="E461" s="97">
        <f t="shared" ref="E461:J461" si="126">E6</f>
        <v>17</v>
      </c>
      <c r="F461" s="97">
        <f t="shared" si="126"/>
        <v>27</v>
      </c>
      <c r="G461" s="97">
        <f t="shared" si="126"/>
        <v>27</v>
      </c>
      <c r="H461" s="97">
        <f t="shared" si="126"/>
        <v>27</v>
      </c>
      <c r="I461" s="97">
        <f t="shared" si="126"/>
        <v>32</v>
      </c>
      <c r="J461" s="97">
        <f t="shared" si="126"/>
        <v>37</v>
      </c>
      <c r="K461" s="95" t="s">
        <v>21</v>
      </c>
      <c r="L461" s="10"/>
      <c r="M461" s="98" t="s">
        <v>118</v>
      </c>
      <c r="N461" s="10"/>
    </row>
    <row r="462" ht="20.25" customHeight="1">
      <c r="A462" s="99" t="s">
        <v>23</v>
      </c>
      <c r="B462" s="100" t="s">
        <v>117</v>
      </c>
      <c r="C462" s="53" t="s">
        <v>30</v>
      </c>
      <c r="D462" s="54"/>
      <c r="E462" s="60"/>
      <c r="F462" s="60"/>
      <c r="G462" s="60"/>
      <c r="H462" s="60"/>
      <c r="I462" s="60"/>
      <c r="J462" s="60"/>
      <c r="K462" s="61" t="s">
        <v>30</v>
      </c>
      <c r="L462" s="62">
        <f>(E462*E461)+(F462*F461)+(G462*G461)+(H462*H461)+(I462*I461)+(J462*J461)</f>
        <v>0</v>
      </c>
      <c r="M462" s="57" t="s">
        <v>119</v>
      </c>
      <c r="N462" s="63" t="b">
        <v>0</v>
      </c>
    </row>
    <row r="463" ht="13.5" customHeight="1">
      <c r="A463" s="103"/>
      <c r="B463" s="59"/>
      <c r="C463" s="53" t="s">
        <v>34</v>
      </c>
      <c r="D463" s="54"/>
      <c r="E463" s="66"/>
      <c r="F463" s="66"/>
      <c r="G463" s="66"/>
      <c r="H463" s="66"/>
      <c r="I463" s="66"/>
      <c r="J463" s="66"/>
      <c r="K463" s="67" t="s">
        <v>35</v>
      </c>
      <c r="L463" s="62">
        <f>(E463*E461)+(F463*F461)+(G463*G461)+(H463*H461)+(I463*I461)+(J463*J461)</f>
        <v>0</v>
      </c>
      <c r="M463" s="57" t="s">
        <v>121</v>
      </c>
      <c r="N463" s="63" t="b">
        <v>0</v>
      </c>
    </row>
    <row r="464" ht="13.5" customHeight="1">
      <c r="A464" s="80"/>
      <c r="B464" s="102" t="s">
        <v>33</v>
      </c>
      <c r="C464" s="70" t="s">
        <v>37</v>
      </c>
      <c r="D464" s="33"/>
      <c r="E464" s="71"/>
      <c r="F464" s="71"/>
      <c r="G464" s="71"/>
      <c r="H464" s="71"/>
      <c r="I464" s="71"/>
      <c r="J464" s="71"/>
      <c r="K464" s="72" t="s">
        <v>38</v>
      </c>
      <c r="L464" s="73">
        <f>L463-L462</f>
        <v>0</v>
      </c>
      <c r="M464" s="74" t="s">
        <v>122</v>
      </c>
      <c r="N464" s="75" t="b">
        <v>0</v>
      </c>
    </row>
    <row r="465" ht="13.5" customHeight="1">
      <c r="A465" s="99" t="s">
        <v>23</v>
      </c>
      <c r="B465" s="100" t="s">
        <v>117</v>
      </c>
      <c r="C465" s="53" t="s">
        <v>30</v>
      </c>
      <c r="D465" s="54"/>
      <c r="E465" s="60"/>
      <c r="F465" s="60"/>
      <c r="G465" s="60"/>
      <c r="H465" s="60"/>
      <c r="I465" s="60"/>
      <c r="J465" s="60"/>
      <c r="K465" s="61" t="s">
        <v>30</v>
      </c>
      <c r="L465" s="62">
        <f>(E465*E461)+(F465*F461)+(G465*G461)+(H465*H461)+(I465*I461)+(J465*J461)</f>
        <v>0</v>
      </c>
      <c r="M465" s="57" t="s">
        <v>119</v>
      </c>
      <c r="N465" s="63" t="b">
        <v>0</v>
      </c>
    </row>
    <row r="466" ht="13.5" customHeight="1">
      <c r="A466" s="103"/>
      <c r="B466" s="59"/>
      <c r="C466" s="53" t="s">
        <v>34</v>
      </c>
      <c r="D466" s="54"/>
      <c r="E466" s="66"/>
      <c r="F466" s="66"/>
      <c r="G466" s="66"/>
      <c r="H466" s="66"/>
      <c r="I466" s="66"/>
      <c r="J466" s="66"/>
      <c r="K466" s="67" t="s">
        <v>35</v>
      </c>
      <c r="L466" s="62">
        <f>(E466*E461)+(F466*F461)+(G466*G461)+(H466*H461)+(I466*I461)+(J466*J461)</f>
        <v>0</v>
      </c>
      <c r="M466" s="57" t="s">
        <v>121</v>
      </c>
      <c r="N466" s="63" t="b">
        <v>0</v>
      </c>
    </row>
    <row r="467" ht="13.5" customHeight="1">
      <c r="A467" s="80"/>
      <c r="B467" s="102" t="s">
        <v>42</v>
      </c>
      <c r="C467" s="70" t="s">
        <v>37</v>
      </c>
      <c r="D467" s="33"/>
      <c r="E467" s="71"/>
      <c r="F467" s="71"/>
      <c r="G467" s="71"/>
      <c r="H467" s="71"/>
      <c r="I467" s="71"/>
      <c r="J467" s="71"/>
      <c r="K467" s="72" t="s">
        <v>38</v>
      </c>
      <c r="L467" s="73">
        <f>L466-L465</f>
        <v>0</v>
      </c>
      <c r="M467" s="74" t="s">
        <v>122</v>
      </c>
      <c r="N467" s="75" t="b">
        <v>0</v>
      </c>
    </row>
    <row r="468" ht="13.5" customHeight="1">
      <c r="A468" s="99" t="s">
        <v>23</v>
      </c>
      <c r="B468" s="100" t="s">
        <v>117</v>
      </c>
      <c r="C468" s="53" t="s">
        <v>30</v>
      </c>
      <c r="D468" s="54"/>
      <c r="E468" s="60"/>
      <c r="F468" s="60"/>
      <c r="G468" s="60"/>
      <c r="H468" s="60"/>
      <c r="I468" s="60"/>
      <c r="J468" s="60"/>
      <c r="K468" s="61" t="s">
        <v>30</v>
      </c>
      <c r="L468" s="62">
        <f>(E468*E461)+(F468*F461)+(G468*G461)+(H468*H461)+(I468*I461)+(J468*J461)</f>
        <v>0</v>
      </c>
      <c r="M468" s="57" t="s">
        <v>119</v>
      </c>
      <c r="N468" s="63" t="b">
        <v>0</v>
      </c>
    </row>
    <row r="469" ht="13.5" customHeight="1">
      <c r="A469" s="103"/>
      <c r="B469" s="59"/>
      <c r="C469" s="53" t="s">
        <v>34</v>
      </c>
      <c r="D469" s="54"/>
      <c r="E469" s="66"/>
      <c r="F469" s="66"/>
      <c r="G469" s="66"/>
      <c r="H469" s="66"/>
      <c r="I469" s="66"/>
      <c r="J469" s="66"/>
      <c r="K469" s="67" t="s">
        <v>35</v>
      </c>
      <c r="L469" s="62">
        <f>(E469*E461)+(F469*F461)+(G469*G461)+(H469*H461)+(I469*I461)+(J469*J461)</f>
        <v>0</v>
      </c>
      <c r="M469" s="57" t="s">
        <v>121</v>
      </c>
      <c r="N469" s="63" t="b">
        <v>0</v>
      </c>
    </row>
    <row r="470" ht="13.5" customHeight="1">
      <c r="A470" s="80"/>
      <c r="B470" s="102" t="s">
        <v>47</v>
      </c>
      <c r="C470" s="70" t="s">
        <v>37</v>
      </c>
      <c r="D470" s="33"/>
      <c r="E470" s="71"/>
      <c r="F470" s="71"/>
      <c r="G470" s="71"/>
      <c r="H470" s="71"/>
      <c r="I470" s="71"/>
      <c r="J470" s="71"/>
      <c r="K470" s="72" t="s">
        <v>38</v>
      </c>
      <c r="L470" s="73">
        <f>L469-L468</f>
        <v>0</v>
      </c>
      <c r="M470" s="74" t="s">
        <v>122</v>
      </c>
      <c r="N470" s="75" t="b">
        <v>0</v>
      </c>
    </row>
    <row r="471" ht="18.75" customHeight="1">
      <c r="A471" s="99" t="s">
        <v>23</v>
      </c>
      <c r="B471" s="100" t="s">
        <v>117</v>
      </c>
      <c r="C471" s="53" t="s">
        <v>30</v>
      </c>
      <c r="D471" s="54"/>
      <c r="E471" s="60"/>
      <c r="F471" s="60"/>
      <c r="G471" s="60"/>
      <c r="H471" s="60"/>
      <c r="I471" s="60"/>
      <c r="J471" s="60"/>
      <c r="K471" s="61" t="s">
        <v>30</v>
      </c>
      <c r="L471" s="62">
        <f>(E471*E461)+(F471*F461)+(G471*G461)+(H471*H461)+(I471*I461)+(J471*J461)</f>
        <v>0</v>
      </c>
      <c r="M471" s="57" t="s">
        <v>119</v>
      </c>
      <c r="N471" s="63" t="b">
        <v>0</v>
      </c>
    </row>
    <row r="472" ht="13.5" customHeight="1">
      <c r="A472" s="101" t="s">
        <v>162</v>
      </c>
      <c r="B472" s="59"/>
      <c r="C472" s="53" t="s">
        <v>34</v>
      </c>
      <c r="D472" s="54"/>
      <c r="E472" s="66"/>
      <c r="F472" s="66"/>
      <c r="G472" s="66"/>
      <c r="H472" s="66"/>
      <c r="I472" s="66"/>
      <c r="J472" s="66"/>
      <c r="K472" s="67" t="s">
        <v>35</v>
      </c>
      <c r="L472" s="62">
        <f>(E472*E461)+(F472*F461)+(G472*G461)+(H472*H461)+(I472*I461)+(J472*J461)</f>
        <v>0</v>
      </c>
      <c r="M472" s="57" t="s">
        <v>121</v>
      </c>
      <c r="N472" s="63" t="b">
        <v>0</v>
      </c>
    </row>
    <row r="473" ht="13.5" customHeight="1">
      <c r="A473" s="80"/>
      <c r="B473" s="168" t="s">
        <v>49</v>
      </c>
      <c r="C473" s="70" t="s">
        <v>37</v>
      </c>
      <c r="D473" s="33"/>
      <c r="E473" s="71"/>
      <c r="F473" s="71"/>
      <c r="G473" s="71"/>
      <c r="H473" s="71"/>
      <c r="I473" s="71"/>
      <c r="J473" s="71"/>
      <c r="K473" s="72" t="s">
        <v>38</v>
      </c>
      <c r="L473" s="73">
        <f>L472-L471</f>
        <v>0</v>
      </c>
      <c r="M473" s="74" t="s">
        <v>122</v>
      </c>
      <c r="N473" s="75" t="b">
        <v>0</v>
      </c>
    </row>
    <row r="474" ht="13.5" customHeight="1">
      <c r="A474" s="94" t="s">
        <v>123</v>
      </c>
      <c r="B474" s="95" t="s">
        <v>20</v>
      </c>
      <c r="C474" s="96"/>
      <c r="D474" s="10"/>
      <c r="E474" s="97">
        <f t="shared" ref="E474:J474" si="127">E6</f>
        <v>17</v>
      </c>
      <c r="F474" s="97">
        <f t="shared" si="127"/>
        <v>27</v>
      </c>
      <c r="G474" s="97">
        <f t="shared" si="127"/>
        <v>27</v>
      </c>
      <c r="H474" s="97">
        <f t="shared" si="127"/>
        <v>27</v>
      </c>
      <c r="I474" s="97">
        <f t="shared" si="127"/>
        <v>32</v>
      </c>
      <c r="J474" s="97">
        <f t="shared" si="127"/>
        <v>37</v>
      </c>
      <c r="K474" s="95" t="s">
        <v>21</v>
      </c>
      <c r="L474" s="10"/>
      <c r="M474" s="98" t="s">
        <v>118</v>
      </c>
      <c r="N474" s="10"/>
    </row>
    <row r="475" ht="13.5" customHeight="1">
      <c r="A475" s="99" t="s">
        <v>23</v>
      </c>
      <c r="B475" s="100" t="s">
        <v>123</v>
      </c>
      <c r="C475" s="53" t="s">
        <v>30</v>
      </c>
      <c r="D475" s="54"/>
      <c r="E475" s="60"/>
      <c r="F475" s="60"/>
      <c r="G475" s="60"/>
      <c r="H475" s="60"/>
      <c r="I475" s="60"/>
      <c r="J475" s="60"/>
      <c r="K475" s="61" t="s">
        <v>30</v>
      </c>
      <c r="L475" s="62">
        <f>(E475*E474)+(F475*F474)+(G475*G474)+(H475*H474)+(I475*I474)+(J475*J474)</f>
        <v>0</v>
      </c>
      <c r="M475" s="57" t="s">
        <v>119</v>
      </c>
      <c r="N475" s="63" t="b">
        <v>0</v>
      </c>
    </row>
    <row r="476" ht="13.5" customHeight="1">
      <c r="A476" s="103"/>
      <c r="B476" s="59"/>
      <c r="C476" s="53" t="s">
        <v>34</v>
      </c>
      <c r="D476" s="54"/>
      <c r="E476" s="66"/>
      <c r="F476" s="66"/>
      <c r="G476" s="66"/>
      <c r="H476" s="66"/>
      <c r="I476" s="66"/>
      <c r="J476" s="66"/>
      <c r="K476" s="67" t="s">
        <v>35</v>
      </c>
      <c r="L476" s="62">
        <f>(E476*E474)+(F476*F474)+(G476*G474)+(H476*H474)+(I476*I474)+(J476*J474)</f>
        <v>0</v>
      </c>
      <c r="M476" s="57" t="s">
        <v>121</v>
      </c>
      <c r="N476" s="63" t="b">
        <v>0</v>
      </c>
    </row>
    <row r="477" ht="13.5" customHeight="1">
      <c r="A477" s="80"/>
      <c r="B477" s="102" t="s">
        <v>33</v>
      </c>
      <c r="C477" s="70" t="s">
        <v>37</v>
      </c>
      <c r="D477" s="33"/>
      <c r="E477" s="71"/>
      <c r="F477" s="71"/>
      <c r="G477" s="71"/>
      <c r="H477" s="71"/>
      <c r="I477" s="71"/>
      <c r="J477" s="71"/>
      <c r="K477" s="72" t="s">
        <v>38</v>
      </c>
      <c r="L477" s="73">
        <f>L476-L475</f>
        <v>0</v>
      </c>
      <c r="M477" s="74" t="s">
        <v>122</v>
      </c>
      <c r="N477" s="75" t="b">
        <v>0</v>
      </c>
    </row>
    <row r="478" ht="15.0" customHeight="1">
      <c r="A478" s="99" t="s">
        <v>23</v>
      </c>
      <c r="B478" s="100" t="s">
        <v>123</v>
      </c>
      <c r="C478" s="53" t="s">
        <v>30</v>
      </c>
      <c r="D478" s="54"/>
      <c r="E478" s="60"/>
      <c r="F478" s="60"/>
      <c r="G478" s="60"/>
      <c r="H478" s="60"/>
      <c r="I478" s="60"/>
      <c r="J478" s="60"/>
      <c r="K478" s="61" t="s">
        <v>30</v>
      </c>
      <c r="L478" s="62">
        <f>(E478*E474)+(F478*F474)+(G478*G474)+(H478*H474)+(I478*I474)+(J478*J474)</f>
        <v>0</v>
      </c>
      <c r="M478" s="57" t="s">
        <v>119</v>
      </c>
      <c r="N478" s="63" t="b">
        <v>0</v>
      </c>
    </row>
    <row r="479" ht="13.5" customHeight="1">
      <c r="A479" s="103"/>
      <c r="B479" s="59"/>
      <c r="C479" s="53" t="s">
        <v>34</v>
      </c>
      <c r="D479" s="54"/>
      <c r="E479" s="66"/>
      <c r="F479" s="66"/>
      <c r="G479" s="66"/>
      <c r="H479" s="66"/>
      <c r="I479" s="66"/>
      <c r="J479" s="66"/>
      <c r="K479" s="67" t="s">
        <v>35</v>
      </c>
      <c r="L479" s="62">
        <f>(E479*E474)+(F479*F474)+(G479*G474)+(H479*H474)+(I479*I474)+(J479*J474)</f>
        <v>0</v>
      </c>
      <c r="M479" s="57" t="s">
        <v>121</v>
      </c>
      <c r="N479" s="63" t="b">
        <v>0</v>
      </c>
    </row>
    <row r="480" ht="13.5" customHeight="1">
      <c r="A480" s="80"/>
      <c r="B480" s="102" t="s">
        <v>42</v>
      </c>
      <c r="C480" s="70" t="s">
        <v>37</v>
      </c>
      <c r="D480" s="33"/>
      <c r="E480" s="71"/>
      <c r="F480" s="71"/>
      <c r="G480" s="71"/>
      <c r="H480" s="71"/>
      <c r="I480" s="71"/>
      <c r="J480" s="71"/>
      <c r="K480" s="72" t="s">
        <v>38</v>
      </c>
      <c r="L480" s="73">
        <f>L479-L478</f>
        <v>0</v>
      </c>
      <c r="M480" s="74" t="s">
        <v>122</v>
      </c>
      <c r="N480" s="75" t="b">
        <v>0</v>
      </c>
    </row>
    <row r="481" ht="13.5" customHeight="1">
      <c r="A481" s="99" t="s">
        <v>23</v>
      </c>
      <c r="B481" s="100" t="s">
        <v>123</v>
      </c>
      <c r="C481" s="53" t="s">
        <v>30</v>
      </c>
      <c r="D481" s="54"/>
      <c r="E481" s="60"/>
      <c r="F481" s="60"/>
      <c r="G481" s="60"/>
      <c r="H481" s="60"/>
      <c r="I481" s="60"/>
      <c r="J481" s="60"/>
      <c r="K481" s="61" t="s">
        <v>30</v>
      </c>
      <c r="L481" s="62">
        <f>(E481*E474)+(F481*F474)+(G481*G474)+(H481*H474)+(I481*I474)+(J481*J474)</f>
        <v>0</v>
      </c>
      <c r="M481" s="57" t="s">
        <v>119</v>
      </c>
      <c r="N481" s="63" t="b">
        <v>0</v>
      </c>
    </row>
    <row r="482" ht="13.5" customHeight="1">
      <c r="A482" s="103"/>
      <c r="B482" s="59"/>
      <c r="C482" s="53" t="s">
        <v>34</v>
      </c>
      <c r="D482" s="54"/>
      <c r="E482" s="66"/>
      <c r="F482" s="66"/>
      <c r="G482" s="66"/>
      <c r="H482" s="66"/>
      <c r="I482" s="66"/>
      <c r="J482" s="66"/>
      <c r="K482" s="67" t="s">
        <v>35</v>
      </c>
      <c r="L482" s="62">
        <f>(E482*E474)+(F482*F474)+(G482*G474)+(H482*H474)+(I482*I474)+(J482*J474)</f>
        <v>0</v>
      </c>
      <c r="M482" s="57" t="s">
        <v>121</v>
      </c>
      <c r="N482" s="63" t="b">
        <v>0</v>
      </c>
    </row>
    <row r="483" ht="13.5" customHeight="1">
      <c r="A483" s="80"/>
      <c r="B483" s="102" t="s">
        <v>47</v>
      </c>
      <c r="C483" s="70" t="s">
        <v>37</v>
      </c>
      <c r="D483" s="33"/>
      <c r="E483" s="71"/>
      <c r="F483" s="71"/>
      <c r="G483" s="71"/>
      <c r="H483" s="71"/>
      <c r="I483" s="71"/>
      <c r="J483" s="71"/>
      <c r="K483" s="72" t="s">
        <v>38</v>
      </c>
      <c r="L483" s="73">
        <f>L482-L481</f>
        <v>0</v>
      </c>
      <c r="M483" s="74" t="s">
        <v>122</v>
      </c>
      <c r="N483" s="75" t="b">
        <v>0</v>
      </c>
    </row>
    <row r="484" ht="13.5" customHeight="1">
      <c r="A484" s="99" t="s">
        <v>23</v>
      </c>
      <c r="B484" s="100" t="s">
        <v>123</v>
      </c>
      <c r="C484" s="53" t="s">
        <v>30</v>
      </c>
      <c r="D484" s="54"/>
      <c r="E484" s="60"/>
      <c r="F484" s="60"/>
      <c r="G484" s="60"/>
      <c r="H484" s="60"/>
      <c r="I484" s="60"/>
      <c r="J484" s="60"/>
      <c r="K484" s="61" t="s">
        <v>30</v>
      </c>
      <c r="L484" s="62">
        <f>(E484*E474)+(F484*F474)+(G484*G474)+(H484*H474)+(I484*I474)+(J484*J474)</f>
        <v>0</v>
      </c>
      <c r="M484" s="57" t="s">
        <v>119</v>
      </c>
      <c r="N484" s="63" t="b">
        <v>0</v>
      </c>
    </row>
    <row r="485" ht="13.5" customHeight="1">
      <c r="A485" s="103"/>
      <c r="B485" s="59"/>
      <c r="C485" s="53" t="s">
        <v>34</v>
      </c>
      <c r="D485" s="54"/>
      <c r="E485" s="66"/>
      <c r="F485" s="66"/>
      <c r="G485" s="66"/>
      <c r="H485" s="66"/>
      <c r="I485" s="66"/>
      <c r="J485" s="66"/>
      <c r="K485" s="67" t="s">
        <v>35</v>
      </c>
      <c r="L485" s="62">
        <f>(E485*E474)+(F485*F474)+(G485*G474)+(H485*H474)+(I485*I474)+(J485*J474)</f>
        <v>0</v>
      </c>
      <c r="M485" s="57" t="s">
        <v>121</v>
      </c>
      <c r="N485" s="63" t="b">
        <v>0</v>
      </c>
    </row>
    <row r="486" ht="13.5" customHeight="1">
      <c r="A486" s="80"/>
      <c r="B486" s="102" t="s">
        <v>49</v>
      </c>
      <c r="C486" s="70" t="s">
        <v>37</v>
      </c>
      <c r="D486" s="33"/>
      <c r="E486" s="71"/>
      <c r="F486" s="71"/>
      <c r="G486" s="71"/>
      <c r="H486" s="71"/>
      <c r="I486" s="71"/>
      <c r="J486" s="71"/>
      <c r="K486" s="72" t="s">
        <v>38</v>
      </c>
      <c r="L486" s="73">
        <f>L485-L484</f>
        <v>0</v>
      </c>
      <c r="M486" s="74" t="s">
        <v>122</v>
      </c>
      <c r="N486" s="75" t="b">
        <v>0</v>
      </c>
    </row>
    <row r="487" ht="13.5" customHeight="1">
      <c r="A487" s="94" t="s">
        <v>124</v>
      </c>
      <c r="B487" s="95" t="s">
        <v>20</v>
      </c>
      <c r="C487" s="96"/>
      <c r="D487" s="10"/>
      <c r="E487" s="97">
        <f t="shared" ref="E487:J487" si="128">E6</f>
        <v>17</v>
      </c>
      <c r="F487" s="97">
        <f t="shared" si="128"/>
        <v>27</v>
      </c>
      <c r="G487" s="97">
        <f t="shared" si="128"/>
        <v>27</v>
      </c>
      <c r="H487" s="97">
        <f t="shared" si="128"/>
        <v>27</v>
      </c>
      <c r="I487" s="97">
        <f t="shared" si="128"/>
        <v>32</v>
      </c>
      <c r="J487" s="97">
        <f t="shared" si="128"/>
        <v>37</v>
      </c>
      <c r="K487" s="95" t="s">
        <v>21</v>
      </c>
      <c r="L487" s="10"/>
      <c r="M487" s="98" t="s">
        <v>118</v>
      </c>
      <c r="N487" s="10"/>
    </row>
    <row r="488" ht="13.5" customHeight="1">
      <c r="A488" s="99" t="s">
        <v>23</v>
      </c>
      <c r="B488" s="100" t="s">
        <v>124</v>
      </c>
      <c r="C488" s="53" t="s">
        <v>30</v>
      </c>
      <c r="D488" s="54"/>
      <c r="E488" s="60"/>
      <c r="F488" s="60"/>
      <c r="G488" s="60"/>
      <c r="H488" s="60"/>
      <c r="I488" s="60"/>
      <c r="J488" s="60"/>
      <c r="K488" s="61" t="s">
        <v>30</v>
      </c>
      <c r="L488" s="62">
        <f>(E488*E487)+(F488*F487)+(G488*G487)+(H488*H487)+(I488*I487)+(J488*J487)</f>
        <v>0</v>
      </c>
      <c r="M488" s="57" t="s">
        <v>119</v>
      </c>
      <c r="N488" s="63" t="b">
        <v>0</v>
      </c>
    </row>
    <row r="489" ht="13.5" customHeight="1">
      <c r="A489" s="103"/>
      <c r="B489" s="59"/>
      <c r="C489" s="53" t="s">
        <v>34</v>
      </c>
      <c r="D489" s="54"/>
      <c r="E489" s="66"/>
      <c r="F489" s="66"/>
      <c r="G489" s="66"/>
      <c r="H489" s="66"/>
      <c r="I489" s="66"/>
      <c r="J489" s="66"/>
      <c r="K489" s="67" t="s">
        <v>35</v>
      </c>
      <c r="L489" s="62">
        <f>(E489*E487)+(F489*F487)+(G489*G487)+(H489*H487)+(I489*I487)+(J489*J487)</f>
        <v>0</v>
      </c>
      <c r="M489" s="57" t="s">
        <v>121</v>
      </c>
      <c r="N489" s="63" t="b">
        <v>0</v>
      </c>
    </row>
    <row r="490" ht="13.5" customHeight="1">
      <c r="A490" s="80"/>
      <c r="B490" s="102" t="s">
        <v>33</v>
      </c>
      <c r="C490" s="70" t="s">
        <v>37</v>
      </c>
      <c r="D490" s="33"/>
      <c r="E490" s="71"/>
      <c r="F490" s="71"/>
      <c r="G490" s="71"/>
      <c r="H490" s="71"/>
      <c r="I490" s="71"/>
      <c r="J490" s="71"/>
      <c r="K490" s="72" t="s">
        <v>38</v>
      </c>
      <c r="L490" s="73">
        <f>L489-L488</f>
        <v>0</v>
      </c>
      <c r="M490" s="74" t="s">
        <v>122</v>
      </c>
      <c r="N490" s="75" t="b">
        <v>0</v>
      </c>
    </row>
    <row r="491" ht="13.5" customHeight="1">
      <c r="A491" s="99" t="s">
        <v>23</v>
      </c>
      <c r="B491" s="100" t="s">
        <v>124</v>
      </c>
      <c r="C491" s="53" t="s">
        <v>30</v>
      </c>
      <c r="D491" s="54"/>
      <c r="E491" s="60"/>
      <c r="F491" s="60"/>
      <c r="G491" s="60"/>
      <c r="H491" s="60"/>
      <c r="I491" s="60"/>
      <c r="J491" s="60"/>
      <c r="K491" s="61" t="s">
        <v>30</v>
      </c>
      <c r="L491" s="62">
        <f>(E491*E487)+(F491*F487)+(G491*G487)+(H491*H487)+(I491*I487)+(J491*J487)</f>
        <v>0</v>
      </c>
      <c r="M491" s="57" t="s">
        <v>119</v>
      </c>
      <c r="N491" s="63" t="b">
        <v>0</v>
      </c>
    </row>
    <row r="492" ht="13.5" customHeight="1">
      <c r="A492" s="103"/>
      <c r="B492" s="59"/>
      <c r="C492" s="53" t="s">
        <v>34</v>
      </c>
      <c r="D492" s="54"/>
      <c r="E492" s="66"/>
      <c r="F492" s="66"/>
      <c r="G492" s="66"/>
      <c r="H492" s="66"/>
      <c r="I492" s="66"/>
      <c r="J492" s="66"/>
      <c r="K492" s="67" t="s">
        <v>35</v>
      </c>
      <c r="L492" s="62">
        <f>(E492*E487)+(F492*F487)+(G492*G487)+(H492*H487)+(I492*I487)+(J492*J487)</f>
        <v>0</v>
      </c>
      <c r="M492" s="57" t="s">
        <v>121</v>
      </c>
      <c r="N492" s="63" t="b">
        <v>0</v>
      </c>
    </row>
    <row r="493" ht="13.5" customHeight="1">
      <c r="A493" s="80"/>
      <c r="B493" s="102" t="s">
        <v>42</v>
      </c>
      <c r="C493" s="70" t="s">
        <v>37</v>
      </c>
      <c r="D493" s="33"/>
      <c r="E493" s="71"/>
      <c r="F493" s="71"/>
      <c r="G493" s="71"/>
      <c r="H493" s="71"/>
      <c r="I493" s="71"/>
      <c r="J493" s="71"/>
      <c r="K493" s="72" t="s">
        <v>38</v>
      </c>
      <c r="L493" s="73">
        <f>L492-L491</f>
        <v>0</v>
      </c>
      <c r="M493" s="74" t="s">
        <v>122</v>
      </c>
      <c r="N493" s="75" t="b">
        <v>0</v>
      </c>
    </row>
    <row r="494" ht="15.0" customHeight="1">
      <c r="A494" s="99" t="s">
        <v>23</v>
      </c>
      <c r="B494" s="100" t="s">
        <v>124</v>
      </c>
      <c r="C494" s="53" t="s">
        <v>30</v>
      </c>
      <c r="D494" s="54"/>
      <c r="E494" s="60"/>
      <c r="F494" s="60"/>
      <c r="G494" s="60"/>
      <c r="H494" s="60"/>
      <c r="I494" s="60"/>
      <c r="J494" s="60"/>
      <c r="K494" s="61" t="s">
        <v>30</v>
      </c>
      <c r="L494" s="62">
        <f>(E494*E487)+(F494*F487)+(G494*G487)+(H494*H487)+(I494*I487)+(J494*J487)</f>
        <v>0</v>
      </c>
      <c r="M494" s="57" t="s">
        <v>119</v>
      </c>
      <c r="N494" s="63" t="b">
        <v>0</v>
      </c>
    </row>
    <row r="495" ht="13.5" customHeight="1">
      <c r="A495" s="103"/>
      <c r="B495" s="59"/>
      <c r="C495" s="53" t="s">
        <v>34</v>
      </c>
      <c r="D495" s="54"/>
      <c r="E495" s="66"/>
      <c r="F495" s="66"/>
      <c r="G495" s="66"/>
      <c r="H495" s="66"/>
      <c r="I495" s="66"/>
      <c r="J495" s="66"/>
      <c r="K495" s="67" t="s">
        <v>35</v>
      </c>
      <c r="L495" s="62">
        <f>(E495*E487)+(F495*F487)+(G495*G487)+(H495*H487)+(I495*I487)+(J495*J487)</f>
        <v>0</v>
      </c>
      <c r="M495" s="57" t="s">
        <v>121</v>
      </c>
      <c r="N495" s="63" t="b">
        <v>0</v>
      </c>
    </row>
    <row r="496" ht="13.5" customHeight="1">
      <c r="A496" s="80"/>
      <c r="B496" s="102" t="s">
        <v>47</v>
      </c>
      <c r="C496" s="70" t="s">
        <v>37</v>
      </c>
      <c r="D496" s="33"/>
      <c r="E496" s="71"/>
      <c r="F496" s="71"/>
      <c r="G496" s="71"/>
      <c r="H496" s="71"/>
      <c r="I496" s="71"/>
      <c r="J496" s="71"/>
      <c r="K496" s="72" t="s">
        <v>38</v>
      </c>
      <c r="L496" s="73">
        <f>L495-L494</f>
        <v>0</v>
      </c>
      <c r="M496" s="74" t="s">
        <v>122</v>
      </c>
      <c r="N496" s="75" t="b">
        <v>0</v>
      </c>
    </row>
    <row r="497" ht="13.5" customHeight="1">
      <c r="A497" s="99" t="s">
        <v>23</v>
      </c>
      <c r="B497" s="100" t="s">
        <v>124</v>
      </c>
      <c r="C497" s="53" t="s">
        <v>30</v>
      </c>
      <c r="D497" s="54"/>
      <c r="E497" s="60"/>
      <c r="F497" s="60"/>
      <c r="G497" s="60"/>
      <c r="H497" s="60"/>
      <c r="I497" s="60"/>
      <c r="J497" s="60"/>
      <c r="K497" s="61" t="s">
        <v>30</v>
      </c>
      <c r="L497" s="62">
        <f>(E497*E487)+(F497*F487)+(G497*G487)+(H497*H487)+(I497*I487)+(J497*J487)</f>
        <v>0</v>
      </c>
      <c r="M497" s="57" t="s">
        <v>119</v>
      </c>
      <c r="N497" s="63" t="b">
        <v>0</v>
      </c>
    </row>
    <row r="498" ht="13.5" customHeight="1">
      <c r="A498" s="103"/>
      <c r="B498" s="59"/>
      <c r="C498" s="53" t="s">
        <v>34</v>
      </c>
      <c r="D498" s="54"/>
      <c r="E498" s="66"/>
      <c r="F498" s="66"/>
      <c r="G498" s="66"/>
      <c r="H498" s="66"/>
      <c r="I498" s="66"/>
      <c r="J498" s="66"/>
      <c r="K498" s="67" t="s">
        <v>35</v>
      </c>
      <c r="L498" s="62">
        <f>(E498*E487)+(F498*F487)+(G498*G487)+(H498*H487)+(I498*I487)+(J498*J487)</f>
        <v>0</v>
      </c>
      <c r="M498" s="57" t="s">
        <v>121</v>
      </c>
      <c r="N498" s="63" t="b">
        <v>0</v>
      </c>
    </row>
    <row r="499" ht="13.5" customHeight="1">
      <c r="A499" s="80"/>
      <c r="B499" s="102" t="s">
        <v>49</v>
      </c>
      <c r="C499" s="70" t="s">
        <v>37</v>
      </c>
      <c r="D499" s="33"/>
      <c r="E499" s="71"/>
      <c r="F499" s="71"/>
      <c r="G499" s="71"/>
      <c r="H499" s="71"/>
      <c r="I499" s="71"/>
      <c r="J499" s="71"/>
      <c r="K499" s="72" t="s">
        <v>38</v>
      </c>
      <c r="L499" s="73">
        <f>L498-L497</f>
        <v>0</v>
      </c>
      <c r="M499" s="74" t="s">
        <v>122</v>
      </c>
      <c r="N499" s="75" t="b">
        <v>0</v>
      </c>
    </row>
    <row r="500" ht="18.75" customHeight="1">
      <c r="A500" s="94" t="s">
        <v>125</v>
      </c>
      <c r="B500" s="95" t="s">
        <v>20</v>
      </c>
      <c r="C500" s="96"/>
      <c r="D500" s="10"/>
      <c r="E500" s="97">
        <f t="shared" ref="E500:J500" si="129">E6</f>
        <v>17</v>
      </c>
      <c r="F500" s="97">
        <f t="shared" si="129"/>
        <v>27</v>
      </c>
      <c r="G500" s="97">
        <f t="shared" si="129"/>
        <v>27</v>
      </c>
      <c r="H500" s="97">
        <f t="shared" si="129"/>
        <v>27</v>
      </c>
      <c r="I500" s="97">
        <f t="shared" si="129"/>
        <v>32</v>
      </c>
      <c r="J500" s="97">
        <f t="shared" si="129"/>
        <v>37</v>
      </c>
      <c r="K500" s="95" t="s">
        <v>21</v>
      </c>
      <c r="L500" s="10"/>
      <c r="M500" s="98" t="s">
        <v>118</v>
      </c>
      <c r="N500" s="10"/>
    </row>
    <row r="501" ht="13.5" customHeight="1">
      <c r="A501" s="99" t="s">
        <v>23</v>
      </c>
      <c r="B501" s="100" t="s">
        <v>125</v>
      </c>
      <c r="C501" s="53" t="s">
        <v>30</v>
      </c>
      <c r="D501" s="54"/>
      <c r="E501" s="60"/>
      <c r="F501" s="60"/>
      <c r="G501" s="60"/>
      <c r="H501" s="60"/>
      <c r="I501" s="60"/>
      <c r="J501" s="60"/>
      <c r="K501" s="61" t="s">
        <v>30</v>
      </c>
      <c r="L501" s="62">
        <f>(E501*E500)+(F501*F500)+(G501*G500)+(H501*H500)+(I501*I500)+(J501*J500)</f>
        <v>0</v>
      </c>
      <c r="M501" s="57" t="s">
        <v>119</v>
      </c>
      <c r="N501" s="63" t="b">
        <v>0</v>
      </c>
    </row>
    <row r="502" ht="13.5" customHeight="1">
      <c r="A502" s="103"/>
      <c r="B502" s="59"/>
      <c r="C502" s="53" t="s">
        <v>34</v>
      </c>
      <c r="D502" s="54"/>
      <c r="E502" s="66"/>
      <c r="F502" s="66"/>
      <c r="G502" s="66"/>
      <c r="H502" s="66"/>
      <c r="I502" s="66"/>
      <c r="J502" s="66"/>
      <c r="K502" s="67" t="s">
        <v>35</v>
      </c>
      <c r="L502" s="62">
        <f>(E502*E500)+(F502*F500)+(G502*G500)+(H502*H500)+(I502*I500)+(J502*J500)</f>
        <v>0</v>
      </c>
      <c r="M502" s="57" t="s">
        <v>121</v>
      </c>
      <c r="N502" s="63" t="b">
        <v>0</v>
      </c>
    </row>
    <row r="503" ht="17.25" customHeight="1">
      <c r="A503" s="80"/>
      <c r="B503" s="102" t="s">
        <v>33</v>
      </c>
      <c r="C503" s="70" t="s">
        <v>37</v>
      </c>
      <c r="D503" s="33"/>
      <c r="E503" s="71"/>
      <c r="F503" s="71"/>
      <c r="G503" s="71"/>
      <c r="H503" s="71"/>
      <c r="I503" s="71"/>
      <c r="J503" s="71"/>
      <c r="K503" s="72" t="s">
        <v>38</v>
      </c>
      <c r="L503" s="73">
        <f>L502-L501</f>
        <v>0</v>
      </c>
      <c r="M503" s="74" t="s">
        <v>122</v>
      </c>
      <c r="N503" s="75" t="b">
        <v>0</v>
      </c>
    </row>
    <row r="504" ht="13.5" customHeight="1">
      <c r="A504" s="99" t="s">
        <v>23</v>
      </c>
      <c r="B504" s="100" t="s">
        <v>125</v>
      </c>
      <c r="C504" s="53" t="s">
        <v>30</v>
      </c>
      <c r="D504" s="54"/>
      <c r="E504" s="60"/>
      <c r="F504" s="60"/>
      <c r="G504" s="60"/>
      <c r="H504" s="60"/>
      <c r="I504" s="60"/>
      <c r="J504" s="60"/>
      <c r="K504" s="61" t="s">
        <v>30</v>
      </c>
      <c r="L504" s="62">
        <f>(E504*E500)+(F504*F500)+(G504*G500)+(H504*H500)+(I504*I500)+(J504*J500)</f>
        <v>0</v>
      </c>
      <c r="M504" s="57" t="s">
        <v>119</v>
      </c>
      <c r="N504" s="63" t="b">
        <v>0</v>
      </c>
    </row>
    <row r="505" ht="13.5" customHeight="1">
      <c r="A505" s="103"/>
      <c r="B505" s="59"/>
      <c r="C505" s="53" t="s">
        <v>34</v>
      </c>
      <c r="D505" s="54"/>
      <c r="E505" s="66"/>
      <c r="F505" s="66"/>
      <c r="G505" s="66"/>
      <c r="H505" s="66"/>
      <c r="I505" s="66"/>
      <c r="J505" s="66"/>
      <c r="K505" s="67" t="s">
        <v>35</v>
      </c>
      <c r="L505" s="62">
        <f>(E505*E500)+(F505*F500)+(G505*G500)+(H505*H500)+(I505*I500)+(J505*J500)</f>
        <v>0</v>
      </c>
      <c r="M505" s="57" t="s">
        <v>121</v>
      </c>
      <c r="N505" s="63" t="b">
        <v>0</v>
      </c>
    </row>
    <row r="506" ht="13.5" customHeight="1">
      <c r="A506" s="80"/>
      <c r="B506" s="102" t="s">
        <v>42</v>
      </c>
      <c r="C506" s="70" t="s">
        <v>37</v>
      </c>
      <c r="D506" s="33"/>
      <c r="E506" s="71"/>
      <c r="F506" s="71"/>
      <c r="G506" s="71"/>
      <c r="H506" s="71"/>
      <c r="I506" s="71"/>
      <c r="J506" s="71"/>
      <c r="K506" s="72" t="s">
        <v>38</v>
      </c>
      <c r="L506" s="73">
        <f>L505-L504</f>
        <v>0</v>
      </c>
      <c r="M506" s="74" t="s">
        <v>122</v>
      </c>
      <c r="N506" s="75" t="b">
        <v>0</v>
      </c>
    </row>
    <row r="507" ht="13.5" customHeight="1">
      <c r="A507" s="99" t="s">
        <v>23</v>
      </c>
      <c r="B507" s="100" t="s">
        <v>125</v>
      </c>
      <c r="C507" s="53" t="s">
        <v>30</v>
      </c>
      <c r="D507" s="54"/>
      <c r="E507" s="60"/>
      <c r="F507" s="60"/>
      <c r="G507" s="60"/>
      <c r="H507" s="60"/>
      <c r="I507" s="60"/>
      <c r="J507" s="60"/>
      <c r="K507" s="61" t="s">
        <v>30</v>
      </c>
      <c r="L507" s="62">
        <f>(E507*E500)+(F507*F500)+(G507*G500)+(H507*H500)+(I507*I500)+(J507*J500)</f>
        <v>0</v>
      </c>
      <c r="M507" s="57" t="s">
        <v>119</v>
      </c>
      <c r="N507" s="63" t="b">
        <v>0</v>
      </c>
    </row>
    <row r="508" ht="13.5" customHeight="1">
      <c r="A508" s="103"/>
      <c r="B508" s="59"/>
      <c r="C508" s="53" t="s">
        <v>34</v>
      </c>
      <c r="D508" s="54"/>
      <c r="E508" s="66"/>
      <c r="F508" s="66"/>
      <c r="G508" s="66"/>
      <c r="H508" s="66"/>
      <c r="I508" s="66"/>
      <c r="J508" s="66"/>
      <c r="K508" s="67" t="s">
        <v>35</v>
      </c>
      <c r="L508" s="62">
        <f>(E508*E500)+(F508*F500)+(G508*G500)+(H508*H500)+(I508*I500)+(J508*J500)</f>
        <v>0</v>
      </c>
      <c r="M508" s="57" t="s">
        <v>121</v>
      </c>
      <c r="N508" s="63" t="b">
        <v>0</v>
      </c>
    </row>
    <row r="509" ht="13.5" customHeight="1">
      <c r="A509" s="80"/>
      <c r="B509" s="102" t="s">
        <v>47</v>
      </c>
      <c r="C509" s="70" t="s">
        <v>37</v>
      </c>
      <c r="D509" s="33"/>
      <c r="E509" s="71"/>
      <c r="F509" s="71"/>
      <c r="G509" s="71"/>
      <c r="H509" s="71"/>
      <c r="I509" s="71"/>
      <c r="J509" s="71"/>
      <c r="K509" s="72" t="s">
        <v>38</v>
      </c>
      <c r="L509" s="73">
        <f>L508-L507</f>
        <v>0</v>
      </c>
      <c r="M509" s="74" t="s">
        <v>122</v>
      </c>
      <c r="N509" s="75" t="b">
        <v>0</v>
      </c>
    </row>
    <row r="510" ht="18.75" customHeight="1">
      <c r="A510" s="99" t="s">
        <v>23</v>
      </c>
      <c r="B510" s="100" t="s">
        <v>125</v>
      </c>
      <c r="C510" s="53" t="s">
        <v>30</v>
      </c>
      <c r="D510" s="54"/>
      <c r="E510" s="60"/>
      <c r="F510" s="60"/>
      <c r="G510" s="60"/>
      <c r="H510" s="60"/>
      <c r="I510" s="60"/>
      <c r="J510" s="60"/>
      <c r="K510" s="61" t="s">
        <v>30</v>
      </c>
      <c r="L510" s="62">
        <f>(E510*E500)+(F510*F500)+(G510*G500)+(H510*H500)+(I510*I500)+(J510*J500)</f>
        <v>0</v>
      </c>
      <c r="M510" s="57" t="s">
        <v>119</v>
      </c>
      <c r="N510" s="63" t="b">
        <v>0</v>
      </c>
    </row>
    <row r="511" ht="13.5" customHeight="1">
      <c r="A511" s="103"/>
      <c r="B511" s="59"/>
      <c r="C511" s="53" t="s">
        <v>34</v>
      </c>
      <c r="D511" s="54"/>
      <c r="E511" s="66"/>
      <c r="F511" s="66"/>
      <c r="G511" s="66"/>
      <c r="H511" s="66"/>
      <c r="I511" s="66"/>
      <c r="J511" s="66"/>
      <c r="K511" s="67" t="s">
        <v>35</v>
      </c>
      <c r="L511" s="62">
        <f>(E511*E500)+(F511*F500)+(G511*G500)+(H511*H500)+(I511*I500)+(J511*J500)</f>
        <v>0</v>
      </c>
      <c r="M511" s="57" t="s">
        <v>121</v>
      </c>
      <c r="N511" s="63" t="b">
        <v>0</v>
      </c>
    </row>
    <row r="512" ht="13.5" customHeight="1">
      <c r="A512" s="80"/>
      <c r="B512" s="102" t="s">
        <v>49</v>
      </c>
      <c r="C512" s="70" t="s">
        <v>37</v>
      </c>
      <c r="D512" s="33"/>
      <c r="E512" s="71"/>
      <c r="F512" s="71"/>
      <c r="G512" s="71"/>
      <c r="H512" s="71"/>
      <c r="I512" s="71"/>
      <c r="J512" s="71"/>
      <c r="K512" s="72" t="s">
        <v>38</v>
      </c>
      <c r="L512" s="73">
        <f>L511-L510</f>
        <v>0</v>
      </c>
      <c r="M512" s="74" t="s">
        <v>122</v>
      </c>
      <c r="N512" s="75" t="b">
        <v>0</v>
      </c>
    </row>
    <row r="513" ht="13.5" customHeight="1">
      <c r="A513" s="94" t="s">
        <v>126</v>
      </c>
      <c r="B513" s="95" t="s">
        <v>20</v>
      </c>
      <c r="C513" s="96"/>
      <c r="D513" s="10"/>
      <c r="E513" s="97">
        <f t="shared" ref="E513:J513" si="130">E6</f>
        <v>17</v>
      </c>
      <c r="F513" s="97">
        <f t="shared" si="130"/>
        <v>27</v>
      </c>
      <c r="G513" s="97">
        <f t="shared" si="130"/>
        <v>27</v>
      </c>
      <c r="H513" s="97">
        <f t="shared" si="130"/>
        <v>27</v>
      </c>
      <c r="I513" s="97">
        <f t="shared" si="130"/>
        <v>32</v>
      </c>
      <c r="J513" s="97">
        <f t="shared" si="130"/>
        <v>37</v>
      </c>
      <c r="K513" s="95" t="s">
        <v>21</v>
      </c>
      <c r="L513" s="10"/>
      <c r="M513" s="98" t="s">
        <v>118</v>
      </c>
      <c r="N513" s="10"/>
    </row>
    <row r="514" ht="13.5" customHeight="1">
      <c r="A514" s="99" t="s">
        <v>23</v>
      </c>
      <c r="B514" s="100" t="s">
        <v>126</v>
      </c>
      <c r="C514" s="53" t="s">
        <v>30</v>
      </c>
      <c r="D514" s="54"/>
      <c r="E514" s="60"/>
      <c r="F514" s="60"/>
      <c r="G514" s="60"/>
      <c r="H514" s="60"/>
      <c r="I514" s="60"/>
      <c r="J514" s="60"/>
      <c r="K514" s="61" t="s">
        <v>30</v>
      </c>
      <c r="L514" s="62">
        <f>(E514*E513)+(F514*F513)+(G514*G513)+(H514*H513)+(I514*I513)+(J514*J513)</f>
        <v>0</v>
      </c>
      <c r="M514" s="57" t="s">
        <v>119</v>
      </c>
      <c r="N514" s="63" t="b">
        <v>0</v>
      </c>
    </row>
    <row r="515" ht="15.0" customHeight="1">
      <c r="A515" s="103"/>
      <c r="B515" s="59"/>
      <c r="C515" s="53" t="s">
        <v>34</v>
      </c>
      <c r="D515" s="54"/>
      <c r="E515" s="66"/>
      <c r="F515" s="66"/>
      <c r="G515" s="66"/>
      <c r="H515" s="66"/>
      <c r="I515" s="66"/>
      <c r="J515" s="66"/>
      <c r="K515" s="67" t="s">
        <v>35</v>
      </c>
      <c r="L515" s="62">
        <f>(E515*E513)+(F515*F513)+(G515*G513)+(H515*H513)+(I515*I513)+(J515*J513)</f>
        <v>0</v>
      </c>
      <c r="M515" s="57" t="s">
        <v>121</v>
      </c>
      <c r="N515" s="63" t="b">
        <v>0</v>
      </c>
    </row>
    <row r="516" ht="13.5" customHeight="1">
      <c r="A516" s="80"/>
      <c r="B516" s="102" t="s">
        <v>33</v>
      </c>
      <c r="C516" s="70" t="s">
        <v>37</v>
      </c>
      <c r="D516" s="33"/>
      <c r="E516" s="71"/>
      <c r="F516" s="71"/>
      <c r="G516" s="71"/>
      <c r="H516" s="71"/>
      <c r="I516" s="71"/>
      <c r="J516" s="71"/>
      <c r="K516" s="72" t="s">
        <v>38</v>
      </c>
      <c r="L516" s="73">
        <f>L515-L514</f>
        <v>0</v>
      </c>
      <c r="M516" s="74" t="s">
        <v>122</v>
      </c>
      <c r="N516" s="75" t="b">
        <v>0</v>
      </c>
    </row>
    <row r="517" ht="13.5" customHeight="1">
      <c r="A517" s="99" t="s">
        <v>23</v>
      </c>
      <c r="B517" s="100" t="s">
        <v>126</v>
      </c>
      <c r="C517" s="53" t="s">
        <v>30</v>
      </c>
      <c r="D517" s="54"/>
      <c r="E517" s="60"/>
      <c r="F517" s="60"/>
      <c r="G517" s="60"/>
      <c r="H517" s="60"/>
      <c r="I517" s="60"/>
      <c r="J517" s="60"/>
      <c r="K517" s="61" t="s">
        <v>30</v>
      </c>
      <c r="L517" s="62">
        <f>(E517*E513)+(F517*F513)+(G517*G513)+(H517*H513)+(I517*I513)+(J517*J513)</f>
        <v>0</v>
      </c>
      <c r="M517" s="57" t="s">
        <v>119</v>
      </c>
      <c r="N517" s="63" t="b">
        <v>0</v>
      </c>
    </row>
    <row r="518" ht="13.5" customHeight="1">
      <c r="A518" s="103"/>
      <c r="B518" s="59"/>
      <c r="C518" s="53" t="s">
        <v>34</v>
      </c>
      <c r="D518" s="54"/>
      <c r="E518" s="66"/>
      <c r="F518" s="66"/>
      <c r="G518" s="66"/>
      <c r="H518" s="66"/>
      <c r="I518" s="66"/>
      <c r="J518" s="66"/>
      <c r="K518" s="67" t="s">
        <v>35</v>
      </c>
      <c r="L518" s="62">
        <f>(E518*E513)+(F518*F513)+(G518*G513)+(H518*H513)+(I518*I513)+(J518*J513)</f>
        <v>0</v>
      </c>
      <c r="M518" s="57" t="s">
        <v>121</v>
      </c>
      <c r="N518" s="63" t="b">
        <v>0</v>
      </c>
    </row>
    <row r="519" ht="20.25" customHeight="1">
      <c r="A519" s="80"/>
      <c r="B519" s="102" t="s">
        <v>42</v>
      </c>
      <c r="C519" s="70" t="s">
        <v>37</v>
      </c>
      <c r="D519" s="33"/>
      <c r="E519" s="71"/>
      <c r="F519" s="71"/>
      <c r="G519" s="71"/>
      <c r="H519" s="71"/>
      <c r="I519" s="71"/>
      <c r="J519" s="71"/>
      <c r="K519" s="72" t="s">
        <v>38</v>
      </c>
      <c r="L519" s="73">
        <f>L518-L517</f>
        <v>0</v>
      </c>
      <c r="M519" s="74" t="s">
        <v>122</v>
      </c>
      <c r="N519" s="75" t="b">
        <v>0</v>
      </c>
    </row>
    <row r="520" ht="13.5" customHeight="1">
      <c r="A520" s="99" t="s">
        <v>23</v>
      </c>
      <c r="B520" s="100" t="s">
        <v>126</v>
      </c>
      <c r="C520" s="53" t="s">
        <v>30</v>
      </c>
      <c r="D520" s="54"/>
      <c r="E520" s="60"/>
      <c r="F520" s="60"/>
      <c r="G520" s="60"/>
      <c r="H520" s="60"/>
      <c r="I520" s="60"/>
      <c r="J520" s="60"/>
      <c r="K520" s="61" t="s">
        <v>30</v>
      </c>
      <c r="L520" s="62">
        <f>(E520*E513)+(F520*F513)+(G520*G513)+(H520*H513)+(I520*I513)+(J520*J513)</f>
        <v>0</v>
      </c>
      <c r="M520" s="57" t="s">
        <v>119</v>
      </c>
      <c r="N520" s="63" t="b">
        <v>0</v>
      </c>
    </row>
    <row r="521" ht="13.5" customHeight="1">
      <c r="A521" s="103"/>
      <c r="B521" s="59"/>
      <c r="C521" s="53" t="s">
        <v>34</v>
      </c>
      <c r="D521" s="54"/>
      <c r="E521" s="66"/>
      <c r="F521" s="66"/>
      <c r="G521" s="66"/>
      <c r="H521" s="66"/>
      <c r="I521" s="66"/>
      <c r="J521" s="66"/>
      <c r="K521" s="67" t="s">
        <v>35</v>
      </c>
      <c r="L521" s="62">
        <f>(E521*E513)+(F521*F513)+(G521*G513)+(H521*H513)+(I521*I513)+(J521*J513)</f>
        <v>0</v>
      </c>
      <c r="M521" s="57" t="s">
        <v>121</v>
      </c>
      <c r="N521" s="63" t="b">
        <v>0</v>
      </c>
    </row>
    <row r="522" ht="13.5" customHeight="1">
      <c r="A522" s="80"/>
      <c r="B522" s="102" t="s">
        <v>47</v>
      </c>
      <c r="C522" s="70" t="s">
        <v>37</v>
      </c>
      <c r="D522" s="33"/>
      <c r="E522" s="71"/>
      <c r="F522" s="71"/>
      <c r="G522" s="71"/>
      <c r="H522" s="71"/>
      <c r="I522" s="71"/>
      <c r="J522" s="71"/>
      <c r="K522" s="72" t="s">
        <v>38</v>
      </c>
      <c r="L522" s="73">
        <f>L521-L520</f>
        <v>0</v>
      </c>
      <c r="M522" s="74" t="s">
        <v>122</v>
      </c>
      <c r="N522" s="75" t="b">
        <v>0</v>
      </c>
    </row>
    <row r="523" ht="13.5" customHeight="1">
      <c r="A523" s="99" t="s">
        <v>23</v>
      </c>
      <c r="B523" s="100" t="s">
        <v>126</v>
      </c>
      <c r="C523" s="53" t="s">
        <v>30</v>
      </c>
      <c r="D523" s="54"/>
      <c r="E523" s="60"/>
      <c r="F523" s="60"/>
      <c r="G523" s="60"/>
      <c r="H523" s="60"/>
      <c r="I523" s="60"/>
      <c r="J523" s="60"/>
      <c r="K523" s="61" t="s">
        <v>30</v>
      </c>
      <c r="L523" s="62">
        <f>(E523*E513)+(F523*F513)+(G523*G513)+(H523*H513)+(I523*I513)+(J523*J513)</f>
        <v>0</v>
      </c>
      <c r="M523" s="57" t="s">
        <v>119</v>
      </c>
      <c r="N523" s="63" t="b">
        <v>0</v>
      </c>
    </row>
    <row r="524" ht="13.5" customHeight="1">
      <c r="A524" s="103"/>
      <c r="B524" s="59"/>
      <c r="C524" s="53" t="s">
        <v>34</v>
      </c>
      <c r="D524" s="54"/>
      <c r="E524" s="66"/>
      <c r="F524" s="66"/>
      <c r="G524" s="66"/>
      <c r="H524" s="66"/>
      <c r="I524" s="66"/>
      <c r="J524" s="66"/>
      <c r="K524" s="67" t="s">
        <v>35</v>
      </c>
      <c r="L524" s="62">
        <f>(E524*E513)+(F524*F513)+(G524*G513)+(H524*H513)+(I524*I513)+(J524*J513)</f>
        <v>0</v>
      </c>
      <c r="M524" s="57" t="s">
        <v>121</v>
      </c>
      <c r="N524" s="63" t="b">
        <v>0</v>
      </c>
    </row>
    <row r="525" ht="13.5" customHeight="1">
      <c r="A525" s="80"/>
      <c r="B525" s="102" t="s">
        <v>49</v>
      </c>
      <c r="C525" s="70" t="s">
        <v>37</v>
      </c>
      <c r="D525" s="33"/>
      <c r="E525" s="71"/>
      <c r="F525" s="71"/>
      <c r="G525" s="71"/>
      <c r="H525" s="71"/>
      <c r="I525" s="71"/>
      <c r="J525" s="71"/>
      <c r="K525" s="72" t="s">
        <v>38</v>
      </c>
      <c r="L525" s="73">
        <f>L524-L523</f>
        <v>0</v>
      </c>
      <c r="M525" s="74" t="s">
        <v>122</v>
      </c>
      <c r="N525" s="75" t="b">
        <v>0</v>
      </c>
    </row>
    <row r="526" ht="13.5" customHeight="1">
      <c r="A526" s="94" t="s">
        <v>127</v>
      </c>
      <c r="B526" s="95" t="s">
        <v>20</v>
      </c>
      <c r="C526" s="96"/>
      <c r="D526" s="10"/>
      <c r="E526" s="97">
        <f t="shared" ref="E526:J526" si="131">E6</f>
        <v>17</v>
      </c>
      <c r="F526" s="97">
        <f t="shared" si="131"/>
        <v>27</v>
      </c>
      <c r="G526" s="97">
        <f t="shared" si="131"/>
        <v>27</v>
      </c>
      <c r="H526" s="97">
        <f t="shared" si="131"/>
        <v>27</v>
      </c>
      <c r="I526" s="97">
        <f t="shared" si="131"/>
        <v>32</v>
      </c>
      <c r="J526" s="97">
        <f t="shared" si="131"/>
        <v>37</v>
      </c>
      <c r="K526" s="95" t="s">
        <v>21</v>
      </c>
      <c r="L526" s="10"/>
      <c r="M526" s="98" t="s">
        <v>118</v>
      </c>
      <c r="N526" s="10"/>
    </row>
    <row r="527" ht="13.5" customHeight="1">
      <c r="A527" s="99" t="s">
        <v>23</v>
      </c>
      <c r="B527" s="100" t="s">
        <v>127</v>
      </c>
      <c r="C527" s="53" t="s">
        <v>30</v>
      </c>
      <c r="D527" s="54"/>
      <c r="E527" s="60"/>
      <c r="F527" s="60"/>
      <c r="G527" s="60"/>
      <c r="H527" s="60"/>
      <c r="I527" s="60"/>
      <c r="J527" s="60"/>
      <c r="K527" s="61" t="s">
        <v>30</v>
      </c>
      <c r="L527" s="62">
        <f>(E527*E526)+(F527*F526)+(G527*G526)+(H527*H526)+(I527*I526)+(J527*J526)</f>
        <v>0</v>
      </c>
      <c r="M527" s="57" t="s">
        <v>119</v>
      </c>
      <c r="N527" s="63" t="b">
        <v>0</v>
      </c>
    </row>
    <row r="528" ht="13.5" customHeight="1">
      <c r="A528" s="103"/>
      <c r="B528" s="59"/>
      <c r="C528" s="53" t="s">
        <v>34</v>
      </c>
      <c r="D528" s="54"/>
      <c r="E528" s="66"/>
      <c r="F528" s="66"/>
      <c r="G528" s="66"/>
      <c r="H528" s="66"/>
      <c r="I528" s="66"/>
      <c r="J528" s="66"/>
      <c r="K528" s="67" t="s">
        <v>35</v>
      </c>
      <c r="L528" s="62">
        <f>(E528*E526)+(F528*F526)+(G528*G526)+(H528*H526)+(I528*I526)+(J528*J526)</f>
        <v>0</v>
      </c>
      <c r="M528" s="57" t="s">
        <v>121</v>
      </c>
      <c r="N528" s="63" t="b">
        <v>0</v>
      </c>
    </row>
    <row r="529" ht="13.5" customHeight="1">
      <c r="A529" s="80"/>
      <c r="B529" s="102" t="s">
        <v>33</v>
      </c>
      <c r="C529" s="70" t="s">
        <v>37</v>
      </c>
      <c r="D529" s="33"/>
      <c r="E529" s="71"/>
      <c r="F529" s="71"/>
      <c r="G529" s="71"/>
      <c r="H529" s="71"/>
      <c r="I529" s="71"/>
      <c r="J529" s="71"/>
      <c r="K529" s="72" t="s">
        <v>38</v>
      </c>
      <c r="L529" s="73">
        <f>L528-L527</f>
        <v>0</v>
      </c>
      <c r="M529" s="74" t="s">
        <v>122</v>
      </c>
      <c r="N529" s="75" t="b">
        <v>0</v>
      </c>
    </row>
    <row r="530" ht="13.5" customHeight="1">
      <c r="A530" s="99" t="s">
        <v>23</v>
      </c>
      <c r="B530" s="100" t="s">
        <v>127</v>
      </c>
      <c r="C530" s="53" t="s">
        <v>30</v>
      </c>
      <c r="D530" s="54"/>
      <c r="E530" s="60"/>
      <c r="F530" s="60"/>
      <c r="G530" s="60"/>
      <c r="H530" s="60"/>
      <c r="I530" s="60"/>
      <c r="J530" s="60"/>
      <c r="K530" s="61" t="s">
        <v>30</v>
      </c>
      <c r="L530" s="62">
        <f>(E530*E526)+(F530*F526)+(G530*G526)+(H530*H526)+(I530*I526)+(J530*J526)</f>
        <v>0</v>
      </c>
      <c r="M530" s="57" t="s">
        <v>119</v>
      </c>
      <c r="N530" s="63" t="b">
        <v>0</v>
      </c>
    </row>
    <row r="531" ht="19.5" customHeight="1">
      <c r="A531" s="103"/>
      <c r="B531" s="59"/>
      <c r="C531" s="53" t="s">
        <v>34</v>
      </c>
      <c r="D531" s="54"/>
      <c r="E531" s="66"/>
      <c r="F531" s="66"/>
      <c r="G531" s="66"/>
      <c r="H531" s="66"/>
      <c r="I531" s="66"/>
      <c r="J531" s="66"/>
      <c r="K531" s="67" t="s">
        <v>35</v>
      </c>
      <c r="L531" s="62">
        <f>(E531*E526)+(F531*F526)+(G531*G526)+(H531*H526)+(I531*I526)+(J531*J526)</f>
        <v>0</v>
      </c>
      <c r="M531" s="57" t="s">
        <v>121</v>
      </c>
      <c r="N531" s="63" t="b">
        <v>0</v>
      </c>
    </row>
    <row r="532" ht="13.5" customHeight="1">
      <c r="A532" s="80"/>
      <c r="B532" s="102" t="s">
        <v>42</v>
      </c>
      <c r="C532" s="70" t="s">
        <v>37</v>
      </c>
      <c r="D532" s="33"/>
      <c r="E532" s="71"/>
      <c r="F532" s="71"/>
      <c r="G532" s="71"/>
      <c r="H532" s="71"/>
      <c r="I532" s="71"/>
      <c r="J532" s="71"/>
      <c r="K532" s="72" t="s">
        <v>38</v>
      </c>
      <c r="L532" s="73">
        <f>L531-L530</f>
        <v>0</v>
      </c>
      <c r="M532" s="74" t="s">
        <v>122</v>
      </c>
      <c r="N532" s="75" t="b">
        <v>0</v>
      </c>
    </row>
    <row r="533" ht="13.5" customHeight="1">
      <c r="A533" s="99" t="s">
        <v>23</v>
      </c>
      <c r="B533" s="100" t="s">
        <v>127</v>
      </c>
      <c r="C533" s="53" t="s">
        <v>30</v>
      </c>
      <c r="D533" s="54"/>
      <c r="E533" s="60"/>
      <c r="F533" s="60"/>
      <c r="G533" s="60"/>
      <c r="H533" s="60"/>
      <c r="I533" s="60"/>
      <c r="J533" s="60"/>
      <c r="K533" s="61" t="s">
        <v>30</v>
      </c>
      <c r="L533" s="62">
        <f>(E533*E526)+(F533*F526)+(G533*G526)+(H533*H526)+(I533*I526)+(J533*J526)</f>
        <v>0</v>
      </c>
      <c r="M533" s="57" t="s">
        <v>119</v>
      </c>
      <c r="N533" s="63" t="b">
        <v>0</v>
      </c>
    </row>
    <row r="534" ht="13.5" customHeight="1">
      <c r="A534" s="103"/>
      <c r="B534" s="59"/>
      <c r="C534" s="53" t="s">
        <v>34</v>
      </c>
      <c r="D534" s="54"/>
      <c r="E534" s="66"/>
      <c r="F534" s="66"/>
      <c r="G534" s="66"/>
      <c r="H534" s="66"/>
      <c r="I534" s="66"/>
      <c r="J534" s="66"/>
      <c r="K534" s="67" t="s">
        <v>35</v>
      </c>
      <c r="L534" s="62">
        <f>(E534*E526)+(F534*F526)+(G534*G526)+(H534*H526)+(I534*I526)+(J534*J526)</f>
        <v>0</v>
      </c>
      <c r="M534" s="57" t="s">
        <v>121</v>
      </c>
      <c r="N534" s="63" t="b">
        <v>0</v>
      </c>
    </row>
    <row r="535" ht="15.0" customHeight="1">
      <c r="A535" s="80"/>
      <c r="B535" s="102" t="s">
        <v>47</v>
      </c>
      <c r="C535" s="70" t="s">
        <v>37</v>
      </c>
      <c r="D535" s="33"/>
      <c r="E535" s="71"/>
      <c r="F535" s="71"/>
      <c r="G535" s="71"/>
      <c r="H535" s="71"/>
      <c r="I535" s="71"/>
      <c r="J535" s="71"/>
      <c r="K535" s="72" t="s">
        <v>38</v>
      </c>
      <c r="L535" s="73">
        <f>L534-L533</f>
        <v>0</v>
      </c>
      <c r="M535" s="74" t="s">
        <v>122</v>
      </c>
      <c r="N535" s="75" t="b">
        <v>0</v>
      </c>
    </row>
    <row r="536" ht="13.5" customHeight="1">
      <c r="A536" s="99" t="s">
        <v>23</v>
      </c>
      <c r="B536" s="100" t="s">
        <v>127</v>
      </c>
      <c r="C536" s="53" t="s">
        <v>30</v>
      </c>
      <c r="D536" s="54"/>
      <c r="E536" s="60"/>
      <c r="F536" s="60"/>
      <c r="G536" s="60"/>
      <c r="H536" s="60"/>
      <c r="I536" s="60"/>
      <c r="J536" s="60"/>
      <c r="K536" s="61" t="s">
        <v>30</v>
      </c>
      <c r="L536" s="62">
        <f>(E536*E526)+(F536*F526)+(G536*G526)+(H536*H526)+(I536*I526)+(J536*J526)</f>
        <v>0</v>
      </c>
      <c r="M536" s="57" t="s">
        <v>119</v>
      </c>
      <c r="N536" s="63" t="b">
        <v>0</v>
      </c>
    </row>
    <row r="537" ht="13.5" customHeight="1">
      <c r="A537" s="103"/>
      <c r="B537" s="59"/>
      <c r="C537" s="53" t="s">
        <v>34</v>
      </c>
      <c r="D537" s="54"/>
      <c r="E537" s="66"/>
      <c r="F537" s="66"/>
      <c r="G537" s="66"/>
      <c r="H537" s="66"/>
      <c r="I537" s="66"/>
      <c r="J537" s="66"/>
      <c r="K537" s="67" t="s">
        <v>35</v>
      </c>
      <c r="L537" s="62">
        <f>(E537*E526)+(F537*F526)+(G537*G526)+(H537*H526)+(I537*I526)+(J537*J526)</f>
        <v>0</v>
      </c>
      <c r="M537" s="57" t="s">
        <v>121</v>
      </c>
      <c r="N537" s="63" t="b">
        <v>0</v>
      </c>
    </row>
    <row r="538" ht="13.5" customHeight="1">
      <c r="A538" s="80"/>
      <c r="B538" s="102" t="s">
        <v>49</v>
      </c>
      <c r="C538" s="70" t="s">
        <v>37</v>
      </c>
      <c r="D538" s="33"/>
      <c r="E538" s="71"/>
      <c r="F538" s="71"/>
      <c r="G538" s="71"/>
      <c r="H538" s="71"/>
      <c r="I538" s="71"/>
      <c r="J538" s="71"/>
      <c r="K538" s="72" t="s">
        <v>38</v>
      </c>
      <c r="L538" s="73">
        <f>L537-L536</f>
        <v>0</v>
      </c>
      <c r="M538" s="74" t="s">
        <v>122</v>
      </c>
      <c r="N538" s="75" t="b">
        <v>0</v>
      </c>
    </row>
    <row r="539" ht="18.75" customHeight="1">
      <c r="A539" s="94" t="s">
        <v>128</v>
      </c>
      <c r="B539" s="95" t="s">
        <v>20</v>
      </c>
      <c r="C539" s="96"/>
      <c r="D539" s="10"/>
      <c r="E539" s="97">
        <f t="shared" ref="E539:J539" si="132">E6</f>
        <v>17</v>
      </c>
      <c r="F539" s="97">
        <f t="shared" si="132"/>
        <v>27</v>
      </c>
      <c r="G539" s="97">
        <f t="shared" si="132"/>
        <v>27</v>
      </c>
      <c r="H539" s="97">
        <f t="shared" si="132"/>
        <v>27</v>
      </c>
      <c r="I539" s="97">
        <f t="shared" si="132"/>
        <v>32</v>
      </c>
      <c r="J539" s="97">
        <f t="shared" si="132"/>
        <v>37</v>
      </c>
      <c r="K539" s="95" t="s">
        <v>21</v>
      </c>
      <c r="L539" s="10"/>
      <c r="M539" s="98" t="s">
        <v>118</v>
      </c>
      <c r="N539" s="10"/>
    </row>
    <row r="540" ht="13.5" customHeight="1">
      <c r="A540" s="99" t="s">
        <v>23</v>
      </c>
      <c r="B540" s="100" t="s">
        <v>128</v>
      </c>
      <c r="C540" s="53" t="s">
        <v>30</v>
      </c>
      <c r="D540" s="54"/>
      <c r="E540" s="60"/>
      <c r="F540" s="60"/>
      <c r="G540" s="60"/>
      <c r="H540" s="60"/>
      <c r="I540" s="60"/>
      <c r="J540" s="60"/>
      <c r="K540" s="61" t="s">
        <v>30</v>
      </c>
      <c r="L540" s="62">
        <f>(E540*E539)+(F540*F539)+(G540*G539)+(H540*H539)+(I540*I539)+(J540*J539)</f>
        <v>0</v>
      </c>
      <c r="M540" s="57" t="s">
        <v>119</v>
      </c>
      <c r="N540" s="63" t="b">
        <v>0</v>
      </c>
    </row>
    <row r="541" ht="13.5" customHeight="1">
      <c r="A541" s="103"/>
      <c r="B541" s="59"/>
      <c r="C541" s="53" t="s">
        <v>34</v>
      </c>
      <c r="D541" s="54"/>
      <c r="E541" s="66"/>
      <c r="F541" s="66"/>
      <c r="G541" s="66"/>
      <c r="H541" s="66"/>
      <c r="I541" s="66"/>
      <c r="J541" s="66"/>
      <c r="K541" s="67" t="s">
        <v>35</v>
      </c>
      <c r="L541" s="62">
        <f>(E541*E539)+(F541*F539)+(G541*G539)+(H541*H539)+(I541*I539)+(J541*J539)</f>
        <v>0</v>
      </c>
      <c r="M541" s="57" t="s">
        <v>121</v>
      </c>
      <c r="N541" s="63" t="b">
        <v>0</v>
      </c>
    </row>
    <row r="542" ht="20.25" customHeight="1">
      <c r="A542" s="80"/>
      <c r="B542" s="102" t="s">
        <v>33</v>
      </c>
      <c r="C542" s="70" t="s">
        <v>37</v>
      </c>
      <c r="D542" s="33"/>
      <c r="E542" s="71"/>
      <c r="F542" s="71"/>
      <c r="G542" s="71"/>
      <c r="H542" s="71"/>
      <c r="I542" s="71"/>
      <c r="J542" s="71"/>
      <c r="K542" s="72" t="s">
        <v>38</v>
      </c>
      <c r="L542" s="73">
        <f>L541-L540</f>
        <v>0</v>
      </c>
      <c r="M542" s="74" t="s">
        <v>122</v>
      </c>
      <c r="N542" s="75" t="b">
        <v>0</v>
      </c>
    </row>
    <row r="543" ht="13.5" customHeight="1">
      <c r="A543" s="99" t="s">
        <v>23</v>
      </c>
      <c r="B543" s="100" t="s">
        <v>128</v>
      </c>
      <c r="C543" s="53" t="s">
        <v>30</v>
      </c>
      <c r="D543" s="54"/>
      <c r="E543" s="60"/>
      <c r="F543" s="60"/>
      <c r="G543" s="60"/>
      <c r="H543" s="60"/>
      <c r="I543" s="60"/>
      <c r="J543" s="60"/>
      <c r="K543" s="61" t="s">
        <v>30</v>
      </c>
      <c r="L543" s="62">
        <f>(E543*E539)+(F543*F539)+(G543*G539)+(H543*H539)+(I543*I539)+(J543*J539)</f>
        <v>0</v>
      </c>
      <c r="M543" s="57" t="s">
        <v>119</v>
      </c>
      <c r="N543" s="63" t="b">
        <v>0</v>
      </c>
    </row>
    <row r="544" ht="13.5" customHeight="1">
      <c r="A544" s="103"/>
      <c r="B544" s="59"/>
      <c r="C544" s="53" t="s">
        <v>34</v>
      </c>
      <c r="D544" s="54"/>
      <c r="E544" s="66"/>
      <c r="F544" s="66"/>
      <c r="G544" s="66"/>
      <c r="H544" s="66"/>
      <c r="I544" s="66"/>
      <c r="J544" s="66"/>
      <c r="K544" s="67" t="s">
        <v>35</v>
      </c>
      <c r="L544" s="62">
        <f>(E544*E539)+(F544*F539)+(G544*G539)+(H544*H539)+(I544*I539)+(J544*J539)</f>
        <v>0</v>
      </c>
      <c r="M544" s="57" t="s">
        <v>121</v>
      </c>
      <c r="N544" s="63" t="b">
        <v>0</v>
      </c>
    </row>
    <row r="545" ht="13.5" customHeight="1">
      <c r="A545" s="80"/>
      <c r="B545" s="102" t="s">
        <v>42</v>
      </c>
      <c r="C545" s="70" t="s">
        <v>37</v>
      </c>
      <c r="D545" s="33"/>
      <c r="E545" s="71"/>
      <c r="F545" s="71"/>
      <c r="G545" s="71"/>
      <c r="H545" s="71"/>
      <c r="I545" s="71"/>
      <c r="J545" s="71"/>
      <c r="K545" s="72" t="s">
        <v>38</v>
      </c>
      <c r="L545" s="73">
        <f>L544-L543</f>
        <v>0</v>
      </c>
      <c r="M545" s="74" t="s">
        <v>122</v>
      </c>
      <c r="N545" s="75" t="b">
        <v>0</v>
      </c>
    </row>
    <row r="546" ht="13.5" customHeight="1">
      <c r="A546" s="99" t="s">
        <v>23</v>
      </c>
      <c r="B546" s="100" t="s">
        <v>128</v>
      </c>
      <c r="C546" s="53" t="s">
        <v>30</v>
      </c>
      <c r="D546" s="54"/>
      <c r="E546" s="60"/>
      <c r="F546" s="60"/>
      <c r="G546" s="60"/>
      <c r="H546" s="60"/>
      <c r="I546" s="60"/>
      <c r="J546" s="60"/>
      <c r="K546" s="61" t="s">
        <v>30</v>
      </c>
      <c r="L546" s="62">
        <f>(E546*E539)+(F546*F539)+(G546*G539)+(H546*H539)+(I546*I539)+(J546*J539)</f>
        <v>0</v>
      </c>
      <c r="M546" s="57" t="s">
        <v>119</v>
      </c>
      <c r="N546" s="63" t="b">
        <v>0</v>
      </c>
    </row>
    <row r="547" ht="15.0" customHeight="1">
      <c r="A547" s="103"/>
      <c r="B547" s="59"/>
      <c r="C547" s="53" t="s">
        <v>34</v>
      </c>
      <c r="D547" s="54"/>
      <c r="E547" s="66"/>
      <c r="F547" s="66"/>
      <c r="G547" s="66"/>
      <c r="H547" s="66"/>
      <c r="I547" s="66"/>
      <c r="J547" s="66"/>
      <c r="K547" s="67" t="s">
        <v>35</v>
      </c>
      <c r="L547" s="62">
        <f>(E547*E539)+(F547*F539)+(G547*G539)+(H547*H539)+(I547*I539)+(J547*J539)</f>
        <v>0</v>
      </c>
      <c r="M547" s="57" t="s">
        <v>121</v>
      </c>
      <c r="N547" s="63" t="b">
        <v>0</v>
      </c>
    </row>
    <row r="548" ht="13.5" customHeight="1">
      <c r="A548" s="80"/>
      <c r="B548" s="102" t="s">
        <v>47</v>
      </c>
      <c r="C548" s="70" t="s">
        <v>37</v>
      </c>
      <c r="D548" s="33"/>
      <c r="E548" s="71"/>
      <c r="F548" s="71"/>
      <c r="G548" s="71"/>
      <c r="H548" s="71"/>
      <c r="I548" s="71"/>
      <c r="J548" s="71"/>
      <c r="K548" s="72" t="s">
        <v>38</v>
      </c>
      <c r="L548" s="73">
        <f>L547-L546</f>
        <v>0</v>
      </c>
      <c r="M548" s="74" t="s">
        <v>122</v>
      </c>
      <c r="N548" s="75" t="b">
        <v>0</v>
      </c>
    </row>
    <row r="549" ht="13.5" customHeight="1">
      <c r="A549" s="99" t="s">
        <v>23</v>
      </c>
      <c r="B549" s="100" t="s">
        <v>128</v>
      </c>
      <c r="C549" s="53" t="s">
        <v>30</v>
      </c>
      <c r="D549" s="54"/>
      <c r="E549" s="60"/>
      <c r="F549" s="60"/>
      <c r="G549" s="60"/>
      <c r="H549" s="60"/>
      <c r="I549" s="60"/>
      <c r="J549" s="60"/>
      <c r="K549" s="61" t="s">
        <v>30</v>
      </c>
      <c r="L549" s="62">
        <f>(E549*E539)+(F549*F539)+(G549*G539)+(H549*H539)+(I549*I539)+(J549*J539)</f>
        <v>0</v>
      </c>
      <c r="M549" s="57" t="s">
        <v>119</v>
      </c>
      <c r="N549" s="63" t="b">
        <v>0</v>
      </c>
    </row>
    <row r="550" ht="13.5" customHeight="1">
      <c r="A550" s="103"/>
      <c r="B550" s="59"/>
      <c r="C550" s="53" t="s">
        <v>34</v>
      </c>
      <c r="D550" s="54"/>
      <c r="E550" s="66"/>
      <c r="F550" s="66"/>
      <c r="G550" s="66"/>
      <c r="H550" s="66"/>
      <c r="I550" s="66"/>
      <c r="J550" s="66"/>
      <c r="K550" s="67" t="s">
        <v>35</v>
      </c>
      <c r="L550" s="62">
        <f>(E550*E539)+(F550*F539)+(G550*G539)+(H550*H539)+(I550*I539)+(J550*J539)</f>
        <v>0</v>
      </c>
      <c r="M550" s="57" t="s">
        <v>121</v>
      </c>
      <c r="N550" s="63" t="b">
        <v>0</v>
      </c>
    </row>
    <row r="551" ht="18.0" customHeight="1">
      <c r="A551" s="80"/>
      <c r="B551" s="102" t="s">
        <v>49</v>
      </c>
      <c r="C551" s="70" t="s">
        <v>37</v>
      </c>
      <c r="D551" s="33"/>
      <c r="E551" s="71"/>
      <c r="F551" s="71"/>
      <c r="G551" s="71"/>
      <c r="H551" s="71"/>
      <c r="I551" s="71"/>
      <c r="J551" s="71"/>
      <c r="K551" s="72" t="s">
        <v>38</v>
      </c>
      <c r="L551" s="73">
        <f>L550-L549</f>
        <v>0</v>
      </c>
      <c r="M551" s="74" t="s">
        <v>122</v>
      </c>
      <c r="N551" s="75" t="b">
        <v>0</v>
      </c>
    </row>
    <row r="552" ht="13.5" customHeight="1">
      <c r="A552" s="94" t="s">
        <v>129</v>
      </c>
      <c r="B552" s="95" t="s">
        <v>20</v>
      </c>
      <c r="C552" s="96"/>
      <c r="D552" s="10"/>
      <c r="E552" s="97">
        <f t="shared" ref="E552:J552" si="133">E6</f>
        <v>17</v>
      </c>
      <c r="F552" s="97">
        <f t="shared" si="133"/>
        <v>27</v>
      </c>
      <c r="G552" s="97">
        <f t="shared" si="133"/>
        <v>27</v>
      </c>
      <c r="H552" s="97">
        <f t="shared" si="133"/>
        <v>27</v>
      </c>
      <c r="I552" s="97">
        <f t="shared" si="133"/>
        <v>32</v>
      </c>
      <c r="J552" s="97">
        <f t="shared" si="133"/>
        <v>37</v>
      </c>
      <c r="K552" s="95" t="s">
        <v>21</v>
      </c>
      <c r="L552" s="10"/>
      <c r="M552" s="98" t="s">
        <v>118</v>
      </c>
      <c r="N552" s="10"/>
    </row>
    <row r="553" ht="13.5" customHeight="1">
      <c r="A553" s="99" t="s">
        <v>23</v>
      </c>
      <c r="B553" s="100" t="s">
        <v>129</v>
      </c>
      <c r="C553" s="53" t="s">
        <v>30</v>
      </c>
      <c r="D553" s="54"/>
      <c r="E553" s="60"/>
      <c r="F553" s="60"/>
      <c r="G553" s="60"/>
      <c r="H553" s="60"/>
      <c r="I553" s="60"/>
      <c r="J553" s="60"/>
      <c r="K553" s="61" t="s">
        <v>30</v>
      </c>
      <c r="L553" s="62">
        <f>(E553*E552)+(F553*F552)+(G553*G552)+(H553*H552)+(I553*I552)+(J553*J552)</f>
        <v>0</v>
      </c>
      <c r="M553" s="57" t="s">
        <v>119</v>
      </c>
      <c r="N553" s="63" t="b">
        <v>0</v>
      </c>
    </row>
    <row r="554" ht="18.0" customHeight="1">
      <c r="A554" s="103"/>
      <c r="B554" s="59"/>
      <c r="C554" s="53" t="s">
        <v>34</v>
      </c>
      <c r="D554" s="54"/>
      <c r="E554" s="66"/>
      <c r="F554" s="66"/>
      <c r="G554" s="66"/>
      <c r="H554" s="66"/>
      <c r="I554" s="66"/>
      <c r="J554" s="66"/>
      <c r="K554" s="67" t="s">
        <v>35</v>
      </c>
      <c r="L554" s="62">
        <f>(E554*E552)+(F554*F552)+(G554*G552)+(H554*H552)+(I554*I552)+(J554*J552)</f>
        <v>0</v>
      </c>
      <c r="M554" s="57" t="s">
        <v>121</v>
      </c>
      <c r="N554" s="63" t="b">
        <v>0</v>
      </c>
    </row>
    <row r="555" ht="13.5" customHeight="1">
      <c r="A555" s="80"/>
      <c r="B555" s="102" t="s">
        <v>33</v>
      </c>
      <c r="C555" s="70" t="s">
        <v>37</v>
      </c>
      <c r="D555" s="33"/>
      <c r="E555" s="71"/>
      <c r="F555" s="71"/>
      <c r="G555" s="71"/>
      <c r="H555" s="71"/>
      <c r="I555" s="71"/>
      <c r="J555" s="71"/>
      <c r="K555" s="72" t="s">
        <v>38</v>
      </c>
      <c r="L555" s="73">
        <f>L554-L553</f>
        <v>0</v>
      </c>
      <c r="M555" s="74" t="s">
        <v>122</v>
      </c>
      <c r="N555" s="75" t="b">
        <v>0</v>
      </c>
    </row>
    <row r="556" ht="13.5" customHeight="1">
      <c r="A556" s="99" t="s">
        <v>23</v>
      </c>
      <c r="B556" s="100" t="s">
        <v>129</v>
      </c>
      <c r="C556" s="53" t="s">
        <v>30</v>
      </c>
      <c r="D556" s="54"/>
      <c r="E556" s="60"/>
      <c r="F556" s="60"/>
      <c r="G556" s="60"/>
      <c r="H556" s="60"/>
      <c r="I556" s="60"/>
      <c r="J556" s="60"/>
      <c r="K556" s="61" t="s">
        <v>30</v>
      </c>
      <c r="L556" s="62">
        <f>(E556*E552)+(F556*F552)+(G556*G552)+(H556*H552)+(I556*I552)+(J556*J552)</f>
        <v>0</v>
      </c>
      <c r="M556" s="57" t="s">
        <v>119</v>
      </c>
      <c r="N556" s="63" t="b">
        <v>0</v>
      </c>
    </row>
    <row r="557" ht="13.5" customHeight="1">
      <c r="A557" s="103"/>
      <c r="B557" s="59"/>
      <c r="C557" s="53" t="s">
        <v>34</v>
      </c>
      <c r="D557" s="54"/>
      <c r="E557" s="66"/>
      <c r="F557" s="66"/>
      <c r="G557" s="66"/>
      <c r="H557" s="66"/>
      <c r="I557" s="66"/>
      <c r="J557" s="66"/>
      <c r="K557" s="67" t="s">
        <v>35</v>
      </c>
      <c r="L557" s="62">
        <f>(E557*E552)+(F557*F552)+(G557*G552)+(H557*H552)+(I557*I552)+(J557*J552)</f>
        <v>0</v>
      </c>
      <c r="M557" s="57" t="s">
        <v>121</v>
      </c>
      <c r="N557" s="63" t="b">
        <v>0</v>
      </c>
    </row>
    <row r="558" ht="18.75" customHeight="1">
      <c r="A558" s="80"/>
      <c r="B558" s="102" t="s">
        <v>42</v>
      </c>
      <c r="C558" s="70" t="s">
        <v>37</v>
      </c>
      <c r="D558" s="33"/>
      <c r="E558" s="71"/>
      <c r="F558" s="71"/>
      <c r="G558" s="71"/>
      <c r="H558" s="71"/>
      <c r="I558" s="71"/>
      <c r="J558" s="71"/>
      <c r="K558" s="72" t="s">
        <v>38</v>
      </c>
      <c r="L558" s="73">
        <f>L557-L556</f>
        <v>0</v>
      </c>
      <c r="M558" s="74" t="s">
        <v>122</v>
      </c>
      <c r="N558" s="75" t="b">
        <v>0</v>
      </c>
    </row>
    <row r="559" ht="13.5" customHeight="1">
      <c r="A559" s="99" t="s">
        <v>23</v>
      </c>
      <c r="B559" s="100" t="s">
        <v>129</v>
      </c>
      <c r="C559" s="53" t="s">
        <v>30</v>
      </c>
      <c r="D559" s="54"/>
      <c r="E559" s="60"/>
      <c r="F559" s="60"/>
      <c r="G559" s="60"/>
      <c r="H559" s="60"/>
      <c r="I559" s="60"/>
      <c r="J559" s="60"/>
      <c r="K559" s="61" t="s">
        <v>30</v>
      </c>
      <c r="L559" s="62">
        <f>(E559*E552)+(F559*F552)+(G559*G552)+(H559*H552)+(I559*I552)+(J559*J552)</f>
        <v>0</v>
      </c>
      <c r="M559" s="57" t="s">
        <v>119</v>
      </c>
      <c r="N559" s="63" t="b">
        <v>0</v>
      </c>
    </row>
    <row r="560" ht="13.5" customHeight="1">
      <c r="A560" s="103"/>
      <c r="B560" s="59"/>
      <c r="C560" s="53" t="s">
        <v>34</v>
      </c>
      <c r="D560" s="54"/>
      <c r="E560" s="66"/>
      <c r="F560" s="66"/>
      <c r="G560" s="66"/>
      <c r="H560" s="66"/>
      <c r="I560" s="66"/>
      <c r="J560" s="66"/>
      <c r="K560" s="67" t="s">
        <v>35</v>
      </c>
      <c r="L560" s="62">
        <f>(E560*E552)+(F560*F552)+(G560*G552)+(H560*H552)+(I560*I552)+(J560*J552)</f>
        <v>0</v>
      </c>
      <c r="M560" s="57" t="s">
        <v>121</v>
      </c>
      <c r="N560" s="63" t="b">
        <v>0</v>
      </c>
    </row>
    <row r="561" ht="13.5" customHeight="1">
      <c r="A561" s="80"/>
      <c r="B561" s="102" t="s">
        <v>47</v>
      </c>
      <c r="C561" s="70" t="s">
        <v>37</v>
      </c>
      <c r="D561" s="33"/>
      <c r="E561" s="71"/>
      <c r="F561" s="71"/>
      <c r="G561" s="71"/>
      <c r="H561" s="71"/>
      <c r="I561" s="71"/>
      <c r="J561" s="71"/>
      <c r="K561" s="72" t="s">
        <v>38</v>
      </c>
      <c r="L561" s="73">
        <f>L560-L559</f>
        <v>0</v>
      </c>
      <c r="M561" s="74" t="s">
        <v>122</v>
      </c>
      <c r="N561" s="75" t="b">
        <v>0</v>
      </c>
    </row>
    <row r="562" ht="13.5" customHeight="1">
      <c r="A562" s="99" t="s">
        <v>23</v>
      </c>
      <c r="B562" s="100" t="s">
        <v>129</v>
      </c>
      <c r="C562" s="53" t="s">
        <v>30</v>
      </c>
      <c r="D562" s="54"/>
      <c r="E562" s="60"/>
      <c r="F562" s="60"/>
      <c r="G562" s="60"/>
      <c r="H562" s="60"/>
      <c r="I562" s="60"/>
      <c r="J562" s="60"/>
      <c r="K562" s="61" t="s">
        <v>30</v>
      </c>
      <c r="L562" s="62">
        <f>(E562*E552)+(F562*F552)+(G562*G552)+(H562*H552)+(I562*I552)+(J562*J552)</f>
        <v>0</v>
      </c>
      <c r="M562" s="57" t="s">
        <v>119</v>
      </c>
      <c r="N562" s="63" t="b">
        <v>0</v>
      </c>
    </row>
    <row r="563" ht="15.0" customHeight="1">
      <c r="A563" s="103"/>
      <c r="B563" s="59"/>
      <c r="C563" s="53" t="s">
        <v>34</v>
      </c>
      <c r="D563" s="54"/>
      <c r="E563" s="66"/>
      <c r="F563" s="66"/>
      <c r="G563" s="66"/>
      <c r="H563" s="66"/>
      <c r="I563" s="66"/>
      <c r="J563" s="66"/>
      <c r="K563" s="67" t="s">
        <v>35</v>
      </c>
      <c r="L563" s="62">
        <f>(E563*E552)+(F563*F552)+(G563*G552)+(H563*H552)+(I563*I552)+(J563*J552)</f>
        <v>0</v>
      </c>
      <c r="M563" s="57" t="s">
        <v>121</v>
      </c>
      <c r="N563" s="63" t="b">
        <v>0</v>
      </c>
    </row>
    <row r="564" ht="13.5" customHeight="1">
      <c r="A564" s="80"/>
      <c r="B564" s="102" t="s">
        <v>49</v>
      </c>
      <c r="C564" s="70" t="s">
        <v>37</v>
      </c>
      <c r="D564" s="33"/>
      <c r="E564" s="71"/>
      <c r="F564" s="71"/>
      <c r="G564" s="71"/>
      <c r="H564" s="71"/>
      <c r="I564" s="71"/>
      <c r="J564" s="71"/>
      <c r="K564" s="72" t="s">
        <v>38</v>
      </c>
      <c r="L564" s="73">
        <f>L563-L562</f>
        <v>0</v>
      </c>
      <c r="M564" s="74" t="s">
        <v>122</v>
      </c>
      <c r="N564" s="75" t="b">
        <v>0</v>
      </c>
    </row>
    <row r="565" ht="13.5" customHeight="1">
      <c r="A565" s="94" t="s">
        <v>130</v>
      </c>
      <c r="B565" s="95" t="s">
        <v>20</v>
      </c>
      <c r="C565" s="96"/>
      <c r="D565" s="10"/>
      <c r="E565" s="97">
        <f t="shared" ref="E565:J565" si="134">E6</f>
        <v>17</v>
      </c>
      <c r="F565" s="97">
        <f t="shared" si="134"/>
        <v>27</v>
      </c>
      <c r="G565" s="97">
        <f t="shared" si="134"/>
        <v>27</v>
      </c>
      <c r="H565" s="97">
        <f t="shared" si="134"/>
        <v>27</v>
      </c>
      <c r="I565" s="97">
        <f t="shared" si="134"/>
        <v>32</v>
      </c>
      <c r="J565" s="97">
        <f t="shared" si="134"/>
        <v>37</v>
      </c>
      <c r="K565" s="95" t="s">
        <v>21</v>
      </c>
      <c r="L565" s="10"/>
      <c r="M565" s="98" t="s">
        <v>118</v>
      </c>
      <c r="N565" s="10"/>
    </row>
    <row r="566" ht="20.25" customHeight="1">
      <c r="A566" s="99" t="s">
        <v>23</v>
      </c>
      <c r="B566" s="100" t="s">
        <v>130</v>
      </c>
      <c r="C566" s="53" t="s">
        <v>30</v>
      </c>
      <c r="D566" s="54"/>
      <c r="E566" s="60"/>
      <c r="F566" s="60"/>
      <c r="G566" s="60"/>
      <c r="H566" s="60"/>
      <c r="I566" s="60"/>
      <c r="J566" s="60"/>
      <c r="K566" s="61" t="s">
        <v>30</v>
      </c>
      <c r="L566" s="62">
        <f>(E566*E565)+(F566*F565)+(G566*G565)+(H566*H565)+(I566*I565)+(J566*J565)</f>
        <v>0</v>
      </c>
      <c r="M566" s="57" t="s">
        <v>119</v>
      </c>
      <c r="N566" s="63" t="b">
        <v>0</v>
      </c>
    </row>
    <row r="567" ht="13.5" customHeight="1">
      <c r="A567" s="103"/>
      <c r="B567" s="59"/>
      <c r="C567" s="53" t="s">
        <v>34</v>
      </c>
      <c r="D567" s="54"/>
      <c r="E567" s="66"/>
      <c r="F567" s="66"/>
      <c r="G567" s="66"/>
      <c r="H567" s="66"/>
      <c r="I567" s="66"/>
      <c r="J567" s="66"/>
      <c r="K567" s="67" t="s">
        <v>35</v>
      </c>
      <c r="L567" s="62">
        <f>(E567*E565)+(F567*F565)+(G567*G565)+(H567*H565)+(I567*I565)+(J567*J565)</f>
        <v>0</v>
      </c>
      <c r="M567" s="57" t="s">
        <v>121</v>
      </c>
      <c r="N567" s="63" t="b">
        <v>0</v>
      </c>
    </row>
    <row r="568" ht="13.5" customHeight="1">
      <c r="A568" s="80"/>
      <c r="B568" s="102" t="s">
        <v>33</v>
      </c>
      <c r="C568" s="70" t="s">
        <v>37</v>
      </c>
      <c r="D568" s="33"/>
      <c r="E568" s="71"/>
      <c r="F568" s="71"/>
      <c r="G568" s="71"/>
      <c r="H568" s="71"/>
      <c r="I568" s="71"/>
      <c r="J568" s="71"/>
      <c r="K568" s="72" t="s">
        <v>38</v>
      </c>
      <c r="L568" s="73">
        <f>L567-L566</f>
        <v>0</v>
      </c>
      <c r="M568" s="74" t="s">
        <v>122</v>
      </c>
      <c r="N568" s="75" t="b">
        <v>0</v>
      </c>
    </row>
    <row r="569" ht="13.5" customHeight="1">
      <c r="A569" s="99" t="s">
        <v>23</v>
      </c>
      <c r="B569" s="100" t="s">
        <v>130</v>
      </c>
      <c r="C569" s="53" t="s">
        <v>30</v>
      </c>
      <c r="D569" s="54"/>
      <c r="E569" s="60"/>
      <c r="F569" s="60"/>
      <c r="G569" s="60"/>
      <c r="H569" s="60"/>
      <c r="I569" s="60"/>
      <c r="J569" s="60"/>
      <c r="K569" s="61" t="s">
        <v>30</v>
      </c>
      <c r="L569" s="62">
        <f>(E569*E565)+(F569*F565)+(G569*G565)+(H569*H565)+(I569*I565)+(J569*J565)</f>
        <v>0</v>
      </c>
      <c r="M569" s="57" t="s">
        <v>119</v>
      </c>
      <c r="N569" s="63" t="b">
        <v>0</v>
      </c>
    </row>
    <row r="570" ht="15.0" customHeight="1">
      <c r="A570" s="103"/>
      <c r="B570" s="59"/>
      <c r="C570" s="53" t="s">
        <v>34</v>
      </c>
      <c r="D570" s="54"/>
      <c r="E570" s="66"/>
      <c r="F570" s="66"/>
      <c r="G570" s="66"/>
      <c r="H570" s="66"/>
      <c r="I570" s="66"/>
      <c r="J570" s="66"/>
      <c r="K570" s="67" t="s">
        <v>35</v>
      </c>
      <c r="L570" s="62">
        <f>(E570*E565)+(F570*F565)+(G570*G565)+(H570*H565)+(I570*I565)+(J570*J565)</f>
        <v>0</v>
      </c>
      <c r="M570" s="57" t="s">
        <v>121</v>
      </c>
      <c r="N570" s="63" t="b">
        <v>0</v>
      </c>
    </row>
    <row r="571" ht="22.5" customHeight="1">
      <c r="A571" s="80"/>
      <c r="B571" s="102" t="s">
        <v>42</v>
      </c>
      <c r="C571" s="70" t="s">
        <v>37</v>
      </c>
      <c r="D571" s="33"/>
      <c r="E571" s="71"/>
      <c r="F571" s="71"/>
      <c r="G571" s="71"/>
      <c r="H571" s="71"/>
      <c r="I571" s="71"/>
      <c r="J571" s="71"/>
      <c r="K571" s="72" t="s">
        <v>38</v>
      </c>
      <c r="L571" s="73">
        <f>L570-L569</f>
        <v>0</v>
      </c>
      <c r="M571" s="74" t="s">
        <v>122</v>
      </c>
      <c r="N571" s="75" t="b">
        <v>0</v>
      </c>
    </row>
    <row r="572" ht="13.5" customHeight="1">
      <c r="A572" s="99" t="s">
        <v>23</v>
      </c>
      <c r="B572" s="100" t="s">
        <v>130</v>
      </c>
      <c r="C572" s="53" t="s">
        <v>30</v>
      </c>
      <c r="D572" s="54"/>
      <c r="E572" s="60"/>
      <c r="F572" s="60"/>
      <c r="G572" s="60"/>
      <c r="H572" s="60"/>
      <c r="I572" s="60"/>
      <c r="J572" s="60"/>
      <c r="K572" s="61" t="s">
        <v>30</v>
      </c>
      <c r="L572" s="62">
        <f>(E572*E565)+(F572*F565)+(G572*G565)+(H572*H565)+(I572*I565)+(J572*J565)</f>
        <v>0</v>
      </c>
      <c r="M572" s="57" t="s">
        <v>119</v>
      </c>
      <c r="N572" s="63" t="b">
        <v>0</v>
      </c>
    </row>
    <row r="573" ht="13.5" customHeight="1">
      <c r="A573" s="103"/>
      <c r="B573" s="59"/>
      <c r="C573" s="53" t="s">
        <v>34</v>
      </c>
      <c r="D573" s="54"/>
      <c r="E573" s="66"/>
      <c r="F573" s="66"/>
      <c r="G573" s="66"/>
      <c r="H573" s="66"/>
      <c r="I573" s="66"/>
      <c r="J573" s="66"/>
      <c r="K573" s="67" t="s">
        <v>35</v>
      </c>
      <c r="L573" s="62">
        <f>(E573*E565)+(F573*F565)+(G573*G565)+(H573*H565)+(I573*I565)+(J573*J565)</f>
        <v>0</v>
      </c>
      <c r="M573" s="57" t="s">
        <v>121</v>
      </c>
      <c r="N573" s="63" t="b">
        <v>0</v>
      </c>
    </row>
    <row r="574" ht="19.5" customHeight="1">
      <c r="A574" s="80"/>
      <c r="B574" s="102" t="s">
        <v>47</v>
      </c>
      <c r="C574" s="70" t="s">
        <v>37</v>
      </c>
      <c r="D574" s="33"/>
      <c r="E574" s="71"/>
      <c r="F574" s="71"/>
      <c r="G574" s="71"/>
      <c r="H574" s="71"/>
      <c r="I574" s="71"/>
      <c r="J574" s="71"/>
      <c r="K574" s="72" t="s">
        <v>38</v>
      </c>
      <c r="L574" s="73">
        <f>L573-L572</f>
        <v>0</v>
      </c>
      <c r="M574" s="74" t="s">
        <v>122</v>
      </c>
      <c r="N574" s="75" t="b">
        <v>0</v>
      </c>
    </row>
    <row r="575" ht="13.5" customHeight="1">
      <c r="A575" s="99" t="s">
        <v>23</v>
      </c>
      <c r="B575" s="100" t="s">
        <v>130</v>
      </c>
      <c r="C575" s="53" t="s">
        <v>30</v>
      </c>
      <c r="D575" s="54"/>
      <c r="E575" s="60"/>
      <c r="F575" s="60"/>
      <c r="G575" s="60"/>
      <c r="H575" s="60"/>
      <c r="I575" s="60"/>
      <c r="J575" s="60"/>
      <c r="K575" s="61" t="s">
        <v>30</v>
      </c>
      <c r="L575" s="62">
        <f>(E575*E565)+(F575*F565)+(G575*G565)+(H575*H565)+(I575*I565)+(J575*J565)</f>
        <v>0</v>
      </c>
      <c r="M575" s="57" t="s">
        <v>119</v>
      </c>
      <c r="N575" s="63" t="b">
        <v>0</v>
      </c>
    </row>
    <row r="576" ht="13.5" customHeight="1">
      <c r="A576" s="103"/>
      <c r="B576" s="59"/>
      <c r="C576" s="53" t="s">
        <v>34</v>
      </c>
      <c r="D576" s="54"/>
      <c r="E576" s="66"/>
      <c r="F576" s="66"/>
      <c r="G576" s="66"/>
      <c r="H576" s="66"/>
      <c r="I576" s="66"/>
      <c r="J576" s="66"/>
      <c r="K576" s="67" t="s">
        <v>35</v>
      </c>
      <c r="L576" s="62">
        <f>(E576*E565)+(F576*F565)+(G576*G565)+(H576*H565)+(I576*I565)+(J576*J565)</f>
        <v>0</v>
      </c>
      <c r="M576" s="57" t="s">
        <v>121</v>
      </c>
      <c r="N576" s="63" t="b">
        <v>0</v>
      </c>
    </row>
    <row r="577" ht="13.5" customHeight="1">
      <c r="A577" s="80"/>
      <c r="B577" s="102" t="s">
        <v>49</v>
      </c>
      <c r="C577" s="70" t="s">
        <v>37</v>
      </c>
      <c r="D577" s="33"/>
      <c r="E577" s="71"/>
      <c r="F577" s="71"/>
      <c r="G577" s="71"/>
      <c r="H577" s="71"/>
      <c r="I577" s="71"/>
      <c r="J577" s="71"/>
      <c r="K577" s="72" t="s">
        <v>38</v>
      </c>
      <c r="L577" s="73">
        <f>L576-L575</f>
        <v>0</v>
      </c>
      <c r="M577" s="74" t="s">
        <v>122</v>
      </c>
      <c r="N577" s="75" t="b">
        <v>0</v>
      </c>
    </row>
    <row r="578" ht="13.5" customHeight="1">
      <c r="A578" s="94" t="s">
        <v>131</v>
      </c>
      <c r="B578" s="95" t="s">
        <v>20</v>
      </c>
      <c r="C578" s="96"/>
      <c r="D578" s="10"/>
      <c r="E578" s="97">
        <f t="shared" ref="E578:J578" si="135">E6</f>
        <v>17</v>
      </c>
      <c r="F578" s="97">
        <f t="shared" si="135"/>
        <v>27</v>
      </c>
      <c r="G578" s="97">
        <f t="shared" si="135"/>
        <v>27</v>
      </c>
      <c r="H578" s="97">
        <f t="shared" si="135"/>
        <v>27</v>
      </c>
      <c r="I578" s="97">
        <f t="shared" si="135"/>
        <v>32</v>
      </c>
      <c r="J578" s="97">
        <f t="shared" si="135"/>
        <v>37</v>
      </c>
      <c r="K578" s="95" t="s">
        <v>21</v>
      </c>
      <c r="L578" s="10"/>
      <c r="M578" s="98" t="s">
        <v>118</v>
      </c>
      <c r="N578" s="10"/>
    </row>
    <row r="579" ht="13.5" customHeight="1">
      <c r="A579" s="99" t="s">
        <v>23</v>
      </c>
      <c r="B579" s="100" t="s">
        <v>131</v>
      </c>
      <c r="C579" s="53" t="s">
        <v>30</v>
      </c>
      <c r="D579" s="54"/>
      <c r="E579" s="60"/>
      <c r="F579" s="60"/>
      <c r="G579" s="60"/>
      <c r="H579" s="60"/>
      <c r="I579" s="60"/>
      <c r="J579" s="60"/>
      <c r="K579" s="61" t="s">
        <v>30</v>
      </c>
      <c r="L579" s="62">
        <f>(E579*E578)+(F579*F578)+(G579*G578)+(H579*H578)+(I579*I578)+(J579*J578)</f>
        <v>0</v>
      </c>
      <c r="M579" s="57" t="s">
        <v>119</v>
      </c>
      <c r="N579" s="63" t="b">
        <v>0</v>
      </c>
    </row>
    <row r="580" ht="13.5" customHeight="1">
      <c r="A580" s="103"/>
      <c r="B580" s="59"/>
      <c r="C580" s="53" t="s">
        <v>34</v>
      </c>
      <c r="D580" s="54"/>
      <c r="E580" s="66"/>
      <c r="F580" s="66"/>
      <c r="G580" s="66"/>
      <c r="H580" s="66"/>
      <c r="I580" s="66"/>
      <c r="J580" s="66"/>
      <c r="K580" s="67" t="s">
        <v>35</v>
      </c>
      <c r="L580" s="62">
        <f>(E580*E578)+(F580*F578)+(G580*G578)+(H580*H578)+(I580*I578)+(J580*J578)</f>
        <v>0</v>
      </c>
      <c r="M580" s="57" t="s">
        <v>121</v>
      </c>
      <c r="N580" s="63" t="b">
        <v>0</v>
      </c>
    </row>
    <row r="581" ht="13.5" customHeight="1">
      <c r="A581" s="80"/>
      <c r="B581" s="102" t="s">
        <v>33</v>
      </c>
      <c r="C581" s="70" t="s">
        <v>37</v>
      </c>
      <c r="D581" s="33"/>
      <c r="E581" s="71"/>
      <c r="F581" s="71"/>
      <c r="G581" s="71"/>
      <c r="H581" s="71"/>
      <c r="I581" s="71"/>
      <c r="J581" s="71"/>
      <c r="K581" s="72" t="s">
        <v>38</v>
      </c>
      <c r="L581" s="73">
        <f>L580-L579</f>
        <v>0</v>
      </c>
      <c r="M581" s="74" t="s">
        <v>122</v>
      </c>
      <c r="N581" s="75" t="b">
        <v>0</v>
      </c>
    </row>
    <row r="582" ht="19.5" customHeight="1">
      <c r="A582" s="99" t="s">
        <v>23</v>
      </c>
      <c r="B582" s="100" t="s">
        <v>131</v>
      </c>
      <c r="C582" s="53" t="s">
        <v>30</v>
      </c>
      <c r="D582" s="54"/>
      <c r="E582" s="60"/>
      <c r="F582" s="60"/>
      <c r="G582" s="60"/>
      <c r="H582" s="60"/>
      <c r="I582" s="60"/>
      <c r="J582" s="60"/>
      <c r="K582" s="61" t="s">
        <v>30</v>
      </c>
      <c r="L582" s="62">
        <f>(E582*E578)+(F582*F578)+(G582*G578)+(H582*H578)+(I582*I578)+(J582*J578)</f>
        <v>0</v>
      </c>
      <c r="M582" s="57" t="s">
        <v>119</v>
      </c>
      <c r="N582" s="63" t="b">
        <v>0</v>
      </c>
    </row>
    <row r="583" ht="13.5" customHeight="1">
      <c r="A583" s="103"/>
      <c r="B583" s="59"/>
      <c r="C583" s="53" t="s">
        <v>34</v>
      </c>
      <c r="D583" s="54"/>
      <c r="E583" s="66"/>
      <c r="F583" s="66"/>
      <c r="G583" s="66"/>
      <c r="H583" s="66"/>
      <c r="I583" s="66"/>
      <c r="J583" s="66"/>
      <c r="K583" s="67" t="s">
        <v>35</v>
      </c>
      <c r="L583" s="62">
        <f>(E583*E578)+(F583*F578)+(G583*G578)+(H583*H578)+(I583*I578)+(J583*J578)</f>
        <v>0</v>
      </c>
      <c r="M583" s="57" t="s">
        <v>121</v>
      </c>
      <c r="N583" s="63" t="b">
        <v>0</v>
      </c>
    </row>
    <row r="584" ht="13.5" customHeight="1">
      <c r="A584" s="80"/>
      <c r="B584" s="102" t="s">
        <v>42</v>
      </c>
      <c r="C584" s="70" t="s">
        <v>37</v>
      </c>
      <c r="D584" s="33"/>
      <c r="E584" s="71"/>
      <c r="F584" s="71"/>
      <c r="G584" s="71"/>
      <c r="H584" s="71"/>
      <c r="I584" s="71"/>
      <c r="J584" s="71"/>
      <c r="K584" s="72" t="s">
        <v>38</v>
      </c>
      <c r="L584" s="73">
        <f>L583-L582</f>
        <v>0</v>
      </c>
      <c r="M584" s="74" t="s">
        <v>122</v>
      </c>
      <c r="N584" s="75" t="b">
        <v>0</v>
      </c>
    </row>
    <row r="585" ht="13.5" customHeight="1">
      <c r="A585" s="99" t="s">
        <v>23</v>
      </c>
      <c r="B585" s="100" t="s">
        <v>131</v>
      </c>
      <c r="C585" s="53" t="s">
        <v>30</v>
      </c>
      <c r="D585" s="54"/>
      <c r="E585" s="60"/>
      <c r="F585" s="60"/>
      <c r="G585" s="60"/>
      <c r="H585" s="60"/>
      <c r="I585" s="60"/>
      <c r="J585" s="60"/>
      <c r="K585" s="61" t="s">
        <v>30</v>
      </c>
      <c r="L585" s="62">
        <f>(E585*E578)+(F585*F578)+(G585*G578)+(H585*H578)+(I585*I578)+(J585*J578)</f>
        <v>0</v>
      </c>
      <c r="M585" s="57" t="s">
        <v>119</v>
      </c>
      <c r="N585" s="63" t="b">
        <v>0</v>
      </c>
    </row>
    <row r="586" ht="15.0" customHeight="1">
      <c r="A586" s="103"/>
      <c r="B586" s="59"/>
      <c r="C586" s="53" t="s">
        <v>34</v>
      </c>
      <c r="D586" s="54"/>
      <c r="E586" s="66"/>
      <c r="F586" s="66"/>
      <c r="G586" s="66"/>
      <c r="H586" s="66"/>
      <c r="I586" s="66"/>
      <c r="J586" s="66"/>
      <c r="K586" s="67" t="s">
        <v>35</v>
      </c>
      <c r="L586" s="62">
        <f>(E586*E578)+(F586*F578)+(G586*G578)+(H586*H578)+(I586*I578)+(J586*J578)</f>
        <v>0</v>
      </c>
      <c r="M586" s="57" t="s">
        <v>121</v>
      </c>
      <c r="N586" s="63" t="b">
        <v>0</v>
      </c>
    </row>
    <row r="587" ht="13.5" customHeight="1">
      <c r="A587" s="80"/>
      <c r="B587" s="102" t="s">
        <v>47</v>
      </c>
      <c r="C587" s="70" t="s">
        <v>37</v>
      </c>
      <c r="D587" s="33"/>
      <c r="E587" s="71"/>
      <c r="F587" s="71"/>
      <c r="G587" s="71"/>
      <c r="H587" s="71"/>
      <c r="I587" s="71"/>
      <c r="J587" s="71"/>
      <c r="K587" s="72" t="s">
        <v>38</v>
      </c>
      <c r="L587" s="73">
        <f>L586-L585</f>
        <v>0</v>
      </c>
      <c r="M587" s="74" t="s">
        <v>122</v>
      </c>
      <c r="N587" s="75" t="b">
        <v>0</v>
      </c>
    </row>
    <row r="588" ht="13.5" customHeight="1">
      <c r="A588" s="99" t="s">
        <v>23</v>
      </c>
      <c r="B588" s="100" t="s">
        <v>131</v>
      </c>
      <c r="C588" s="53" t="s">
        <v>30</v>
      </c>
      <c r="D588" s="54"/>
      <c r="E588" s="60"/>
      <c r="F588" s="60"/>
      <c r="G588" s="60"/>
      <c r="H588" s="60"/>
      <c r="I588" s="60"/>
      <c r="J588" s="60"/>
      <c r="K588" s="61" t="s">
        <v>30</v>
      </c>
      <c r="L588" s="62">
        <f>(E588*E578)+(F588*F578)+(G588*G578)+(H588*H578)+(I588*I578)+(J588*J578)</f>
        <v>0</v>
      </c>
      <c r="M588" s="57" t="s">
        <v>119</v>
      </c>
      <c r="N588" s="63" t="b">
        <v>0</v>
      </c>
    </row>
    <row r="589" ht="13.5" customHeight="1">
      <c r="A589" s="103"/>
      <c r="B589" s="59"/>
      <c r="C589" s="53" t="s">
        <v>34</v>
      </c>
      <c r="D589" s="54"/>
      <c r="E589" s="66"/>
      <c r="F589" s="66"/>
      <c r="G589" s="66"/>
      <c r="H589" s="66"/>
      <c r="I589" s="66"/>
      <c r="J589" s="66"/>
      <c r="K589" s="67" t="s">
        <v>35</v>
      </c>
      <c r="L589" s="62">
        <f>(E589*E578)+(F589*F578)+(G589*G578)+(H589*H578)+(I589*I578)+(J589*J578)</f>
        <v>0</v>
      </c>
      <c r="M589" s="57" t="s">
        <v>121</v>
      </c>
      <c r="N589" s="63" t="b">
        <v>0</v>
      </c>
    </row>
    <row r="590" ht="18.75" customHeight="1">
      <c r="A590" s="80"/>
      <c r="B590" s="102" t="s">
        <v>49</v>
      </c>
      <c r="C590" s="70" t="s">
        <v>37</v>
      </c>
      <c r="D590" s="33"/>
      <c r="E590" s="71"/>
      <c r="F590" s="71"/>
      <c r="G590" s="71"/>
      <c r="H590" s="71"/>
      <c r="I590" s="71"/>
      <c r="J590" s="71"/>
      <c r="K590" s="72" t="s">
        <v>38</v>
      </c>
      <c r="L590" s="73">
        <f>L589-L588</f>
        <v>0</v>
      </c>
      <c r="M590" s="74" t="s">
        <v>122</v>
      </c>
      <c r="N590" s="75" t="b">
        <v>0</v>
      </c>
    </row>
    <row r="591" ht="13.5" customHeight="1">
      <c r="A591" s="104" t="s">
        <v>132</v>
      </c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5"/>
    </row>
    <row r="592" ht="13.5" customHeight="1">
      <c r="A592" s="105"/>
      <c r="B592" s="10"/>
      <c r="C592" s="106" t="s">
        <v>133</v>
      </c>
      <c r="D592" s="24"/>
      <c r="E592" s="24"/>
      <c r="F592" s="24"/>
      <c r="G592" s="24"/>
      <c r="H592" s="24"/>
      <c r="I592" s="24"/>
      <c r="J592" s="24"/>
      <c r="K592" s="24"/>
      <c r="L592" s="25"/>
      <c r="M592" s="107"/>
      <c r="N592" s="108"/>
    </row>
    <row r="593" ht="13.5" customHeight="1">
      <c r="A593" s="109" t="s">
        <v>133</v>
      </c>
      <c r="B593" s="59"/>
      <c r="C593" s="110" t="s">
        <v>15</v>
      </c>
      <c r="D593" s="111"/>
      <c r="E593" s="112">
        <f t="shared" ref="E593:J593" si="136">E7-(E15+E33+E51+E69+E87+E105+E123+E141+E159+E177+E195+E213+E231+E249+E267+E285+E303+E321+E339+E357+E375+E393+E411+E429+E447+E463+E476+E489+E502+E515+E528+E541+E554+E567+E580)</f>
        <v>0</v>
      </c>
      <c r="F593" s="112">
        <f t="shared" si="136"/>
        <v>-31</v>
      </c>
      <c r="G593" s="112">
        <f t="shared" si="136"/>
        <v>-17</v>
      </c>
      <c r="H593" s="112">
        <f t="shared" si="136"/>
        <v>-16</v>
      </c>
      <c r="I593" s="112">
        <f t="shared" si="136"/>
        <v>-15</v>
      </c>
      <c r="J593" s="113">
        <f t="shared" si="136"/>
        <v>-30</v>
      </c>
      <c r="K593" s="114" t="s">
        <v>134</v>
      </c>
      <c r="L593" s="115">
        <f>L16+L34+L52+L70+L88+L106+L124+L142+L160+L178+L196+L214+L232+L250+L268+L286+L304+L322+L340+L358+L376+L394+L412+L430+L448+L464+L477+L490+L503+L516+L529+L542+L555+L568+L581</f>
        <v>2748</v>
      </c>
      <c r="M593" s="116"/>
      <c r="N593" s="117"/>
    </row>
    <row r="594" ht="13.5" customHeight="1">
      <c r="A594" s="38"/>
      <c r="B594" s="59"/>
      <c r="C594" s="118" t="s">
        <v>135</v>
      </c>
      <c r="D594" s="111"/>
      <c r="E594" s="119"/>
      <c r="F594" s="119"/>
      <c r="G594" s="119"/>
      <c r="H594" s="119"/>
      <c r="I594" s="119"/>
      <c r="J594" s="120"/>
      <c r="K594" s="59"/>
      <c r="L594" s="5"/>
      <c r="N594" s="59"/>
    </row>
    <row r="595" ht="13.5" customHeight="1">
      <c r="A595" s="38"/>
      <c r="B595" s="59"/>
      <c r="C595" s="121" t="s">
        <v>136</v>
      </c>
      <c r="D595" s="25"/>
      <c r="E595" s="122">
        <f t="shared" ref="E595:J595" si="137">E593-E594</f>
        <v>0</v>
      </c>
      <c r="F595" s="122">
        <f t="shared" si="137"/>
        <v>-31</v>
      </c>
      <c r="G595" s="122">
        <f t="shared" si="137"/>
        <v>-17</v>
      </c>
      <c r="H595" s="122">
        <f t="shared" si="137"/>
        <v>-16</v>
      </c>
      <c r="I595" s="122">
        <f t="shared" si="137"/>
        <v>-15</v>
      </c>
      <c r="J595" s="123">
        <f t="shared" si="137"/>
        <v>-30</v>
      </c>
      <c r="K595" s="59"/>
      <c r="L595" s="5"/>
      <c r="N595" s="59"/>
    </row>
    <row r="596" ht="13.5" customHeight="1">
      <c r="A596" s="38"/>
      <c r="B596" s="59"/>
      <c r="C596" s="110" t="s">
        <v>137</v>
      </c>
      <c r="D596" s="111"/>
      <c r="E596" s="112">
        <f t="shared" ref="E596:J596" si="138">E14+E32+E50+E68+E86+E104+E122+E140+E158+E176+E194+E212+E230+E248+E266+E284+E302+E320+E338+E356+E374+E392+E410+E428+E446+E462+E475+E488+E501+E514+E527+E540+E553+E566+E579</f>
        <v>0</v>
      </c>
      <c r="F596" s="112">
        <f t="shared" si="138"/>
        <v>11</v>
      </c>
      <c r="G596" s="112">
        <f t="shared" si="138"/>
        <v>4</v>
      </c>
      <c r="H596" s="112">
        <f t="shared" si="138"/>
        <v>1</v>
      </c>
      <c r="I596" s="112">
        <f t="shared" si="138"/>
        <v>2</v>
      </c>
      <c r="J596" s="113">
        <f t="shared" si="138"/>
        <v>2</v>
      </c>
      <c r="K596" s="54"/>
      <c r="L596" s="111"/>
      <c r="N596" s="59"/>
    </row>
    <row r="597" ht="13.5" customHeight="1">
      <c r="A597" s="38"/>
      <c r="B597" s="59"/>
      <c r="C597" s="118" t="s">
        <v>135</v>
      </c>
      <c r="D597" s="111"/>
      <c r="E597" s="119"/>
      <c r="F597" s="119"/>
      <c r="G597" s="119"/>
      <c r="H597" s="119"/>
      <c r="I597" s="119"/>
      <c r="J597" s="120"/>
      <c r="K597" s="124" t="s">
        <v>135</v>
      </c>
      <c r="L597" s="125"/>
      <c r="N597" s="59"/>
    </row>
    <row r="598" ht="13.5" customHeight="1">
      <c r="A598" s="126"/>
      <c r="B598" s="33"/>
      <c r="C598" s="121" t="s">
        <v>136</v>
      </c>
      <c r="D598" s="25"/>
      <c r="E598" s="122">
        <f t="shared" ref="E598:J598" si="139">E596-E597</f>
        <v>0</v>
      </c>
      <c r="F598" s="122">
        <f t="shared" si="139"/>
        <v>11</v>
      </c>
      <c r="G598" s="122">
        <f t="shared" si="139"/>
        <v>4</v>
      </c>
      <c r="H598" s="122">
        <f t="shared" si="139"/>
        <v>1</v>
      </c>
      <c r="I598" s="122">
        <f t="shared" si="139"/>
        <v>2</v>
      </c>
      <c r="J598" s="123">
        <f t="shared" si="139"/>
        <v>2</v>
      </c>
      <c r="K598" s="127" t="s">
        <v>136</v>
      </c>
      <c r="L598" s="128">
        <f>L593-L597</f>
        <v>2748</v>
      </c>
      <c r="M598" s="129"/>
      <c r="N598" s="54"/>
    </row>
    <row r="599" ht="13.5" customHeight="1">
      <c r="A599" s="105"/>
      <c r="B599" s="10"/>
      <c r="C599" s="130" t="s">
        <v>138</v>
      </c>
      <c r="D599" s="24"/>
      <c r="E599" s="24"/>
      <c r="F599" s="24"/>
      <c r="G599" s="24"/>
      <c r="H599" s="24"/>
      <c r="I599" s="24"/>
      <c r="J599" s="24"/>
      <c r="K599" s="24"/>
      <c r="L599" s="25"/>
      <c r="M599" s="131"/>
      <c r="N599" s="108"/>
    </row>
    <row r="600" ht="13.5" customHeight="1">
      <c r="A600" s="109" t="s">
        <v>138</v>
      </c>
      <c r="B600" s="59"/>
      <c r="C600" s="110" t="s">
        <v>15</v>
      </c>
      <c r="D600" s="111"/>
      <c r="E600" s="112">
        <f t="shared" ref="E600:J600" si="140">E8-(E19+E37+E55+E73+E91+E109+E127+E145+E163+E181+E199+E217+E235+E253+E271+E289+E307+E325+E343+E361+E379+E397+E415+E433+E451+E466+E479+E492+E505+E518+E531+E544+E557+E570+E583)</f>
        <v>0</v>
      </c>
      <c r="F600" s="112">
        <f t="shared" si="140"/>
        <v>-35</v>
      </c>
      <c r="G600" s="112">
        <f t="shared" si="140"/>
        <v>-20</v>
      </c>
      <c r="H600" s="112">
        <f t="shared" si="140"/>
        <v>-14</v>
      </c>
      <c r="I600" s="112">
        <f t="shared" si="140"/>
        <v>-16</v>
      </c>
      <c r="J600" s="113">
        <f t="shared" si="140"/>
        <v>-33</v>
      </c>
      <c r="K600" s="114" t="s">
        <v>139</v>
      </c>
      <c r="L600" s="115">
        <f>L20+L38+L56+L74+L92+L110+L128+L146+L164+L182+L200+L218+L236+L254+L272+L290+L308+L326+L344+L362+L380+L398+L416+L434+L452+L467+L480+L493+L506+L519+L532+L545+L558+L571+L584</f>
        <v>2558</v>
      </c>
      <c r="M600" s="116"/>
      <c r="N600" s="117"/>
    </row>
    <row r="601" ht="13.5" customHeight="1">
      <c r="A601" s="38"/>
      <c r="B601" s="59"/>
      <c r="C601" s="118" t="s">
        <v>135</v>
      </c>
      <c r="D601" s="111"/>
      <c r="E601" s="119"/>
      <c r="F601" s="169">
        <v>3.0</v>
      </c>
      <c r="G601" s="169">
        <v>11.0</v>
      </c>
      <c r="H601" s="169">
        <v>0.0</v>
      </c>
      <c r="I601" s="119"/>
      <c r="J601" s="170">
        <v>22.0</v>
      </c>
      <c r="K601" s="59"/>
      <c r="L601" s="5"/>
      <c r="N601" s="59"/>
    </row>
    <row r="602" ht="13.5" customHeight="1">
      <c r="A602" s="38"/>
      <c r="B602" s="59"/>
      <c r="C602" s="121" t="s">
        <v>136</v>
      </c>
      <c r="D602" s="25"/>
      <c r="E602" s="122">
        <f t="shared" ref="E602:J602" si="141">E600-E601</f>
        <v>0</v>
      </c>
      <c r="F602" s="122">
        <f t="shared" si="141"/>
        <v>-38</v>
      </c>
      <c r="G602" s="122">
        <f t="shared" si="141"/>
        <v>-31</v>
      </c>
      <c r="H602" s="122">
        <f t="shared" si="141"/>
        <v>-14</v>
      </c>
      <c r="I602" s="122">
        <f t="shared" si="141"/>
        <v>-16</v>
      </c>
      <c r="J602" s="123">
        <f t="shared" si="141"/>
        <v>-55</v>
      </c>
      <c r="K602" s="59"/>
      <c r="L602" s="5"/>
      <c r="N602" s="59"/>
    </row>
    <row r="603" ht="13.5" customHeight="1">
      <c r="A603" s="38"/>
      <c r="B603" s="59"/>
      <c r="C603" s="110" t="s">
        <v>137</v>
      </c>
      <c r="D603" s="111"/>
      <c r="E603" s="112">
        <f t="shared" ref="E603:J603" si="142">E18+E36+E54+E72+E90+E108+E126+E144+E162+E180+E198+E216+E234+E252+E270+E288+E306+E324+E342+E360+E378+E396+E414+E432+E450+E465+E478+E491+E504+E517+E530+E543+E556+E569+E582</f>
        <v>0</v>
      </c>
      <c r="F603" s="112">
        <f t="shared" si="142"/>
        <v>6</v>
      </c>
      <c r="G603" s="112">
        <f t="shared" si="142"/>
        <v>6</v>
      </c>
      <c r="H603" s="112">
        <f t="shared" si="142"/>
        <v>5</v>
      </c>
      <c r="I603" s="112">
        <f t="shared" si="142"/>
        <v>10</v>
      </c>
      <c r="J603" s="112">
        <f t="shared" si="142"/>
        <v>7</v>
      </c>
      <c r="K603" s="54"/>
      <c r="L603" s="111"/>
      <c r="N603" s="59"/>
    </row>
    <row r="604" ht="13.5" customHeight="1">
      <c r="A604" s="38"/>
      <c r="B604" s="59"/>
      <c r="C604" s="118" t="s">
        <v>135</v>
      </c>
      <c r="D604" s="111"/>
      <c r="E604" s="119"/>
      <c r="F604" s="169">
        <v>1.0</v>
      </c>
      <c r="G604" s="119"/>
      <c r="H604" s="119"/>
      <c r="I604" s="119"/>
      <c r="J604" s="120"/>
      <c r="K604" s="124" t="s">
        <v>135</v>
      </c>
      <c r="L604" s="125"/>
      <c r="N604" s="59"/>
    </row>
    <row r="605" ht="13.5" customHeight="1">
      <c r="A605" s="126"/>
      <c r="B605" s="33"/>
      <c r="C605" s="121" t="s">
        <v>136</v>
      </c>
      <c r="D605" s="25"/>
      <c r="E605" s="122">
        <f t="shared" ref="E605:J605" si="143">E603-E604</f>
        <v>0</v>
      </c>
      <c r="F605" s="122">
        <f t="shared" si="143"/>
        <v>5</v>
      </c>
      <c r="G605" s="122">
        <f t="shared" si="143"/>
        <v>6</v>
      </c>
      <c r="H605" s="122">
        <f t="shared" si="143"/>
        <v>5</v>
      </c>
      <c r="I605" s="122">
        <f t="shared" si="143"/>
        <v>10</v>
      </c>
      <c r="J605" s="123">
        <f t="shared" si="143"/>
        <v>7</v>
      </c>
      <c r="K605" s="127" t="s">
        <v>136</v>
      </c>
      <c r="L605" s="128">
        <f>L600-L604</f>
        <v>2558</v>
      </c>
      <c r="M605" s="129"/>
      <c r="N605" s="54"/>
    </row>
    <row r="606" ht="13.5" customHeight="1">
      <c r="A606" s="105"/>
      <c r="B606" s="10"/>
      <c r="C606" s="130" t="s">
        <v>140</v>
      </c>
      <c r="D606" s="24"/>
      <c r="E606" s="24"/>
      <c r="F606" s="24"/>
      <c r="G606" s="24"/>
      <c r="H606" s="24"/>
      <c r="I606" s="24"/>
      <c r="J606" s="24"/>
      <c r="K606" s="24"/>
      <c r="L606" s="25"/>
      <c r="M606" s="131"/>
      <c r="N606" s="108"/>
    </row>
    <row r="607" ht="13.5" customHeight="1">
      <c r="A607" s="109" t="s">
        <v>140</v>
      </c>
      <c r="B607" s="59"/>
      <c r="C607" s="110" t="s">
        <v>15</v>
      </c>
      <c r="D607" s="111"/>
      <c r="E607" s="112">
        <f t="shared" ref="E607:J607" si="144">E9-(E23+E41+E59+E77+E95+E113+E131+E149+E167+E185+E203+E221+E239+E257+E275+E293+E311+E329+E347+E365+E383+E401+E419+E437+E455+E469+E482+E495+E508+E521+E534+E547+E560+E573+E586)</f>
        <v>0</v>
      </c>
      <c r="F607" s="112">
        <f t="shared" si="144"/>
        <v>13</v>
      </c>
      <c r="G607" s="112">
        <f t="shared" si="144"/>
        <v>23</v>
      </c>
      <c r="H607" s="112">
        <f t="shared" si="144"/>
        <v>12</v>
      </c>
      <c r="I607" s="112">
        <f t="shared" si="144"/>
        <v>8</v>
      </c>
      <c r="J607" s="113">
        <f t="shared" si="144"/>
        <v>4</v>
      </c>
      <c r="K607" s="114" t="s">
        <v>141</v>
      </c>
      <c r="L607" s="115">
        <f>L24+L42+L60+L78+L96+L114+L132+L150+L168+L186+L204+L222+L240+L258+L276+L294+L312+L330+L348+L366+L384+L402+L420+L438+L456+L470+L483+L496+L509+L522+L535+L548+L561+L574+L587</f>
        <v>2290</v>
      </c>
      <c r="M607" s="116"/>
      <c r="N607" s="117"/>
    </row>
    <row r="608" ht="13.5" customHeight="1">
      <c r="A608" s="38"/>
      <c r="B608" s="59"/>
      <c r="C608" s="118" t="s">
        <v>135</v>
      </c>
      <c r="D608" s="111"/>
      <c r="E608" s="119"/>
      <c r="F608" s="119"/>
      <c r="G608" s="119"/>
      <c r="H608" s="119"/>
      <c r="I608" s="119"/>
      <c r="J608" s="120"/>
      <c r="K608" s="59"/>
      <c r="L608" s="5"/>
      <c r="N608" s="59"/>
    </row>
    <row r="609" ht="13.5" customHeight="1">
      <c r="A609" s="38"/>
      <c r="B609" s="59"/>
      <c r="C609" s="121" t="s">
        <v>136</v>
      </c>
      <c r="D609" s="25"/>
      <c r="E609" s="122">
        <f t="shared" ref="E609:J609" si="145">E607-E608</f>
        <v>0</v>
      </c>
      <c r="F609" s="122">
        <f t="shared" si="145"/>
        <v>13</v>
      </c>
      <c r="G609" s="122">
        <f t="shared" si="145"/>
        <v>23</v>
      </c>
      <c r="H609" s="122">
        <f t="shared" si="145"/>
        <v>12</v>
      </c>
      <c r="I609" s="122">
        <f t="shared" si="145"/>
        <v>8</v>
      </c>
      <c r="J609" s="123">
        <f t="shared" si="145"/>
        <v>4</v>
      </c>
      <c r="K609" s="59"/>
      <c r="L609" s="5"/>
      <c r="N609" s="59"/>
    </row>
    <row r="610" ht="13.5" customHeight="1">
      <c r="A610" s="38"/>
      <c r="B610" s="59"/>
      <c r="C610" s="110" t="s">
        <v>137</v>
      </c>
      <c r="D610" s="111"/>
      <c r="E610" s="112">
        <f t="shared" ref="E610:J610" si="146">E22+E40+E58+E76+E94+E112+E130+E148+E166+E184+E202+E220+E238+E256+E274+E292+E310+E328+E346+E364+E382+E400+E418+E436+E454+E468+E481+E494+E507+E520+E533+E546+E559+E572+E585</f>
        <v>0</v>
      </c>
      <c r="F610" s="112">
        <f t="shared" si="146"/>
        <v>5</v>
      </c>
      <c r="G610" s="112">
        <f t="shared" si="146"/>
        <v>7</v>
      </c>
      <c r="H610" s="112">
        <f t="shared" si="146"/>
        <v>5</v>
      </c>
      <c r="I610" s="112">
        <f t="shared" si="146"/>
        <v>7</v>
      </c>
      <c r="J610" s="113">
        <f t="shared" si="146"/>
        <v>10</v>
      </c>
      <c r="K610" s="54"/>
      <c r="L610" s="111"/>
      <c r="N610" s="59"/>
    </row>
    <row r="611" ht="13.5" customHeight="1">
      <c r="A611" s="38"/>
      <c r="B611" s="59"/>
      <c r="C611" s="118" t="s">
        <v>135</v>
      </c>
      <c r="D611" s="111"/>
      <c r="E611" s="119"/>
      <c r="F611" s="119"/>
      <c r="G611" s="119"/>
      <c r="H611" s="119"/>
      <c r="I611" s="119"/>
      <c r="J611" s="120"/>
      <c r="K611" s="124" t="s">
        <v>135</v>
      </c>
      <c r="L611" s="125"/>
      <c r="N611" s="59"/>
    </row>
    <row r="612" ht="13.5" customHeight="1">
      <c r="A612" s="126"/>
      <c r="B612" s="33"/>
      <c r="C612" s="121" t="s">
        <v>136</v>
      </c>
      <c r="D612" s="25"/>
      <c r="E612" s="122">
        <f t="shared" ref="E612:J612" si="147">E610-E611</f>
        <v>0</v>
      </c>
      <c r="F612" s="122">
        <f t="shared" si="147"/>
        <v>5</v>
      </c>
      <c r="G612" s="122">
        <f t="shared" si="147"/>
        <v>7</v>
      </c>
      <c r="H612" s="122">
        <f t="shared" si="147"/>
        <v>5</v>
      </c>
      <c r="I612" s="122">
        <f t="shared" si="147"/>
        <v>7</v>
      </c>
      <c r="J612" s="123">
        <f t="shared" si="147"/>
        <v>10</v>
      </c>
      <c r="K612" s="127" t="s">
        <v>136</v>
      </c>
      <c r="L612" s="128">
        <f>L607-L611</f>
        <v>2290</v>
      </c>
      <c r="M612" s="129"/>
      <c r="N612" s="54"/>
    </row>
    <row r="613" ht="13.5" customHeight="1">
      <c r="A613" s="105"/>
      <c r="B613" s="10"/>
      <c r="C613" s="106" t="s">
        <v>142</v>
      </c>
      <c r="D613" s="24"/>
      <c r="E613" s="24"/>
      <c r="F613" s="24"/>
      <c r="G613" s="24"/>
      <c r="H613" s="24"/>
      <c r="I613" s="24"/>
      <c r="J613" s="24"/>
      <c r="K613" s="24"/>
      <c r="L613" s="25"/>
      <c r="M613" s="131"/>
      <c r="N613" s="108"/>
    </row>
    <row r="614" ht="13.5" customHeight="1">
      <c r="A614" s="109" t="s">
        <v>142</v>
      </c>
      <c r="B614" s="59"/>
      <c r="C614" s="110" t="s">
        <v>15</v>
      </c>
      <c r="D614" s="111"/>
      <c r="E614" s="112">
        <f t="shared" ref="E614:J614" si="148">E10-(E27+E45+E63+E81+E99+E117+E135+E153+E171+E189+E207+E225+E243+E261+E279+E297+E315+E333+E351+E369+E387+E405+E423+E441+E459+E472+E485+E498+E511+E524+E537+E550+E563+E576+E589)</f>
        <v>0</v>
      </c>
      <c r="F614" s="112">
        <f t="shared" si="148"/>
        <v>0</v>
      </c>
      <c r="G614" s="112">
        <f t="shared" si="148"/>
        <v>0</v>
      </c>
      <c r="H614" s="112">
        <f t="shared" si="148"/>
        <v>0</v>
      </c>
      <c r="I614" s="112">
        <f t="shared" si="148"/>
        <v>0</v>
      </c>
      <c r="J614" s="113">
        <f t="shared" si="148"/>
        <v>0</v>
      </c>
      <c r="K614" s="132" t="s">
        <v>143</v>
      </c>
      <c r="L614" s="133">
        <f>L28+L46+L64+L82+L100+L118+L136+L154+L172+L190+L208+L226+L244+L262+L280+L298+L316+L334+L352+L370+L388+L406+L424+L442+L460+L473+L486+L499+L512+L525+L538+L551+L564+L577+L590</f>
        <v>0</v>
      </c>
      <c r="M614" s="116"/>
      <c r="N614" s="117"/>
    </row>
    <row r="615" ht="13.5" customHeight="1">
      <c r="A615" s="38"/>
      <c r="B615" s="59"/>
      <c r="C615" s="118" t="s">
        <v>135</v>
      </c>
      <c r="D615" s="111"/>
      <c r="E615" s="119"/>
      <c r="F615" s="119"/>
      <c r="G615" s="119"/>
      <c r="H615" s="119"/>
      <c r="I615" s="119"/>
      <c r="J615" s="120"/>
      <c r="K615" s="59"/>
      <c r="L615" s="5"/>
      <c r="N615" s="59"/>
    </row>
    <row r="616" ht="13.5" customHeight="1">
      <c r="A616" s="38"/>
      <c r="B616" s="59"/>
      <c r="C616" s="121" t="s">
        <v>136</v>
      </c>
      <c r="D616" s="25"/>
      <c r="E616" s="122">
        <f t="shared" ref="E616:J616" si="149">E614-E615</f>
        <v>0</v>
      </c>
      <c r="F616" s="122">
        <f t="shared" si="149"/>
        <v>0</v>
      </c>
      <c r="G616" s="122">
        <f t="shared" si="149"/>
        <v>0</v>
      </c>
      <c r="H616" s="122">
        <f t="shared" si="149"/>
        <v>0</v>
      </c>
      <c r="I616" s="122">
        <f t="shared" si="149"/>
        <v>0</v>
      </c>
      <c r="J616" s="123">
        <f t="shared" si="149"/>
        <v>0</v>
      </c>
      <c r="K616" s="59"/>
      <c r="L616" s="5"/>
      <c r="N616" s="59"/>
    </row>
    <row r="617" ht="13.5" customHeight="1">
      <c r="A617" s="38"/>
      <c r="B617" s="59"/>
      <c r="C617" s="110" t="s">
        <v>137</v>
      </c>
      <c r="D617" s="111"/>
      <c r="E617" s="112">
        <f t="shared" ref="E617:J617" si="150">E26+E44+E62+E80+E98+E116+E134+E152+E170+E188+E206+E224+E242+E260+E278+E296+E314+E332+E350+E368+E386+E404+E422+E440+E458+E471+E484+E497+E510+E523+E536+E549+E562+E575+E588</f>
        <v>0</v>
      </c>
      <c r="F617" s="112">
        <f t="shared" si="150"/>
        <v>0</v>
      </c>
      <c r="G617" s="112">
        <f t="shared" si="150"/>
        <v>0</v>
      </c>
      <c r="H617" s="112">
        <f t="shared" si="150"/>
        <v>0</v>
      </c>
      <c r="I617" s="112">
        <f t="shared" si="150"/>
        <v>0</v>
      </c>
      <c r="J617" s="113">
        <f t="shared" si="150"/>
        <v>0</v>
      </c>
      <c r="K617" s="54"/>
      <c r="L617" s="111"/>
      <c r="N617" s="59"/>
    </row>
    <row r="618" ht="13.5" customHeight="1">
      <c r="A618" s="38"/>
      <c r="B618" s="59"/>
      <c r="C618" s="118" t="s">
        <v>135</v>
      </c>
      <c r="D618" s="111"/>
      <c r="E618" s="119"/>
      <c r="F618" s="119"/>
      <c r="G618" s="119"/>
      <c r="H618" s="119"/>
      <c r="I618" s="119"/>
      <c r="J618" s="120"/>
      <c r="K618" s="134" t="s">
        <v>135</v>
      </c>
      <c r="L618" s="135"/>
      <c r="N618" s="59"/>
    </row>
    <row r="619" ht="13.5" customHeight="1">
      <c r="A619" s="126"/>
      <c r="B619" s="33"/>
      <c r="C619" s="121" t="s">
        <v>136</v>
      </c>
      <c r="D619" s="25"/>
      <c r="E619" s="122">
        <f t="shared" ref="E619:J619" si="151">E617-E618</f>
        <v>0</v>
      </c>
      <c r="F619" s="122">
        <f t="shared" si="151"/>
        <v>0</v>
      </c>
      <c r="G619" s="122">
        <f t="shared" si="151"/>
        <v>0</v>
      </c>
      <c r="H619" s="122">
        <f t="shared" si="151"/>
        <v>0</v>
      </c>
      <c r="I619" s="122">
        <f t="shared" si="151"/>
        <v>0</v>
      </c>
      <c r="J619" s="123">
        <f t="shared" si="151"/>
        <v>0</v>
      </c>
      <c r="K619" s="136" t="s">
        <v>136</v>
      </c>
      <c r="L619" s="137">
        <f>L614-L618</f>
        <v>0</v>
      </c>
      <c r="M619" s="129"/>
      <c r="N619" s="54"/>
    </row>
    <row r="620" ht="13.5" customHeight="1">
      <c r="A620" s="138" t="s">
        <v>144</v>
      </c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5"/>
    </row>
    <row r="621" ht="13.5" customHeight="1">
      <c r="A621" s="139"/>
      <c r="B621" s="140"/>
      <c r="C621" s="140"/>
      <c r="D621" s="140"/>
      <c r="E621" s="141" t="s">
        <v>7</v>
      </c>
      <c r="F621" s="141" t="s">
        <v>145</v>
      </c>
      <c r="G621" s="141" t="s">
        <v>9</v>
      </c>
      <c r="H621" s="141" t="s">
        <v>10</v>
      </c>
      <c r="I621" s="141" t="s">
        <v>11</v>
      </c>
      <c r="J621" s="142" t="s">
        <v>146</v>
      </c>
      <c r="K621" s="140"/>
      <c r="L621" s="140"/>
      <c r="M621" s="140"/>
      <c r="N621" s="140"/>
    </row>
    <row r="622" ht="13.5" customHeight="1">
      <c r="A622" s="143">
        <v>1.0</v>
      </c>
      <c r="B622" s="144" t="s">
        <v>147</v>
      </c>
      <c r="C622" s="129"/>
      <c r="D622" s="111"/>
      <c r="E622" s="145">
        <f t="shared" ref="E622:J622" si="152">E13+E31+E49+E67+E85+E103+E121+E139+E157+E175+E193+E211+E229+E247+E265+E283+E301+E319+E337+E355+E373+E391+E409+E427+E445</f>
        <v>0</v>
      </c>
      <c r="F622" s="145">
        <f t="shared" si="152"/>
        <v>-11</v>
      </c>
      <c r="G622" s="145">
        <f t="shared" si="152"/>
        <v>-4</v>
      </c>
      <c r="H622" s="145">
        <f t="shared" si="152"/>
        <v>-1</v>
      </c>
      <c r="I622" s="145">
        <f t="shared" si="152"/>
        <v>-2</v>
      </c>
      <c r="J622" s="146">
        <f t="shared" si="152"/>
        <v>-2</v>
      </c>
      <c r="K622" s="147"/>
      <c r="L622" s="2"/>
      <c r="M622" s="2"/>
      <c r="N622" s="3"/>
    </row>
    <row r="623" ht="13.5" customHeight="1">
      <c r="A623" s="68"/>
      <c r="B623" s="148" t="s">
        <v>148</v>
      </c>
      <c r="C623" s="129"/>
      <c r="D623" s="54"/>
      <c r="E623" s="149">
        <f t="shared" ref="E623:J623" si="153">E15+E33+E51+E69+E87+E105+E123+E141+E159+E177+E195+E213+E231+E249+E267+E285+E303+E321+E339+E357+E375+E393+E411+E429+E447+E463+E476+E489+E502+E515+E528+E541+E554+E567+E580</f>
        <v>0</v>
      </c>
      <c r="F623" s="149">
        <f t="shared" si="153"/>
        <v>31</v>
      </c>
      <c r="G623" s="149">
        <f t="shared" si="153"/>
        <v>17</v>
      </c>
      <c r="H623" s="149">
        <f t="shared" si="153"/>
        <v>16</v>
      </c>
      <c r="I623" s="149">
        <f t="shared" si="153"/>
        <v>15</v>
      </c>
      <c r="J623" s="150">
        <f t="shared" si="153"/>
        <v>30</v>
      </c>
      <c r="K623" s="38"/>
      <c r="N623" s="5"/>
    </row>
    <row r="624" ht="13.5" customHeight="1">
      <c r="A624" s="68"/>
      <c r="B624" s="148" t="s">
        <v>149</v>
      </c>
      <c r="C624" s="129"/>
      <c r="D624" s="54"/>
      <c r="E624" s="151">
        <f t="shared" ref="E624:J624" si="154">E16+E34+E52+E70+E88+E106+E124+E142+E160+E178+E196+E214+E232+E250+E268+E286+E304+E322+E340+E358+E376+E394+E412+E430+E448+E464+E477+E490+E503+E516+E529+E542+E555+E568+E581</f>
        <v>0</v>
      </c>
      <c r="F624" s="151">
        <f t="shared" si="154"/>
        <v>0</v>
      </c>
      <c r="G624" s="151">
        <f t="shared" si="154"/>
        <v>0</v>
      </c>
      <c r="H624" s="151">
        <f t="shared" si="154"/>
        <v>0</v>
      </c>
      <c r="I624" s="151">
        <f t="shared" si="154"/>
        <v>0</v>
      </c>
      <c r="J624" s="152">
        <f t="shared" si="154"/>
        <v>0</v>
      </c>
      <c r="K624" s="38"/>
      <c r="N624" s="5"/>
    </row>
    <row r="625" ht="13.5" customHeight="1">
      <c r="A625" s="68"/>
      <c r="B625" s="148" t="s">
        <v>150</v>
      </c>
      <c r="C625" s="129"/>
      <c r="D625" s="54"/>
      <c r="E625" s="153">
        <f t="shared" ref="E625:J625" si="155">E14+E32+E50+E68+E86+E104+E122+E140+E158+E176+E194+E212+E230+E248+E266+E284+E302+E320+E338+E356+E374+E392+E410+E428+E446+E462+E475+E488+E501+E514+E527+E540+E553+E566+E579</f>
        <v>0</v>
      </c>
      <c r="F625" s="153">
        <f t="shared" si="155"/>
        <v>11</v>
      </c>
      <c r="G625" s="153">
        <f t="shared" si="155"/>
        <v>4</v>
      </c>
      <c r="H625" s="153">
        <f t="shared" si="155"/>
        <v>1</v>
      </c>
      <c r="I625" s="153">
        <f t="shared" si="155"/>
        <v>2</v>
      </c>
      <c r="J625" s="154">
        <f t="shared" si="155"/>
        <v>2</v>
      </c>
      <c r="K625" s="38"/>
      <c r="N625" s="5"/>
    </row>
    <row r="626" ht="13.5" customHeight="1">
      <c r="A626" s="80"/>
      <c r="B626" s="155" t="s">
        <v>151</v>
      </c>
      <c r="C626" s="24"/>
      <c r="D626" s="33"/>
      <c r="E626" s="156">
        <f t="shared" ref="E626:J626" si="156">(E623+E624)</f>
        <v>0</v>
      </c>
      <c r="F626" s="156">
        <f t="shared" si="156"/>
        <v>31</v>
      </c>
      <c r="G626" s="156">
        <f t="shared" si="156"/>
        <v>17</v>
      </c>
      <c r="H626" s="156">
        <f t="shared" si="156"/>
        <v>16</v>
      </c>
      <c r="I626" s="156">
        <f t="shared" si="156"/>
        <v>15</v>
      </c>
      <c r="J626" s="157">
        <f t="shared" si="156"/>
        <v>30</v>
      </c>
      <c r="K626" s="126"/>
      <c r="L626" s="24"/>
      <c r="M626" s="24"/>
      <c r="N626" s="25"/>
    </row>
    <row r="627" ht="13.5" customHeight="1">
      <c r="A627" s="139"/>
      <c r="B627" s="140"/>
      <c r="C627" s="140"/>
      <c r="D627" s="140"/>
      <c r="E627" s="141" t="s">
        <v>7</v>
      </c>
      <c r="F627" s="141" t="s">
        <v>145</v>
      </c>
      <c r="G627" s="141" t="s">
        <v>9</v>
      </c>
      <c r="H627" s="141" t="s">
        <v>10</v>
      </c>
      <c r="I627" s="141" t="s">
        <v>11</v>
      </c>
      <c r="J627" s="142" t="s">
        <v>146</v>
      </c>
      <c r="K627" s="140"/>
      <c r="L627" s="140"/>
      <c r="M627" s="140"/>
      <c r="N627" s="140"/>
    </row>
    <row r="628" ht="13.5" customHeight="1">
      <c r="A628" s="143">
        <v>2.0</v>
      </c>
      <c r="B628" s="144" t="s">
        <v>147</v>
      </c>
      <c r="C628" s="129"/>
      <c r="D628" s="111"/>
      <c r="E628" s="145">
        <f t="shared" ref="E628:J628" si="157">E17+E35+E53+E71+E89+E107+E125+E143+E161+E179+E197+E215+E233+E251+E269+E287+E305+E323+E341+E359+E377+E395+E413+E431+E449</f>
        <v>0</v>
      </c>
      <c r="F628" s="145">
        <f t="shared" si="157"/>
        <v>25</v>
      </c>
      <c r="G628" s="145">
        <f t="shared" si="157"/>
        <v>11</v>
      </c>
      <c r="H628" s="145">
        <f t="shared" si="157"/>
        <v>11</v>
      </c>
      <c r="I628" s="145">
        <f t="shared" si="157"/>
        <v>5</v>
      </c>
      <c r="J628" s="146">
        <f t="shared" si="157"/>
        <v>23</v>
      </c>
      <c r="K628" s="147"/>
      <c r="L628" s="2"/>
      <c r="M628" s="2"/>
      <c r="N628" s="3"/>
    </row>
    <row r="629" ht="13.5" customHeight="1">
      <c r="A629" s="68"/>
      <c r="B629" s="148" t="s">
        <v>148</v>
      </c>
      <c r="C629" s="129"/>
      <c r="D629" s="54"/>
      <c r="E629" s="149">
        <f t="shared" ref="E629:J629" si="158">E19+E37+E55+E73+E91+E109+E127+E145+E163+E181+E199+E217+E235+E253+E271+E289+E307+E325+E343+E361+E379+E397+E415+E433+E451+E466+E479+E492+E505+E518+E531+E544+E557+E570+E583</f>
        <v>0</v>
      </c>
      <c r="F629" s="149">
        <f t="shared" si="158"/>
        <v>35</v>
      </c>
      <c r="G629" s="149">
        <f t="shared" si="158"/>
        <v>20</v>
      </c>
      <c r="H629" s="149">
        <f t="shared" si="158"/>
        <v>14</v>
      </c>
      <c r="I629" s="149">
        <f t="shared" si="158"/>
        <v>16</v>
      </c>
      <c r="J629" s="150">
        <f t="shared" si="158"/>
        <v>33</v>
      </c>
      <c r="K629" s="38"/>
      <c r="N629" s="5"/>
    </row>
    <row r="630" ht="13.5" customHeight="1">
      <c r="A630" s="68"/>
      <c r="B630" s="148" t="s">
        <v>149</v>
      </c>
      <c r="C630" s="129"/>
      <c r="D630" s="54"/>
      <c r="E630" s="151">
        <f t="shared" ref="E630:J630" si="159">E20+E38+E56+E74+E92+E110+E128+E146+E164+E182+E200+E218+E236+E254+E272+E290+E308+E326+E344+E362+E380+E398+E416+E434+E452+E467+E480+E493+E506+E519+E532+E545+E558+E571+E584</f>
        <v>0</v>
      </c>
      <c r="F630" s="151">
        <f t="shared" si="159"/>
        <v>0</v>
      </c>
      <c r="G630" s="151">
        <f t="shared" si="159"/>
        <v>0</v>
      </c>
      <c r="H630" s="151">
        <f t="shared" si="159"/>
        <v>0</v>
      </c>
      <c r="I630" s="151">
        <f t="shared" si="159"/>
        <v>0</v>
      </c>
      <c r="J630" s="152">
        <f t="shared" si="159"/>
        <v>0</v>
      </c>
      <c r="K630" s="38"/>
      <c r="N630" s="5"/>
    </row>
    <row r="631" ht="13.5" customHeight="1">
      <c r="A631" s="68"/>
      <c r="B631" s="148" t="s">
        <v>150</v>
      </c>
      <c r="C631" s="129"/>
      <c r="D631" s="54"/>
      <c r="E631" s="153">
        <f t="shared" ref="E631:J631" si="160">E18+E36+E54+E72+E90+E108+E126+E144+E162+E180+E198+E216+E234+E252+E270+E288+E306+E324+E342+E360+E378+E396+E414+E432+E450+E465+E478+E491+E504+E517+E530+E543+E556+E569+E582</f>
        <v>0</v>
      </c>
      <c r="F631" s="153">
        <f t="shared" si="160"/>
        <v>6</v>
      </c>
      <c r="G631" s="153">
        <f t="shared" si="160"/>
        <v>6</v>
      </c>
      <c r="H631" s="153">
        <f t="shared" si="160"/>
        <v>5</v>
      </c>
      <c r="I631" s="153">
        <f t="shared" si="160"/>
        <v>10</v>
      </c>
      <c r="J631" s="154">
        <f t="shared" si="160"/>
        <v>7</v>
      </c>
      <c r="K631" s="38"/>
      <c r="N631" s="5"/>
    </row>
    <row r="632" ht="13.5" customHeight="1">
      <c r="A632" s="80"/>
      <c r="B632" s="155" t="s">
        <v>151</v>
      </c>
      <c r="C632" s="24"/>
      <c r="D632" s="33"/>
      <c r="E632" s="156">
        <f t="shared" ref="E632:J632" si="161">(E629+E630)</f>
        <v>0</v>
      </c>
      <c r="F632" s="156">
        <f t="shared" si="161"/>
        <v>35</v>
      </c>
      <c r="G632" s="156">
        <f t="shared" si="161"/>
        <v>20</v>
      </c>
      <c r="H632" s="156">
        <f t="shared" si="161"/>
        <v>14</v>
      </c>
      <c r="I632" s="156">
        <f t="shared" si="161"/>
        <v>16</v>
      </c>
      <c r="J632" s="157">
        <f t="shared" si="161"/>
        <v>33</v>
      </c>
      <c r="K632" s="126"/>
      <c r="L632" s="24"/>
      <c r="M632" s="24"/>
      <c r="N632" s="25"/>
    </row>
    <row r="633" ht="13.5" customHeight="1">
      <c r="A633" s="139"/>
      <c r="B633" s="140"/>
      <c r="C633" s="140"/>
      <c r="D633" s="140"/>
      <c r="E633" s="141" t="s">
        <v>7</v>
      </c>
      <c r="F633" s="141" t="s">
        <v>145</v>
      </c>
      <c r="G633" s="141" t="s">
        <v>9</v>
      </c>
      <c r="H633" s="141" t="s">
        <v>10</v>
      </c>
      <c r="I633" s="141" t="s">
        <v>11</v>
      </c>
      <c r="J633" s="142" t="s">
        <v>146</v>
      </c>
      <c r="K633" s="140"/>
      <c r="L633" s="140"/>
      <c r="M633" s="140"/>
      <c r="N633" s="140"/>
    </row>
    <row r="634" ht="13.5" customHeight="1">
      <c r="A634" s="143">
        <v>3.0</v>
      </c>
      <c r="B634" s="144" t="s">
        <v>147</v>
      </c>
      <c r="C634" s="129"/>
      <c r="D634" s="111"/>
      <c r="E634" s="145">
        <f t="shared" ref="E634:J634" si="162">E21+E39+E57+E75+E93+E111+E129+E147+E165+E183+E201+E219+E237+E255+E273+E291+E309+E327+E345+E363+E381+E399+E417+E435+E453</f>
        <v>0</v>
      </c>
      <c r="F634" s="145">
        <f t="shared" si="162"/>
        <v>30</v>
      </c>
      <c r="G634" s="145">
        <f t="shared" si="162"/>
        <v>13</v>
      </c>
      <c r="H634" s="145">
        <f t="shared" si="162"/>
        <v>9</v>
      </c>
      <c r="I634" s="145">
        <f t="shared" si="162"/>
        <v>9</v>
      </c>
      <c r="J634" s="146">
        <f t="shared" si="162"/>
        <v>23</v>
      </c>
      <c r="K634" s="147"/>
      <c r="L634" s="2"/>
      <c r="M634" s="2"/>
      <c r="N634" s="3"/>
    </row>
    <row r="635" ht="13.5" customHeight="1">
      <c r="A635" s="68"/>
      <c r="B635" s="148" t="s">
        <v>148</v>
      </c>
      <c r="C635" s="129"/>
      <c r="D635" s="54"/>
      <c r="E635" s="158">
        <f t="shared" ref="E635:J635" si="163">E23+E41+E59+E77+E95+E113+E131+E149+E167+E185+E203+E221+E239+E257+E275+E293+E311+E329+E347+E365+E383+E401+E419+E437+E455+E469+E482+E495+E508+E521+E534+E547+E573+E586</f>
        <v>0</v>
      </c>
      <c r="F635" s="158">
        <f t="shared" si="163"/>
        <v>31</v>
      </c>
      <c r="G635" s="158">
        <f t="shared" si="163"/>
        <v>19</v>
      </c>
      <c r="H635" s="158">
        <f t="shared" si="163"/>
        <v>12</v>
      </c>
      <c r="I635" s="158">
        <f t="shared" si="163"/>
        <v>14</v>
      </c>
      <c r="J635" s="159">
        <f t="shared" si="163"/>
        <v>33</v>
      </c>
      <c r="K635" s="38"/>
      <c r="N635" s="5"/>
    </row>
    <row r="636" ht="13.5" customHeight="1">
      <c r="A636" s="68"/>
      <c r="B636" s="148" t="s">
        <v>149</v>
      </c>
      <c r="C636" s="129"/>
      <c r="D636" s="54"/>
      <c r="E636" s="160">
        <f t="shared" ref="E636:J636" si="164">E24+E42+E60+E78+E96+E114+E132+E150+E168+E186+E204+E222+E240+E258+E276+E294+E312+E330+E348+E366+E384+E402+E420+E438+E456+E470+E483+E496+E509+E522+E535+E548+E561+E574+E587</f>
        <v>0</v>
      </c>
      <c r="F636" s="160">
        <f t="shared" si="164"/>
        <v>0</v>
      </c>
      <c r="G636" s="160">
        <f t="shared" si="164"/>
        <v>0</v>
      </c>
      <c r="H636" s="160">
        <f t="shared" si="164"/>
        <v>0</v>
      </c>
      <c r="I636" s="160">
        <f t="shared" si="164"/>
        <v>0</v>
      </c>
      <c r="J636" s="161">
        <f t="shared" si="164"/>
        <v>0</v>
      </c>
      <c r="K636" s="38"/>
      <c r="N636" s="5"/>
    </row>
    <row r="637" ht="13.5" customHeight="1">
      <c r="A637" s="68"/>
      <c r="B637" s="148" t="s">
        <v>150</v>
      </c>
      <c r="C637" s="129"/>
      <c r="D637" s="54"/>
      <c r="E637" s="162">
        <f t="shared" ref="E637:J637" si="165">E22+E40+E58+E76+E94+E112+E130+E148+E166+E184+E202+E220+E238+E256+E274+E292+E310+E328+E346+E364+E382+E400+E418+E436+E454+E468+E481+E494+E507+E520+E533+E546+E559+E572+E585</f>
        <v>0</v>
      </c>
      <c r="F637" s="162">
        <f t="shared" si="165"/>
        <v>5</v>
      </c>
      <c r="G637" s="162">
        <f t="shared" si="165"/>
        <v>7</v>
      </c>
      <c r="H637" s="162">
        <f t="shared" si="165"/>
        <v>5</v>
      </c>
      <c r="I637" s="162">
        <f t="shared" si="165"/>
        <v>7</v>
      </c>
      <c r="J637" s="163">
        <f t="shared" si="165"/>
        <v>10</v>
      </c>
      <c r="K637" s="38"/>
      <c r="N637" s="5"/>
    </row>
    <row r="638" ht="13.5" customHeight="1">
      <c r="A638" s="80"/>
      <c r="B638" s="155" t="s">
        <v>151</v>
      </c>
      <c r="C638" s="24"/>
      <c r="D638" s="33"/>
      <c r="E638" s="164">
        <f t="shared" ref="E638:J638" si="166">(E635+E636)</f>
        <v>0</v>
      </c>
      <c r="F638" s="164">
        <f t="shared" si="166"/>
        <v>31</v>
      </c>
      <c r="G638" s="164">
        <f t="shared" si="166"/>
        <v>19</v>
      </c>
      <c r="H638" s="164">
        <f t="shared" si="166"/>
        <v>12</v>
      </c>
      <c r="I638" s="164">
        <f t="shared" si="166"/>
        <v>14</v>
      </c>
      <c r="J638" s="165">
        <f t="shared" si="166"/>
        <v>33</v>
      </c>
      <c r="K638" s="126"/>
      <c r="L638" s="24"/>
      <c r="M638" s="24"/>
      <c r="N638" s="25"/>
    </row>
    <row r="639" ht="13.5" customHeight="1">
      <c r="A639" s="139"/>
      <c r="B639" s="140"/>
      <c r="C639" s="140"/>
      <c r="D639" s="140"/>
      <c r="E639" s="141" t="s">
        <v>7</v>
      </c>
      <c r="F639" s="141" t="s">
        <v>145</v>
      </c>
      <c r="G639" s="141" t="s">
        <v>9</v>
      </c>
      <c r="H639" s="141" t="s">
        <v>10</v>
      </c>
      <c r="I639" s="141" t="s">
        <v>11</v>
      </c>
      <c r="J639" s="142" t="s">
        <v>146</v>
      </c>
      <c r="K639" s="140"/>
      <c r="L639" s="140"/>
      <c r="M639" s="140"/>
      <c r="N639" s="140"/>
    </row>
    <row r="640" ht="13.5" customHeight="1">
      <c r="A640" s="143">
        <v>4.0</v>
      </c>
      <c r="B640" s="144" t="s">
        <v>147</v>
      </c>
      <c r="C640" s="129"/>
      <c r="D640" s="111"/>
      <c r="E640" s="145">
        <f t="shared" ref="E640:J640" si="167">E25+E43+E61+E79+E97+E115+E133+E151+E169+E187+E205+E223+E241+E259+E277+E295+E313+E331+E349+E367+E385+E403+E421+E439+E457</f>
        <v>0</v>
      </c>
      <c r="F640" s="145">
        <f t="shared" si="167"/>
        <v>31</v>
      </c>
      <c r="G640" s="145">
        <f t="shared" si="167"/>
        <v>19</v>
      </c>
      <c r="H640" s="145">
        <f t="shared" si="167"/>
        <v>12</v>
      </c>
      <c r="I640" s="145">
        <f t="shared" si="167"/>
        <v>14</v>
      </c>
      <c r="J640" s="146">
        <f t="shared" si="167"/>
        <v>33</v>
      </c>
      <c r="K640" s="147"/>
      <c r="L640" s="2"/>
      <c r="M640" s="2"/>
      <c r="N640" s="3"/>
    </row>
    <row r="641" ht="13.5" customHeight="1">
      <c r="A641" s="68"/>
      <c r="B641" s="148" t="s">
        <v>148</v>
      </c>
      <c r="C641" s="129"/>
      <c r="D641" s="54"/>
      <c r="E641" s="149">
        <f t="shared" ref="E641:J641" si="168">E27+E45+E63+E81+E99+E117+E135+E153+E171+E189+E207+E225+E243+E261+E279+E297+E315+E333+E351+E369+E387+E405+E423+E441+E459+E472+E485+E498+E511+E524+E537+E550+E563+E576+E589</f>
        <v>0</v>
      </c>
      <c r="F641" s="149">
        <f t="shared" si="168"/>
        <v>0</v>
      </c>
      <c r="G641" s="149">
        <f t="shared" si="168"/>
        <v>0</v>
      </c>
      <c r="H641" s="149">
        <f t="shared" si="168"/>
        <v>0</v>
      </c>
      <c r="I641" s="149">
        <f t="shared" si="168"/>
        <v>0</v>
      </c>
      <c r="J641" s="150">
        <f t="shared" si="168"/>
        <v>0</v>
      </c>
      <c r="K641" s="38"/>
      <c r="N641" s="5"/>
    </row>
    <row r="642" ht="13.5" customHeight="1">
      <c r="A642" s="68"/>
      <c r="B642" s="148" t="s">
        <v>149</v>
      </c>
      <c r="C642" s="129"/>
      <c r="D642" s="54"/>
      <c r="E642" s="151">
        <f t="shared" ref="E642:J642" si="169">E28+E46+E64+E82+E100+E118+E136+E154+E172+E190+E208+E226+E244+E262+E280+E298+E316+E334+E352+E370+E388+E406+E424+E442+E460+E473+E486+E499+E512+E525+E538+E551+E564+E577+E590</f>
        <v>0</v>
      </c>
      <c r="F642" s="151">
        <f t="shared" si="169"/>
        <v>0</v>
      </c>
      <c r="G642" s="151">
        <f t="shared" si="169"/>
        <v>0</v>
      </c>
      <c r="H642" s="151">
        <f t="shared" si="169"/>
        <v>0</v>
      </c>
      <c r="I642" s="151">
        <f t="shared" si="169"/>
        <v>0</v>
      </c>
      <c r="J642" s="152">
        <f t="shared" si="169"/>
        <v>0</v>
      </c>
      <c r="K642" s="38"/>
      <c r="N642" s="5"/>
    </row>
    <row r="643" ht="13.5" customHeight="1">
      <c r="A643" s="68"/>
      <c r="B643" s="148" t="s">
        <v>150</v>
      </c>
      <c r="C643" s="129"/>
      <c r="D643" s="54"/>
      <c r="E643" s="153">
        <f t="shared" ref="E643:J643" si="170">E26+E44+E62+E80+E98+E116+E134+E152+E170+E188+E206+E224+E242+E260+E278+E296+E314+E332+E350+E368+E386+E404+E422+E440+E458+E471+E484+E497+E510+E523+E536+E549+E562+E575+E588</f>
        <v>0</v>
      </c>
      <c r="F643" s="153">
        <f t="shared" si="170"/>
        <v>0</v>
      </c>
      <c r="G643" s="153">
        <f t="shared" si="170"/>
        <v>0</v>
      </c>
      <c r="H643" s="153">
        <f t="shared" si="170"/>
        <v>0</v>
      </c>
      <c r="I643" s="153">
        <f t="shared" si="170"/>
        <v>0</v>
      </c>
      <c r="J643" s="154">
        <f t="shared" si="170"/>
        <v>0</v>
      </c>
      <c r="K643" s="38"/>
      <c r="N643" s="5"/>
    </row>
    <row r="644" ht="13.5" customHeight="1">
      <c r="A644" s="80"/>
      <c r="B644" s="155" t="s">
        <v>151</v>
      </c>
      <c r="C644" s="24"/>
      <c r="D644" s="33"/>
      <c r="E644" s="156">
        <f t="shared" ref="E644:J644" si="171">(E641+E642)</f>
        <v>0</v>
      </c>
      <c r="F644" s="156">
        <f t="shared" si="171"/>
        <v>0</v>
      </c>
      <c r="G644" s="156">
        <f t="shared" si="171"/>
        <v>0</v>
      </c>
      <c r="H644" s="156">
        <f t="shared" si="171"/>
        <v>0</v>
      </c>
      <c r="I644" s="156">
        <f t="shared" si="171"/>
        <v>0</v>
      </c>
      <c r="J644" s="157">
        <f t="shared" si="171"/>
        <v>0</v>
      </c>
      <c r="K644" s="126"/>
      <c r="L644" s="24"/>
      <c r="M644" s="24"/>
      <c r="N644" s="25"/>
    </row>
    <row r="645" ht="13.5" customHeight="1">
      <c r="A645" s="166" t="s">
        <v>152</v>
      </c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5"/>
    </row>
    <row r="646" ht="13.5" customHeight="1">
      <c r="A646" s="139"/>
      <c r="B646" s="140"/>
      <c r="C646" s="140"/>
      <c r="D646" s="140"/>
      <c r="E646" s="141" t="s">
        <v>7</v>
      </c>
      <c r="F646" s="141" t="s">
        <v>145</v>
      </c>
      <c r="G646" s="141" t="s">
        <v>9</v>
      </c>
      <c r="H646" s="141" t="s">
        <v>10</v>
      </c>
      <c r="I646" s="141" t="s">
        <v>11</v>
      </c>
      <c r="J646" s="142" t="s">
        <v>146</v>
      </c>
      <c r="K646" s="140"/>
      <c r="L646" s="140"/>
      <c r="M646" s="140"/>
      <c r="N646" s="140"/>
    </row>
    <row r="647" ht="13.5" customHeight="1">
      <c r="A647" s="167" t="s">
        <v>2</v>
      </c>
      <c r="B647" s="144" t="s">
        <v>147</v>
      </c>
      <c r="C647" s="129"/>
      <c r="D647" s="111"/>
      <c r="E647" s="145">
        <f t="shared" ref="E647:J647" si="172">E622+E628+E634+E640</f>
        <v>0</v>
      </c>
      <c r="F647" s="145">
        <f t="shared" si="172"/>
        <v>75</v>
      </c>
      <c r="G647" s="145">
        <f t="shared" si="172"/>
        <v>39</v>
      </c>
      <c r="H647" s="145">
        <f t="shared" si="172"/>
        <v>31</v>
      </c>
      <c r="I647" s="145">
        <f t="shared" si="172"/>
        <v>26</v>
      </c>
      <c r="J647" s="146">
        <f t="shared" si="172"/>
        <v>77</v>
      </c>
      <c r="K647" s="147"/>
      <c r="L647" s="2"/>
      <c r="M647" s="2"/>
      <c r="N647" s="3"/>
    </row>
    <row r="648" ht="13.5" customHeight="1">
      <c r="A648" s="68"/>
      <c r="B648" s="148" t="s">
        <v>148</v>
      </c>
      <c r="C648" s="129"/>
      <c r="D648" s="54"/>
      <c r="E648" s="149">
        <f t="shared" ref="E648:J648" si="173">E623+E629+E635+E641</f>
        <v>0</v>
      </c>
      <c r="F648" s="149">
        <f t="shared" si="173"/>
        <v>97</v>
      </c>
      <c r="G648" s="149">
        <f t="shared" si="173"/>
        <v>56</v>
      </c>
      <c r="H648" s="149">
        <f t="shared" si="173"/>
        <v>42</v>
      </c>
      <c r="I648" s="149">
        <f t="shared" si="173"/>
        <v>45</v>
      </c>
      <c r="J648" s="150">
        <f t="shared" si="173"/>
        <v>96</v>
      </c>
      <c r="K648" s="38"/>
      <c r="N648" s="5"/>
    </row>
    <row r="649" ht="13.5" customHeight="1">
      <c r="A649" s="68"/>
      <c r="B649" s="148" t="s">
        <v>149</v>
      </c>
      <c r="C649" s="129"/>
      <c r="D649" s="54"/>
      <c r="E649" s="151">
        <f t="shared" ref="E649:J649" si="174">E624+E630+E636+E642</f>
        <v>0</v>
      </c>
      <c r="F649" s="151">
        <f t="shared" si="174"/>
        <v>0</v>
      </c>
      <c r="G649" s="151">
        <f t="shared" si="174"/>
        <v>0</v>
      </c>
      <c r="H649" s="151">
        <f t="shared" si="174"/>
        <v>0</v>
      </c>
      <c r="I649" s="151">
        <f t="shared" si="174"/>
        <v>0</v>
      </c>
      <c r="J649" s="152">
        <f t="shared" si="174"/>
        <v>0</v>
      </c>
      <c r="K649" s="38"/>
      <c r="N649" s="5"/>
    </row>
    <row r="650" ht="13.5" customHeight="1">
      <c r="A650" s="68"/>
      <c r="B650" s="148" t="s">
        <v>153</v>
      </c>
      <c r="C650" s="129"/>
      <c r="D650" s="54"/>
      <c r="E650" s="153">
        <f t="shared" ref="E650:J650" si="175">E625+E631+E637+E643</f>
        <v>0</v>
      </c>
      <c r="F650" s="153">
        <f t="shared" si="175"/>
        <v>22</v>
      </c>
      <c r="G650" s="153">
        <f t="shared" si="175"/>
        <v>17</v>
      </c>
      <c r="H650" s="153">
        <f t="shared" si="175"/>
        <v>11</v>
      </c>
      <c r="I650" s="153">
        <f t="shared" si="175"/>
        <v>19</v>
      </c>
      <c r="J650" s="154">
        <f t="shared" si="175"/>
        <v>19</v>
      </c>
      <c r="K650" s="38"/>
      <c r="N650" s="5"/>
    </row>
    <row r="651" ht="13.5" customHeight="1">
      <c r="A651" s="80"/>
      <c r="B651" s="155" t="s">
        <v>151</v>
      </c>
      <c r="C651" s="24"/>
      <c r="D651" s="25"/>
      <c r="E651" s="156">
        <f t="shared" ref="E651:J651" si="176">(E648+E649)-E650</f>
        <v>0</v>
      </c>
      <c r="F651" s="156">
        <f t="shared" si="176"/>
        <v>75</v>
      </c>
      <c r="G651" s="156">
        <f t="shared" si="176"/>
        <v>39</v>
      </c>
      <c r="H651" s="156">
        <f t="shared" si="176"/>
        <v>31</v>
      </c>
      <c r="I651" s="156">
        <f t="shared" si="176"/>
        <v>26</v>
      </c>
      <c r="J651" s="157">
        <f t="shared" si="176"/>
        <v>77</v>
      </c>
      <c r="K651" s="126"/>
      <c r="L651" s="24"/>
      <c r="M651" s="24"/>
      <c r="N651" s="25"/>
    </row>
  </sheetData>
  <mergeCells count="1188">
    <mergeCell ref="B327:B328"/>
    <mergeCell ref="B331:B332"/>
    <mergeCell ref="C331:D331"/>
    <mergeCell ref="A332:A334"/>
    <mergeCell ref="C332:D332"/>
    <mergeCell ref="C333:D333"/>
    <mergeCell ref="C334:D334"/>
    <mergeCell ref="B335:D335"/>
    <mergeCell ref="C336:D336"/>
    <mergeCell ref="C337:D337"/>
    <mergeCell ref="C338:D338"/>
    <mergeCell ref="A339:A340"/>
    <mergeCell ref="C339:D339"/>
    <mergeCell ref="C340:D340"/>
    <mergeCell ref="C398:D398"/>
    <mergeCell ref="C399:D399"/>
    <mergeCell ref="B391:B392"/>
    <mergeCell ref="B395:B396"/>
    <mergeCell ref="C395:D395"/>
    <mergeCell ref="C396:D396"/>
    <mergeCell ref="C397:D397"/>
    <mergeCell ref="B399:B400"/>
    <mergeCell ref="C400:D400"/>
    <mergeCell ref="C404:D404"/>
    <mergeCell ref="C405:D405"/>
    <mergeCell ref="A396:A397"/>
    <mergeCell ref="A401:A402"/>
    <mergeCell ref="C401:D401"/>
    <mergeCell ref="C402:D402"/>
    <mergeCell ref="B403:B404"/>
    <mergeCell ref="C403:D403"/>
    <mergeCell ref="A404:A406"/>
    <mergeCell ref="C411:D411"/>
    <mergeCell ref="C412:D412"/>
    <mergeCell ref="C406:D406"/>
    <mergeCell ref="B407:D407"/>
    <mergeCell ref="C408:D408"/>
    <mergeCell ref="B409:B410"/>
    <mergeCell ref="C409:D409"/>
    <mergeCell ref="C410:D410"/>
    <mergeCell ref="A411:A412"/>
    <mergeCell ref="C417:D417"/>
    <mergeCell ref="C418:D418"/>
    <mergeCell ref="B413:B414"/>
    <mergeCell ref="C413:D413"/>
    <mergeCell ref="A414:A415"/>
    <mergeCell ref="C414:D414"/>
    <mergeCell ref="C415:D415"/>
    <mergeCell ref="C416:D416"/>
    <mergeCell ref="B417:B418"/>
    <mergeCell ref="C423:D423"/>
    <mergeCell ref="C424:D424"/>
    <mergeCell ref="A419:A420"/>
    <mergeCell ref="C419:D419"/>
    <mergeCell ref="C420:D420"/>
    <mergeCell ref="B421:B422"/>
    <mergeCell ref="C421:D421"/>
    <mergeCell ref="A422:A424"/>
    <mergeCell ref="C422:D422"/>
    <mergeCell ref="B427:B428"/>
    <mergeCell ref="B431:B432"/>
    <mergeCell ref="B425:D425"/>
    <mergeCell ref="C426:D426"/>
    <mergeCell ref="C427:D427"/>
    <mergeCell ref="C428:D428"/>
    <mergeCell ref="C429:D429"/>
    <mergeCell ref="C430:D430"/>
    <mergeCell ref="C431:D431"/>
    <mergeCell ref="B381:B382"/>
    <mergeCell ref="B385:B386"/>
    <mergeCell ref="C385:D385"/>
    <mergeCell ref="A386:A388"/>
    <mergeCell ref="C386:D386"/>
    <mergeCell ref="C387:D387"/>
    <mergeCell ref="C388:D388"/>
    <mergeCell ref="B389:D389"/>
    <mergeCell ref="C390:D390"/>
    <mergeCell ref="C391:D391"/>
    <mergeCell ref="C392:D392"/>
    <mergeCell ref="A393:A394"/>
    <mergeCell ref="C393:D393"/>
    <mergeCell ref="C394:D394"/>
    <mergeCell ref="A432:A433"/>
    <mergeCell ref="A437:A438"/>
    <mergeCell ref="A429:A430"/>
    <mergeCell ref="C432:D432"/>
    <mergeCell ref="C433:D433"/>
    <mergeCell ref="C434:D434"/>
    <mergeCell ref="B435:B436"/>
    <mergeCell ref="C435:D435"/>
    <mergeCell ref="C436:D436"/>
    <mergeCell ref="C195:D195"/>
    <mergeCell ref="C196:D196"/>
    <mergeCell ref="C190:D190"/>
    <mergeCell ref="B191:D191"/>
    <mergeCell ref="C192:D192"/>
    <mergeCell ref="B193:B194"/>
    <mergeCell ref="C193:D193"/>
    <mergeCell ref="C194:D194"/>
    <mergeCell ref="A195:A196"/>
    <mergeCell ref="C201:D201"/>
    <mergeCell ref="C202:D202"/>
    <mergeCell ref="B197:B198"/>
    <mergeCell ref="C197:D197"/>
    <mergeCell ref="A198:A199"/>
    <mergeCell ref="C198:D198"/>
    <mergeCell ref="C199:D199"/>
    <mergeCell ref="C200:D200"/>
    <mergeCell ref="B201:B202"/>
    <mergeCell ref="C207:D207"/>
    <mergeCell ref="C208:D208"/>
    <mergeCell ref="A203:A204"/>
    <mergeCell ref="C203:D203"/>
    <mergeCell ref="C204:D204"/>
    <mergeCell ref="B205:B206"/>
    <mergeCell ref="C205:D205"/>
    <mergeCell ref="A206:A208"/>
    <mergeCell ref="C206:D206"/>
    <mergeCell ref="C437:D437"/>
    <mergeCell ref="C438:D438"/>
    <mergeCell ref="B439:B440"/>
    <mergeCell ref="C439:D439"/>
    <mergeCell ref="A440:A442"/>
    <mergeCell ref="C440:D440"/>
    <mergeCell ref="C441:D441"/>
    <mergeCell ref="C459:D459"/>
    <mergeCell ref="C460:D460"/>
    <mergeCell ref="A455:A456"/>
    <mergeCell ref="C455:D455"/>
    <mergeCell ref="C456:D456"/>
    <mergeCell ref="C457:D457"/>
    <mergeCell ref="C458:D458"/>
    <mergeCell ref="B461:D461"/>
    <mergeCell ref="C462:D462"/>
    <mergeCell ref="C477:D477"/>
    <mergeCell ref="C478:D478"/>
    <mergeCell ref="C470:D470"/>
    <mergeCell ref="C471:D471"/>
    <mergeCell ref="C472:D472"/>
    <mergeCell ref="C473:D473"/>
    <mergeCell ref="B474:D474"/>
    <mergeCell ref="C475:D475"/>
    <mergeCell ref="C476:D476"/>
    <mergeCell ref="B481:B482"/>
    <mergeCell ref="B484:B485"/>
    <mergeCell ref="B488:B489"/>
    <mergeCell ref="B491:B492"/>
    <mergeCell ref="B494:B495"/>
    <mergeCell ref="B457:B458"/>
    <mergeCell ref="B462:B463"/>
    <mergeCell ref="B465:B466"/>
    <mergeCell ref="B468:B469"/>
    <mergeCell ref="B471:B472"/>
    <mergeCell ref="B475:B476"/>
    <mergeCell ref="B478:B479"/>
    <mergeCell ref="C486:D486"/>
    <mergeCell ref="B487:D487"/>
    <mergeCell ref="C488:D488"/>
    <mergeCell ref="C479:D479"/>
    <mergeCell ref="C480:D480"/>
    <mergeCell ref="C481:D481"/>
    <mergeCell ref="C482:D482"/>
    <mergeCell ref="C483:D483"/>
    <mergeCell ref="C484:D484"/>
    <mergeCell ref="C485:D485"/>
    <mergeCell ref="C492:D492"/>
    <mergeCell ref="C493:D493"/>
    <mergeCell ref="C494:D494"/>
    <mergeCell ref="A482:A483"/>
    <mergeCell ref="A485:A486"/>
    <mergeCell ref="A489:A490"/>
    <mergeCell ref="C489:D489"/>
    <mergeCell ref="C490:D490"/>
    <mergeCell ref="C491:D491"/>
    <mergeCell ref="A492:A493"/>
    <mergeCell ref="C447:D447"/>
    <mergeCell ref="C448:D448"/>
    <mergeCell ref="C442:D442"/>
    <mergeCell ref="B443:D443"/>
    <mergeCell ref="C444:D444"/>
    <mergeCell ref="B445:B446"/>
    <mergeCell ref="C445:D445"/>
    <mergeCell ref="C446:D446"/>
    <mergeCell ref="A447:A448"/>
    <mergeCell ref="C453:D453"/>
    <mergeCell ref="C454:D454"/>
    <mergeCell ref="B449:B450"/>
    <mergeCell ref="C449:D449"/>
    <mergeCell ref="A450:A451"/>
    <mergeCell ref="C450:D450"/>
    <mergeCell ref="C451:D451"/>
    <mergeCell ref="C452:D452"/>
    <mergeCell ref="B453:B454"/>
    <mergeCell ref="C463:D463"/>
    <mergeCell ref="C464:D464"/>
    <mergeCell ref="C465:D465"/>
    <mergeCell ref="C466:D466"/>
    <mergeCell ref="C467:D467"/>
    <mergeCell ref="C468:D468"/>
    <mergeCell ref="C469:D469"/>
    <mergeCell ref="A458:A460"/>
    <mergeCell ref="A463:A464"/>
    <mergeCell ref="A466:A467"/>
    <mergeCell ref="A469:A470"/>
    <mergeCell ref="A472:A473"/>
    <mergeCell ref="A476:A477"/>
    <mergeCell ref="A479:A480"/>
    <mergeCell ref="A495:A496"/>
    <mergeCell ref="C495:D495"/>
    <mergeCell ref="C496:D496"/>
    <mergeCell ref="B497:B498"/>
    <mergeCell ref="C497:D497"/>
    <mergeCell ref="A498:A499"/>
    <mergeCell ref="C498:D498"/>
    <mergeCell ref="C522:D522"/>
    <mergeCell ref="C523:D523"/>
    <mergeCell ref="C515:D515"/>
    <mergeCell ref="C516:D516"/>
    <mergeCell ref="C517:D517"/>
    <mergeCell ref="C518:D518"/>
    <mergeCell ref="C519:D519"/>
    <mergeCell ref="C520:D520"/>
    <mergeCell ref="C521:D521"/>
    <mergeCell ref="C503:D503"/>
    <mergeCell ref="C504:D504"/>
    <mergeCell ref="B504:B505"/>
    <mergeCell ref="C505:D505"/>
    <mergeCell ref="C499:D499"/>
    <mergeCell ref="B500:D500"/>
    <mergeCell ref="B501:B502"/>
    <mergeCell ref="C501:D501"/>
    <mergeCell ref="A502:A503"/>
    <mergeCell ref="C502:D502"/>
    <mergeCell ref="C506:D506"/>
    <mergeCell ref="B513:D513"/>
    <mergeCell ref="C514:D514"/>
    <mergeCell ref="C507:D507"/>
    <mergeCell ref="C508:D508"/>
    <mergeCell ref="C509:D509"/>
    <mergeCell ref="C510:D510"/>
    <mergeCell ref="C511:D511"/>
    <mergeCell ref="C512:D512"/>
    <mergeCell ref="B514:B515"/>
    <mergeCell ref="B517:B518"/>
    <mergeCell ref="B520:B521"/>
    <mergeCell ref="B523:B524"/>
    <mergeCell ref="B527:B528"/>
    <mergeCell ref="A505:A506"/>
    <mergeCell ref="B507:B508"/>
    <mergeCell ref="A508:A509"/>
    <mergeCell ref="B510:B511"/>
    <mergeCell ref="A511:A512"/>
    <mergeCell ref="A515:A516"/>
    <mergeCell ref="A518:A519"/>
    <mergeCell ref="C549:D549"/>
    <mergeCell ref="C550:D550"/>
    <mergeCell ref="C542:D542"/>
    <mergeCell ref="C543:D543"/>
    <mergeCell ref="C544:D544"/>
    <mergeCell ref="C545:D545"/>
    <mergeCell ref="C546:D546"/>
    <mergeCell ref="C547:D547"/>
    <mergeCell ref="C548:D548"/>
    <mergeCell ref="C556:D556"/>
    <mergeCell ref="C557:D557"/>
    <mergeCell ref="B546:B547"/>
    <mergeCell ref="B549:B550"/>
    <mergeCell ref="C551:D551"/>
    <mergeCell ref="B552:D552"/>
    <mergeCell ref="C553:D553"/>
    <mergeCell ref="C554:D554"/>
    <mergeCell ref="C555:D555"/>
    <mergeCell ref="B562:B563"/>
    <mergeCell ref="B566:B567"/>
    <mergeCell ref="C560:D560"/>
    <mergeCell ref="C561:D561"/>
    <mergeCell ref="C562:D562"/>
    <mergeCell ref="C563:D563"/>
    <mergeCell ref="C564:D564"/>
    <mergeCell ref="B565:D565"/>
    <mergeCell ref="C566:D566"/>
    <mergeCell ref="A583:A584"/>
    <mergeCell ref="B585:B586"/>
    <mergeCell ref="A586:A587"/>
    <mergeCell ref="B588:B589"/>
    <mergeCell ref="A589:A590"/>
    <mergeCell ref="A592:B592"/>
    <mergeCell ref="A593:B598"/>
    <mergeCell ref="A599:B599"/>
    <mergeCell ref="A600:B605"/>
    <mergeCell ref="A606:B606"/>
    <mergeCell ref="A607:B612"/>
    <mergeCell ref="A613:B613"/>
    <mergeCell ref="A614:B619"/>
    <mergeCell ref="A622:A626"/>
    <mergeCell ref="B582:B583"/>
    <mergeCell ref="C583:D583"/>
    <mergeCell ref="C577:D577"/>
    <mergeCell ref="B578:D578"/>
    <mergeCell ref="B579:B580"/>
    <mergeCell ref="C579:D579"/>
    <mergeCell ref="A580:A581"/>
    <mergeCell ref="C580:D580"/>
    <mergeCell ref="C584:D584"/>
    <mergeCell ref="C585:D585"/>
    <mergeCell ref="C586:D586"/>
    <mergeCell ref="C587:D587"/>
    <mergeCell ref="C588:D588"/>
    <mergeCell ref="C589:D589"/>
    <mergeCell ref="C590:D590"/>
    <mergeCell ref="C593:D593"/>
    <mergeCell ref="C594:D594"/>
    <mergeCell ref="C595:D595"/>
    <mergeCell ref="C596:D596"/>
    <mergeCell ref="C597:D597"/>
    <mergeCell ref="C598:D598"/>
    <mergeCell ref="C600:D600"/>
    <mergeCell ref="C601:D601"/>
    <mergeCell ref="C602:D602"/>
    <mergeCell ref="C603:D603"/>
    <mergeCell ref="C604:D604"/>
    <mergeCell ref="C605:D605"/>
    <mergeCell ref="C607:D607"/>
    <mergeCell ref="C608:D608"/>
    <mergeCell ref="C609:D609"/>
    <mergeCell ref="A634:A638"/>
    <mergeCell ref="A640:A644"/>
    <mergeCell ref="A647:A651"/>
    <mergeCell ref="A628:A632"/>
    <mergeCell ref="B632:D632"/>
    <mergeCell ref="B634:D634"/>
    <mergeCell ref="B635:D635"/>
    <mergeCell ref="B636:D636"/>
    <mergeCell ref="B637:D637"/>
    <mergeCell ref="B638:D638"/>
    <mergeCell ref="B651:D651"/>
    <mergeCell ref="A557:A558"/>
    <mergeCell ref="A560:A561"/>
    <mergeCell ref="A550:A551"/>
    <mergeCell ref="B553:B554"/>
    <mergeCell ref="A554:A555"/>
    <mergeCell ref="B556:B557"/>
    <mergeCell ref="C558:D558"/>
    <mergeCell ref="B559:B560"/>
    <mergeCell ref="C559:D559"/>
    <mergeCell ref="C570:D570"/>
    <mergeCell ref="C571:D571"/>
    <mergeCell ref="A563:A564"/>
    <mergeCell ref="A567:A568"/>
    <mergeCell ref="C567:D567"/>
    <mergeCell ref="C568:D568"/>
    <mergeCell ref="B569:B570"/>
    <mergeCell ref="C569:D569"/>
    <mergeCell ref="A570:A571"/>
    <mergeCell ref="C575:D575"/>
    <mergeCell ref="C576:D576"/>
    <mergeCell ref="B572:B573"/>
    <mergeCell ref="C572:D572"/>
    <mergeCell ref="A573:A574"/>
    <mergeCell ref="C573:D573"/>
    <mergeCell ref="C574:D574"/>
    <mergeCell ref="B575:B576"/>
    <mergeCell ref="A576:A577"/>
    <mergeCell ref="C528:D528"/>
    <mergeCell ref="C529:D529"/>
    <mergeCell ref="A521:A522"/>
    <mergeCell ref="A524:A525"/>
    <mergeCell ref="C524:D524"/>
    <mergeCell ref="C525:D525"/>
    <mergeCell ref="B526:D526"/>
    <mergeCell ref="C527:D527"/>
    <mergeCell ref="A528:A529"/>
    <mergeCell ref="C533:D533"/>
    <mergeCell ref="C534:D534"/>
    <mergeCell ref="B530:B531"/>
    <mergeCell ref="C530:D530"/>
    <mergeCell ref="A531:A532"/>
    <mergeCell ref="C531:D531"/>
    <mergeCell ref="C532:D532"/>
    <mergeCell ref="A534:A535"/>
    <mergeCell ref="C535:D535"/>
    <mergeCell ref="C536:D536"/>
    <mergeCell ref="C537:D537"/>
    <mergeCell ref="C538:D538"/>
    <mergeCell ref="B539:D539"/>
    <mergeCell ref="B540:B541"/>
    <mergeCell ref="C540:D540"/>
    <mergeCell ref="C541:D541"/>
    <mergeCell ref="B533:B534"/>
    <mergeCell ref="B536:B537"/>
    <mergeCell ref="A537:A538"/>
    <mergeCell ref="A541:A542"/>
    <mergeCell ref="B543:B544"/>
    <mergeCell ref="A544:A545"/>
    <mergeCell ref="A547:A548"/>
    <mergeCell ref="C581:D581"/>
    <mergeCell ref="C582:D582"/>
    <mergeCell ref="C618:D618"/>
    <mergeCell ref="C619:D619"/>
    <mergeCell ref="C610:D610"/>
    <mergeCell ref="C611:D611"/>
    <mergeCell ref="C612:D612"/>
    <mergeCell ref="C614:D614"/>
    <mergeCell ref="C615:D615"/>
    <mergeCell ref="C616:D616"/>
    <mergeCell ref="C617:D617"/>
    <mergeCell ref="B630:D630"/>
    <mergeCell ref="B631:D631"/>
    <mergeCell ref="B622:D622"/>
    <mergeCell ref="B623:D623"/>
    <mergeCell ref="B624:D624"/>
    <mergeCell ref="B625:D625"/>
    <mergeCell ref="B626:D626"/>
    <mergeCell ref="B628:D628"/>
    <mergeCell ref="B629:D629"/>
    <mergeCell ref="B649:D649"/>
    <mergeCell ref="B650:D650"/>
    <mergeCell ref="B640:D640"/>
    <mergeCell ref="B641:D641"/>
    <mergeCell ref="B642:D642"/>
    <mergeCell ref="B643:D643"/>
    <mergeCell ref="B644:D644"/>
    <mergeCell ref="B647:D647"/>
    <mergeCell ref="B648:D648"/>
    <mergeCell ref="A5:D5"/>
    <mergeCell ref="A6:D6"/>
    <mergeCell ref="A7:B7"/>
    <mergeCell ref="C7:D7"/>
    <mergeCell ref="D3:E3"/>
    <mergeCell ref="A8:B8"/>
    <mergeCell ref="C8:D8"/>
    <mergeCell ref="A9:B9"/>
    <mergeCell ref="C9:D9"/>
    <mergeCell ref="A1:N1"/>
    <mergeCell ref="A2:N2"/>
    <mergeCell ref="F3:J3"/>
    <mergeCell ref="L3:N3"/>
    <mergeCell ref="A4:N4"/>
    <mergeCell ref="K5:N6"/>
    <mergeCell ref="K7:N10"/>
    <mergeCell ref="B13:B14"/>
    <mergeCell ref="B17:B18"/>
    <mergeCell ref="C18:D18"/>
    <mergeCell ref="C19:D19"/>
    <mergeCell ref="A15:A16"/>
    <mergeCell ref="A18:A19"/>
    <mergeCell ref="K39:L39"/>
    <mergeCell ref="K43:L43"/>
    <mergeCell ref="A10:B10"/>
    <mergeCell ref="C10:D10"/>
    <mergeCell ref="B11:D11"/>
    <mergeCell ref="C12:D12"/>
    <mergeCell ref="C13:D13"/>
    <mergeCell ref="C16:D16"/>
    <mergeCell ref="C17:D17"/>
    <mergeCell ref="C23:D23"/>
    <mergeCell ref="C24:D24"/>
    <mergeCell ref="C14:D14"/>
    <mergeCell ref="C15:D15"/>
    <mergeCell ref="C20:D20"/>
    <mergeCell ref="B21:B22"/>
    <mergeCell ref="C21:D21"/>
    <mergeCell ref="C22:D22"/>
    <mergeCell ref="A23:A24"/>
    <mergeCell ref="B25:B26"/>
    <mergeCell ref="B31:B32"/>
    <mergeCell ref="B35:B36"/>
    <mergeCell ref="B39:B40"/>
    <mergeCell ref="B43:B44"/>
    <mergeCell ref="C25:D25"/>
    <mergeCell ref="A26:A28"/>
    <mergeCell ref="C26:D26"/>
    <mergeCell ref="C27:D27"/>
    <mergeCell ref="C28:D28"/>
    <mergeCell ref="B29:D29"/>
    <mergeCell ref="C30:D30"/>
    <mergeCell ref="C31:D31"/>
    <mergeCell ref="C32:D32"/>
    <mergeCell ref="A33:A34"/>
    <mergeCell ref="C33:D33"/>
    <mergeCell ref="C34:D34"/>
    <mergeCell ref="C35:D35"/>
    <mergeCell ref="A36:A37"/>
    <mergeCell ref="C42:D42"/>
    <mergeCell ref="C43:D43"/>
    <mergeCell ref="C41:D41"/>
    <mergeCell ref="C44:D44"/>
    <mergeCell ref="C45:D45"/>
    <mergeCell ref="C46:D46"/>
    <mergeCell ref="C36:D36"/>
    <mergeCell ref="C37:D37"/>
    <mergeCell ref="C38:D38"/>
    <mergeCell ref="C39:D39"/>
    <mergeCell ref="C40:D40"/>
    <mergeCell ref="A41:A42"/>
    <mergeCell ref="A44:A46"/>
    <mergeCell ref="B49:B50"/>
    <mergeCell ref="B53:B54"/>
    <mergeCell ref="B57:B58"/>
    <mergeCell ref="B61:B62"/>
    <mergeCell ref="A51:A52"/>
    <mergeCell ref="A54:A55"/>
    <mergeCell ref="A59:A60"/>
    <mergeCell ref="A62:A64"/>
    <mergeCell ref="B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89:D89"/>
    <mergeCell ref="C90:D90"/>
    <mergeCell ref="C85:D85"/>
    <mergeCell ref="C86:D86"/>
    <mergeCell ref="A87:A88"/>
    <mergeCell ref="C87:D87"/>
    <mergeCell ref="C88:D88"/>
    <mergeCell ref="B89:B90"/>
    <mergeCell ref="A90:A91"/>
    <mergeCell ref="C61:D61"/>
    <mergeCell ref="C62:D62"/>
    <mergeCell ref="C63:D63"/>
    <mergeCell ref="C64:D64"/>
    <mergeCell ref="B65:D65"/>
    <mergeCell ref="C66:D66"/>
    <mergeCell ref="B67:B68"/>
    <mergeCell ref="C71:D71"/>
    <mergeCell ref="C72:D72"/>
    <mergeCell ref="C67:D67"/>
    <mergeCell ref="C68:D68"/>
    <mergeCell ref="A69:A70"/>
    <mergeCell ref="C69:D69"/>
    <mergeCell ref="C70:D70"/>
    <mergeCell ref="B71:B72"/>
    <mergeCell ref="A72:A73"/>
    <mergeCell ref="B75:B76"/>
    <mergeCell ref="B79:B80"/>
    <mergeCell ref="A80:A82"/>
    <mergeCell ref="C73:D73"/>
    <mergeCell ref="C74:D74"/>
    <mergeCell ref="C75:D75"/>
    <mergeCell ref="C76:D76"/>
    <mergeCell ref="A77:A78"/>
    <mergeCell ref="C77:D77"/>
    <mergeCell ref="C78:D78"/>
    <mergeCell ref="C79:D79"/>
    <mergeCell ref="C80:D80"/>
    <mergeCell ref="C81:D81"/>
    <mergeCell ref="C82:D82"/>
    <mergeCell ref="B83:D83"/>
    <mergeCell ref="C84:D84"/>
    <mergeCell ref="B85:B86"/>
    <mergeCell ref="C97:D97"/>
    <mergeCell ref="C98:D98"/>
    <mergeCell ref="B121:B122"/>
    <mergeCell ref="B125:B126"/>
    <mergeCell ref="B119:D119"/>
    <mergeCell ref="C120:D120"/>
    <mergeCell ref="C121:D121"/>
    <mergeCell ref="C122:D122"/>
    <mergeCell ref="C123:D123"/>
    <mergeCell ref="C124:D124"/>
    <mergeCell ref="C125:D125"/>
    <mergeCell ref="C126:D126"/>
    <mergeCell ref="K103:L103"/>
    <mergeCell ref="K107:L107"/>
    <mergeCell ref="K111:L111"/>
    <mergeCell ref="K115:L115"/>
    <mergeCell ref="K119:L119"/>
    <mergeCell ref="M119:N119"/>
    <mergeCell ref="M120:N120"/>
    <mergeCell ref="K120:L120"/>
    <mergeCell ref="K121:L121"/>
    <mergeCell ref="K125:L125"/>
    <mergeCell ref="K129:L129"/>
    <mergeCell ref="K133:L133"/>
    <mergeCell ref="K137:L137"/>
    <mergeCell ref="M137:N137"/>
    <mergeCell ref="C130:D130"/>
    <mergeCell ref="C131:D131"/>
    <mergeCell ref="A123:A124"/>
    <mergeCell ref="A126:A127"/>
    <mergeCell ref="C127:D127"/>
    <mergeCell ref="C128:D128"/>
    <mergeCell ref="C129:D129"/>
    <mergeCell ref="A131:A132"/>
    <mergeCell ref="C132:D132"/>
    <mergeCell ref="C146:D146"/>
    <mergeCell ref="C147:D147"/>
    <mergeCell ref="B139:B140"/>
    <mergeCell ref="B143:B144"/>
    <mergeCell ref="C143:D143"/>
    <mergeCell ref="C144:D144"/>
    <mergeCell ref="C145:D145"/>
    <mergeCell ref="B147:B148"/>
    <mergeCell ref="C148:D148"/>
    <mergeCell ref="C152:D152"/>
    <mergeCell ref="C153:D153"/>
    <mergeCell ref="A144:A145"/>
    <mergeCell ref="A149:A150"/>
    <mergeCell ref="C149:D149"/>
    <mergeCell ref="C150:D150"/>
    <mergeCell ref="B151:B152"/>
    <mergeCell ref="C151:D151"/>
    <mergeCell ref="A152:A154"/>
    <mergeCell ref="C159:D159"/>
    <mergeCell ref="C160:D160"/>
    <mergeCell ref="C154:D154"/>
    <mergeCell ref="B155:D155"/>
    <mergeCell ref="C156:D156"/>
    <mergeCell ref="B157:B158"/>
    <mergeCell ref="C157:D157"/>
    <mergeCell ref="C158:D158"/>
    <mergeCell ref="A159:A160"/>
    <mergeCell ref="C165:D165"/>
    <mergeCell ref="C166:D166"/>
    <mergeCell ref="B161:B162"/>
    <mergeCell ref="C161:D161"/>
    <mergeCell ref="A162:A163"/>
    <mergeCell ref="C162:D162"/>
    <mergeCell ref="C163:D163"/>
    <mergeCell ref="C164:D164"/>
    <mergeCell ref="B165:B166"/>
    <mergeCell ref="C171:D171"/>
    <mergeCell ref="C172:D172"/>
    <mergeCell ref="A167:A168"/>
    <mergeCell ref="C167:D167"/>
    <mergeCell ref="C168:D168"/>
    <mergeCell ref="B169:B170"/>
    <mergeCell ref="C169:D169"/>
    <mergeCell ref="A170:A172"/>
    <mergeCell ref="C170:D170"/>
    <mergeCell ref="B175:B176"/>
    <mergeCell ref="B179:B180"/>
    <mergeCell ref="B173:D173"/>
    <mergeCell ref="C174:D174"/>
    <mergeCell ref="C175:D175"/>
    <mergeCell ref="C176:D176"/>
    <mergeCell ref="C177:D177"/>
    <mergeCell ref="C178:D178"/>
    <mergeCell ref="C179:D179"/>
    <mergeCell ref="B129:B130"/>
    <mergeCell ref="B133:B134"/>
    <mergeCell ref="C133:D133"/>
    <mergeCell ref="A134:A136"/>
    <mergeCell ref="C134:D134"/>
    <mergeCell ref="C135:D135"/>
    <mergeCell ref="C136:D136"/>
    <mergeCell ref="B137:D137"/>
    <mergeCell ref="C138:D138"/>
    <mergeCell ref="C139:D139"/>
    <mergeCell ref="C140:D140"/>
    <mergeCell ref="A141:A142"/>
    <mergeCell ref="C141:D141"/>
    <mergeCell ref="C142:D142"/>
    <mergeCell ref="A180:A181"/>
    <mergeCell ref="A185:A186"/>
    <mergeCell ref="A177:A178"/>
    <mergeCell ref="C180:D180"/>
    <mergeCell ref="C181:D181"/>
    <mergeCell ref="C182:D182"/>
    <mergeCell ref="B183:B184"/>
    <mergeCell ref="C183:D183"/>
    <mergeCell ref="C184:D184"/>
    <mergeCell ref="C91:D91"/>
    <mergeCell ref="C92:D92"/>
    <mergeCell ref="C93:D93"/>
    <mergeCell ref="C94:D94"/>
    <mergeCell ref="A95:A96"/>
    <mergeCell ref="C95:D95"/>
    <mergeCell ref="C96:D96"/>
    <mergeCell ref="C99:D99"/>
    <mergeCell ref="C100:D100"/>
    <mergeCell ref="B101:D101"/>
    <mergeCell ref="C102:D102"/>
    <mergeCell ref="B103:B104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B111:B112"/>
    <mergeCell ref="B115:B116"/>
    <mergeCell ref="B93:B94"/>
    <mergeCell ref="B97:B98"/>
    <mergeCell ref="A98:A100"/>
    <mergeCell ref="A105:A106"/>
    <mergeCell ref="B107:B108"/>
    <mergeCell ref="A108:A109"/>
    <mergeCell ref="A113:A114"/>
    <mergeCell ref="A116:A118"/>
    <mergeCell ref="C112:D112"/>
    <mergeCell ref="C113:D113"/>
    <mergeCell ref="C114:D114"/>
    <mergeCell ref="C115:D115"/>
    <mergeCell ref="C116:D116"/>
    <mergeCell ref="C117:D117"/>
    <mergeCell ref="C118:D118"/>
    <mergeCell ref="C185:D185"/>
    <mergeCell ref="C186:D186"/>
    <mergeCell ref="B187:B188"/>
    <mergeCell ref="C187:D187"/>
    <mergeCell ref="A188:A190"/>
    <mergeCell ref="C188:D188"/>
    <mergeCell ref="C189:D189"/>
    <mergeCell ref="B211:B212"/>
    <mergeCell ref="B215:B216"/>
    <mergeCell ref="B209:D209"/>
    <mergeCell ref="C210:D210"/>
    <mergeCell ref="C211:D211"/>
    <mergeCell ref="C212:D212"/>
    <mergeCell ref="C213:D213"/>
    <mergeCell ref="C214:D214"/>
    <mergeCell ref="C215:D215"/>
    <mergeCell ref="C216:D216"/>
    <mergeCell ref="C220:D220"/>
    <mergeCell ref="C221:D221"/>
    <mergeCell ref="A213:A214"/>
    <mergeCell ref="A216:A217"/>
    <mergeCell ref="C217:D217"/>
    <mergeCell ref="C218:D218"/>
    <mergeCell ref="C219:D219"/>
    <mergeCell ref="A221:A222"/>
    <mergeCell ref="C222:D222"/>
    <mergeCell ref="C236:D236"/>
    <mergeCell ref="C237:D237"/>
    <mergeCell ref="B229:B230"/>
    <mergeCell ref="B233:B234"/>
    <mergeCell ref="C233:D233"/>
    <mergeCell ref="C234:D234"/>
    <mergeCell ref="C235:D235"/>
    <mergeCell ref="B237:B238"/>
    <mergeCell ref="C238:D238"/>
    <mergeCell ref="C242:D242"/>
    <mergeCell ref="C243:D243"/>
    <mergeCell ref="A234:A235"/>
    <mergeCell ref="A239:A240"/>
    <mergeCell ref="C239:D239"/>
    <mergeCell ref="C240:D240"/>
    <mergeCell ref="B241:B242"/>
    <mergeCell ref="C241:D241"/>
    <mergeCell ref="A242:A244"/>
    <mergeCell ref="B219:B220"/>
    <mergeCell ref="B223:B224"/>
    <mergeCell ref="C223:D223"/>
    <mergeCell ref="A224:A226"/>
    <mergeCell ref="C224:D224"/>
    <mergeCell ref="C225:D225"/>
    <mergeCell ref="C226:D226"/>
    <mergeCell ref="B227:D227"/>
    <mergeCell ref="C228:D228"/>
    <mergeCell ref="C229:D229"/>
    <mergeCell ref="C230:D230"/>
    <mergeCell ref="A231:A232"/>
    <mergeCell ref="C231:D231"/>
    <mergeCell ref="C232:D232"/>
    <mergeCell ref="C249:D249"/>
    <mergeCell ref="C250:D250"/>
    <mergeCell ref="C244:D244"/>
    <mergeCell ref="B245:D245"/>
    <mergeCell ref="C246:D246"/>
    <mergeCell ref="B247:B248"/>
    <mergeCell ref="C247:D247"/>
    <mergeCell ref="C248:D248"/>
    <mergeCell ref="A249:A250"/>
    <mergeCell ref="C255:D255"/>
    <mergeCell ref="C256:D256"/>
    <mergeCell ref="B251:B252"/>
    <mergeCell ref="C251:D251"/>
    <mergeCell ref="A252:A253"/>
    <mergeCell ref="C252:D252"/>
    <mergeCell ref="C253:D253"/>
    <mergeCell ref="C254:D254"/>
    <mergeCell ref="B255:B256"/>
    <mergeCell ref="C261:D261"/>
    <mergeCell ref="C262:D262"/>
    <mergeCell ref="A257:A258"/>
    <mergeCell ref="C257:D257"/>
    <mergeCell ref="C258:D258"/>
    <mergeCell ref="B259:B260"/>
    <mergeCell ref="C259:D259"/>
    <mergeCell ref="A260:A262"/>
    <mergeCell ref="C260:D260"/>
    <mergeCell ref="B265:B266"/>
    <mergeCell ref="B269:B270"/>
    <mergeCell ref="B263:D263"/>
    <mergeCell ref="C264:D264"/>
    <mergeCell ref="C265:D265"/>
    <mergeCell ref="C266:D266"/>
    <mergeCell ref="C267:D267"/>
    <mergeCell ref="C268:D268"/>
    <mergeCell ref="C269:D269"/>
    <mergeCell ref="C270:D270"/>
    <mergeCell ref="C274:D274"/>
    <mergeCell ref="C275:D275"/>
    <mergeCell ref="A267:A268"/>
    <mergeCell ref="A270:A271"/>
    <mergeCell ref="C271:D271"/>
    <mergeCell ref="C272:D272"/>
    <mergeCell ref="C273:D273"/>
    <mergeCell ref="A275:A276"/>
    <mergeCell ref="C276:D276"/>
    <mergeCell ref="C290:D290"/>
    <mergeCell ref="C291:D291"/>
    <mergeCell ref="B283:B284"/>
    <mergeCell ref="B287:B288"/>
    <mergeCell ref="C287:D287"/>
    <mergeCell ref="C288:D288"/>
    <mergeCell ref="C289:D289"/>
    <mergeCell ref="B291:B292"/>
    <mergeCell ref="C292:D292"/>
    <mergeCell ref="B273:B274"/>
    <mergeCell ref="B277:B278"/>
    <mergeCell ref="C277:D277"/>
    <mergeCell ref="A278:A280"/>
    <mergeCell ref="C278:D278"/>
    <mergeCell ref="C279:D279"/>
    <mergeCell ref="C280:D280"/>
    <mergeCell ref="B281:D281"/>
    <mergeCell ref="C282:D282"/>
    <mergeCell ref="C283:D283"/>
    <mergeCell ref="C284:D284"/>
    <mergeCell ref="A285:A286"/>
    <mergeCell ref="C285:D285"/>
    <mergeCell ref="C286:D286"/>
    <mergeCell ref="C296:D296"/>
    <mergeCell ref="C297:D297"/>
    <mergeCell ref="A288:A289"/>
    <mergeCell ref="A293:A294"/>
    <mergeCell ref="C293:D293"/>
    <mergeCell ref="C294:D294"/>
    <mergeCell ref="B295:B296"/>
    <mergeCell ref="C295:D295"/>
    <mergeCell ref="A296:A298"/>
    <mergeCell ref="C303:D303"/>
    <mergeCell ref="C304:D304"/>
    <mergeCell ref="C298:D298"/>
    <mergeCell ref="B299:D299"/>
    <mergeCell ref="C300:D300"/>
    <mergeCell ref="B301:B302"/>
    <mergeCell ref="C301:D301"/>
    <mergeCell ref="C302:D302"/>
    <mergeCell ref="A303:A304"/>
    <mergeCell ref="C309:D309"/>
    <mergeCell ref="C310:D310"/>
    <mergeCell ref="B305:B306"/>
    <mergeCell ref="C305:D305"/>
    <mergeCell ref="A306:A307"/>
    <mergeCell ref="C306:D306"/>
    <mergeCell ref="C307:D307"/>
    <mergeCell ref="C308:D308"/>
    <mergeCell ref="B309:B310"/>
    <mergeCell ref="C315:D315"/>
    <mergeCell ref="C316:D316"/>
    <mergeCell ref="A311:A312"/>
    <mergeCell ref="C311:D311"/>
    <mergeCell ref="C312:D312"/>
    <mergeCell ref="B313:B314"/>
    <mergeCell ref="C313:D313"/>
    <mergeCell ref="A314:A316"/>
    <mergeCell ref="C314:D314"/>
    <mergeCell ref="B319:B320"/>
    <mergeCell ref="B323:B324"/>
    <mergeCell ref="B317:D317"/>
    <mergeCell ref="C318:D318"/>
    <mergeCell ref="C319:D319"/>
    <mergeCell ref="C320:D320"/>
    <mergeCell ref="C321:D321"/>
    <mergeCell ref="C322:D322"/>
    <mergeCell ref="C323:D323"/>
    <mergeCell ref="C324:D324"/>
    <mergeCell ref="C328:D328"/>
    <mergeCell ref="C329:D329"/>
    <mergeCell ref="A321:A322"/>
    <mergeCell ref="A324:A325"/>
    <mergeCell ref="C325:D325"/>
    <mergeCell ref="C326:D326"/>
    <mergeCell ref="C327:D327"/>
    <mergeCell ref="A329:A330"/>
    <mergeCell ref="C330:D330"/>
    <mergeCell ref="C344:D344"/>
    <mergeCell ref="C345:D345"/>
    <mergeCell ref="B337:B338"/>
    <mergeCell ref="B341:B342"/>
    <mergeCell ref="C341:D341"/>
    <mergeCell ref="C342:D342"/>
    <mergeCell ref="C343:D343"/>
    <mergeCell ref="B345:B346"/>
    <mergeCell ref="C346:D346"/>
    <mergeCell ref="C350:D350"/>
    <mergeCell ref="C351:D351"/>
    <mergeCell ref="A342:A343"/>
    <mergeCell ref="A347:A348"/>
    <mergeCell ref="C347:D347"/>
    <mergeCell ref="C348:D348"/>
    <mergeCell ref="B349:B350"/>
    <mergeCell ref="C349:D349"/>
    <mergeCell ref="A350:A352"/>
    <mergeCell ref="C357:D357"/>
    <mergeCell ref="C358:D358"/>
    <mergeCell ref="C352:D352"/>
    <mergeCell ref="B353:D353"/>
    <mergeCell ref="C354:D354"/>
    <mergeCell ref="B355:B356"/>
    <mergeCell ref="C355:D355"/>
    <mergeCell ref="C356:D356"/>
    <mergeCell ref="A357:A358"/>
    <mergeCell ref="C363:D363"/>
    <mergeCell ref="C364:D364"/>
    <mergeCell ref="B359:B360"/>
    <mergeCell ref="C359:D359"/>
    <mergeCell ref="A360:A361"/>
    <mergeCell ref="C360:D360"/>
    <mergeCell ref="C361:D361"/>
    <mergeCell ref="C362:D362"/>
    <mergeCell ref="B363:B364"/>
    <mergeCell ref="C369:D369"/>
    <mergeCell ref="C370:D370"/>
    <mergeCell ref="A365:A366"/>
    <mergeCell ref="C365:D365"/>
    <mergeCell ref="C366:D366"/>
    <mergeCell ref="B367:B368"/>
    <mergeCell ref="C367:D367"/>
    <mergeCell ref="A368:A370"/>
    <mergeCell ref="C368:D368"/>
    <mergeCell ref="B373:B374"/>
    <mergeCell ref="B377:B378"/>
    <mergeCell ref="B371:D371"/>
    <mergeCell ref="C372:D372"/>
    <mergeCell ref="C373:D373"/>
    <mergeCell ref="C374:D374"/>
    <mergeCell ref="C375:D375"/>
    <mergeCell ref="C376:D376"/>
    <mergeCell ref="C377:D377"/>
    <mergeCell ref="C378:D378"/>
    <mergeCell ref="A375:A376"/>
    <mergeCell ref="A378:A379"/>
    <mergeCell ref="C379:D379"/>
    <mergeCell ref="C380:D380"/>
    <mergeCell ref="C381:D381"/>
    <mergeCell ref="A383:A384"/>
    <mergeCell ref="C384:D384"/>
    <mergeCell ref="C382:D382"/>
    <mergeCell ref="C383:D383"/>
    <mergeCell ref="A591:N591"/>
    <mergeCell ref="C592:L592"/>
    <mergeCell ref="M592:N592"/>
    <mergeCell ref="K593:K596"/>
    <mergeCell ref="M593:N598"/>
    <mergeCell ref="M599:N599"/>
    <mergeCell ref="L593:L596"/>
    <mergeCell ref="C599:L599"/>
    <mergeCell ref="K600:K603"/>
    <mergeCell ref="L600:L603"/>
    <mergeCell ref="M600:N605"/>
    <mergeCell ref="C606:L606"/>
    <mergeCell ref="M606:N606"/>
    <mergeCell ref="M614:N619"/>
    <mergeCell ref="A620:N620"/>
    <mergeCell ref="K622:N626"/>
    <mergeCell ref="K628:N632"/>
    <mergeCell ref="K634:N638"/>
    <mergeCell ref="K640:N644"/>
    <mergeCell ref="A645:N645"/>
    <mergeCell ref="K647:N651"/>
    <mergeCell ref="K607:K610"/>
    <mergeCell ref="L607:L610"/>
    <mergeCell ref="M607:N612"/>
    <mergeCell ref="C613:L613"/>
    <mergeCell ref="M613:N613"/>
    <mergeCell ref="K614:K617"/>
    <mergeCell ref="L614:L617"/>
    <mergeCell ref="K353:L353"/>
    <mergeCell ref="K354:L354"/>
    <mergeCell ref="K355:L355"/>
    <mergeCell ref="K359:L359"/>
    <mergeCell ref="K363:L363"/>
    <mergeCell ref="K367:L367"/>
    <mergeCell ref="M371:N371"/>
    <mergeCell ref="M372:N372"/>
    <mergeCell ref="K371:L371"/>
    <mergeCell ref="K372:L372"/>
    <mergeCell ref="K373:L373"/>
    <mergeCell ref="K377:L377"/>
    <mergeCell ref="K381:L381"/>
    <mergeCell ref="K385:L385"/>
    <mergeCell ref="M389:N389"/>
    <mergeCell ref="K247:L247"/>
    <mergeCell ref="K251:L251"/>
    <mergeCell ref="K255:L255"/>
    <mergeCell ref="K259:L259"/>
    <mergeCell ref="K263:L263"/>
    <mergeCell ref="M263:N263"/>
    <mergeCell ref="M264:N264"/>
    <mergeCell ref="K264:L264"/>
    <mergeCell ref="K265:L265"/>
    <mergeCell ref="K269:L269"/>
    <mergeCell ref="K273:L273"/>
    <mergeCell ref="K277:L277"/>
    <mergeCell ref="K281:L281"/>
    <mergeCell ref="M281:N281"/>
    <mergeCell ref="K282:L282"/>
    <mergeCell ref="M282:N282"/>
    <mergeCell ref="K283:L283"/>
    <mergeCell ref="K287:L287"/>
    <mergeCell ref="K291:L291"/>
    <mergeCell ref="K295:L295"/>
    <mergeCell ref="M299:N299"/>
    <mergeCell ref="M300:N300"/>
    <mergeCell ref="K299:L299"/>
    <mergeCell ref="K300:L300"/>
    <mergeCell ref="K301:L301"/>
    <mergeCell ref="K305:L305"/>
    <mergeCell ref="K309:L309"/>
    <mergeCell ref="K313:L313"/>
    <mergeCell ref="M317:N317"/>
    <mergeCell ref="M318:N318"/>
    <mergeCell ref="K317:L317"/>
    <mergeCell ref="K318:L318"/>
    <mergeCell ref="K319:L319"/>
    <mergeCell ref="K323:L323"/>
    <mergeCell ref="K327:L327"/>
    <mergeCell ref="K331:L331"/>
    <mergeCell ref="M335:N335"/>
    <mergeCell ref="M336:N336"/>
    <mergeCell ref="K335:L335"/>
    <mergeCell ref="K336:L336"/>
    <mergeCell ref="K337:L337"/>
    <mergeCell ref="K341:L341"/>
    <mergeCell ref="K345:L345"/>
    <mergeCell ref="K349:L349"/>
    <mergeCell ref="M353:N353"/>
    <mergeCell ref="M354:N354"/>
    <mergeCell ref="K449:L449"/>
    <mergeCell ref="K453:L453"/>
    <mergeCell ref="K457:L457"/>
    <mergeCell ref="K461:L461"/>
    <mergeCell ref="M461:N461"/>
    <mergeCell ref="K474:L474"/>
    <mergeCell ref="M474:N474"/>
    <mergeCell ref="K138:L138"/>
    <mergeCell ref="M138:N138"/>
    <mergeCell ref="K139:L139"/>
    <mergeCell ref="K143:L143"/>
    <mergeCell ref="K147:L147"/>
    <mergeCell ref="K151:L151"/>
    <mergeCell ref="M155:N155"/>
    <mergeCell ref="M156:N156"/>
    <mergeCell ref="K155:L155"/>
    <mergeCell ref="K156:L156"/>
    <mergeCell ref="K157:L157"/>
    <mergeCell ref="K161:L161"/>
    <mergeCell ref="K165:L165"/>
    <mergeCell ref="K169:L169"/>
    <mergeCell ref="M173:N173"/>
    <mergeCell ref="K173:L173"/>
    <mergeCell ref="K174:L174"/>
    <mergeCell ref="M174:N174"/>
    <mergeCell ref="K175:L175"/>
    <mergeCell ref="K179:L179"/>
    <mergeCell ref="K183:L183"/>
    <mergeCell ref="K187:L187"/>
    <mergeCell ref="K191:L191"/>
    <mergeCell ref="M191:N191"/>
    <mergeCell ref="K192:L192"/>
    <mergeCell ref="M192:N192"/>
    <mergeCell ref="K193:L193"/>
    <mergeCell ref="K197:L197"/>
    <mergeCell ref="K201:L201"/>
    <mergeCell ref="K205:L205"/>
    <mergeCell ref="K209:L209"/>
    <mergeCell ref="M209:N209"/>
    <mergeCell ref="K210:L210"/>
    <mergeCell ref="M210:N210"/>
    <mergeCell ref="K211:L211"/>
    <mergeCell ref="K215:L215"/>
    <mergeCell ref="K219:L219"/>
    <mergeCell ref="K223:L223"/>
    <mergeCell ref="K227:L227"/>
    <mergeCell ref="M227:N227"/>
    <mergeCell ref="K228:L228"/>
    <mergeCell ref="M228:N228"/>
    <mergeCell ref="K229:L229"/>
    <mergeCell ref="K11:L11"/>
    <mergeCell ref="M11:N11"/>
    <mergeCell ref="K12:L12"/>
    <mergeCell ref="M12:N12"/>
    <mergeCell ref="K13:L13"/>
    <mergeCell ref="K17:L17"/>
    <mergeCell ref="K21:L21"/>
    <mergeCell ref="K25:L25"/>
    <mergeCell ref="K29:L29"/>
    <mergeCell ref="M29:N29"/>
    <mergeCell ref="K30:L30"/>
    <mergeCell ref="M30:N30"/>
    <mergeCell ref="K31:L31"/>
    <mergeCell ref="K35:L35"/>
    <mergeCell ref="K47:L47"/>
    <mergeCell ref="M47:N47"/>
    <mergeCell ref="K48:L48"/>
    <mergeCell ref="M48:N48"/>
    <mergeCell ref="K49:L49"/>
    <mergeCell ref="K53:L53"/>
    <mergeCell ref="K57:L57"/>
    <mergeCell ref="K61:L61"/>
    <mergeCell ref="K65:L65"/>
    <mergeCell ref="M65:N65"/>
    <mergeCell ref="K66:L66"/>
    <mergeCell ref="M66:N66"/>
    <mergeCell ref="K67:L67"/>
    <mergeCell ref="K71:L71"/>
    <mergeCell ref="K75:L75"/>
    <mergeCell ref="K79:L79"/>
    <mergeCell ref="K83:L83"/>
    <mergeCell ref="M83:N83"/>
    <mergeCell ref="K84:L84"/>
    <mergeCell ref="M84:N84"/>
    <mergeCell ref="K85:L85"/>
    <mergeCell ref="K89:L89"/>
    <mergeCell ref="K93:L93"/>
    <mergeCell ref="K97:L97"/>
    <mergeCell ref="K101:L101"/>
    <mergeCell ref="M101:N101"/>
    <mergeCell ref="K102:L102"/>
    <mergeCell ref="M102:N102"/>
    <mergeCell ref="K233:L233"/>
    <mergeCell ref="K237:L237"/>
    <mergeCell ref="K241:L241"/>
    <mergeCell ref="K245:L245"/>
    <mergeCell ref="M245:N245"/>
    <mergeCell ref="K246:L246"/>
    <mergeCell ref="M246:N246"/>
    <mergeCell ref="K389:L389"/>
    <mergeCell ref="K390:L390"/>
    <mergeCell ref="M390:N390"/>
    <mergeCell ref="K391:L391"/>
    <mergeCell ref="K395:L395"/>
    <mergeCell ref="K399:L399"/>
    <mergeCell ref="K403:L403"/>
    <mergeCell ref="K407:L407"/>
    <mergeCell ref="M407:N407"/>
    <mergeCell ref="K408:L408"/>
    <mergeCell ref="M408:N408"/>
    <mergeCell ref="K409:L409"/>
    <mergeCell ref="K413:L413"/>
    <mergeCell ref="K417:L417"/>
    <mergeCell ref="K421:L421"/>
    <mergeCell ref="K425:L425"/>
    <mergeCell ref="M425:N425"/>
    <mergeCell ref="K426:L426"/>
    <mergeCell ref="M426:N426"/>
    <mergeCell ref="K427:L427"/>
    <mergeCell ref="K431:L431"/>
    <mergeCell ref="K435:L435"/>
    <mergeCell ref="K439:L439"/>
    <mergeCell ref="K443:L443"/>
    <mergeCell ref="M443:N443"/>
    <mergeCell ref="K444:L444"/>
    <mergeCell ref="M444:N444"/>
    <mergeCell ref="K445:L445"/>
    <mergeCell ref="K487:L487"/>
    <mergeCell ref="M487:N487"/>
    <mergeCell ref="K500:L500"/>
    <mergeCell ref="M500:N500"/>
    <mergeCell ref="K513:L513"/>
    <mergeCell ref="M513:N513"/>
    <mergeCell ref="M526:N526"/>
    <mergeCell ref="K578:L578"/>
    <mergeCell ref="M578:N578"/>
    <mergeCell ref="K526:L526"/>
    <mergeCell ref="K539:L539"/>
    <mergeCell ref="M539:N539"/>
    <mergeCell ref="K552:L552"/>
    <mergeCell ref="M552:N552"/>
    <mergeCell ref="K565:L565"/>
    <mergeCell ref="M565:N565"/>
  </mergeCells>
  <printOptions/>
  <pageMargins bottom="1.025" footer="0.0" header="0.0" left="0.7875" right="0.7875" top="1.025"/>
  <pageSetup paperSize="9" orientation="portrait"/>
  <headerFooter>
    <oddHeader>&amp;C&amp;A</oddHeader>
    <oddFooter>&amp;CPágina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3.63"/>
    <col customWidth="1" min="2" max="2" width="21.0"/>
    <col customWidth="1" min="3" max="3" width="12.13"/>
    <col customWidth="1" min="4" max="4" width="2.88"/>
    <col customWidth="1" min="5" max="9" width="5.63"/>
    <col customWidth="1" min="10" max="10" width="5.75"/>
    <col customWidth="1" min="11" max="11" width="15.5"/>
    <col customWidth="1" min="12" max="12" width="11.38"/>
    <col customWidth="1" min="13" max="13" width="19.5"/>
    <col customWidth="1" min="14" max="14" width="7.63"/>
  </cols>
  <sheetData>
    <row r="1" ht="35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13.5" customHeight="1">
      <c r="A2" s="4" t="s">
        <v>163</v>
      </c>
      <c r="N2" s="5"/>
    </row>
    <row r="3" ht="13.5" customHeight="1">
      <c r="A3" s="6" t="s">
        <v>2</v>
      </c>
      <c r="B3" s="7" t="s">
        <v>3</v>
      </c>
      <c r="C3" s="8" t="s">
        <v>4</v>
      </c>
      <c r="D3" s="9">
        <v>2026.0</v>
      </c>
      <c r="E3" s="10"/>
      <c r="F3" s="11" t="s">
        <v>5</v>
      </c>
      <c r="K3" s="12">
        <f>COUNTA(A13,A31,A49,A67,A85,A103,A121,A139,A157,A175,A193,A211,A229,A247,A265,A283,A301,A319,A337,A355,A373,A391,A409,A427,A445)</f>
        <v>0</v>
      </c>
      <c r="L3" s="13"/>
    </row>
    <row r="4" ht="13.5" customHeight="1">
      <c r="A4" s="14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6"/>
    </row>
    <row r="5" ht="13.5" customHeight="1">
      <c r="A5" s="17" t="s">
        <v>6</v>
      </c>
      <c r="D5" s="5"/>
      <c r="E5" s="18" t="s">
        <v>7</v>
      </c>
      <c r="F5" s="19" t="s">
        <v>8</v>
      </c>
      <c r="G5" s="18" t="s">
        <v>9</v>
      </c>
      <c r="H5" s="18" t="s">
        <v>10</v>
      </c>
      <c r="I5" s="18" t="s">
        <v>11</v>
      </c>
      <c r="J5" s="19" t="s">
        <v>12</v>
      </c>
      <c r="K5" s="20"/>
      <c r="L5" s="21"/>
      <c r="M5" s="21"/>
      <c r="N5" s="22"/>
    </row>
    <row r="6" ht="13.5" customHeight="1">
      <c r="A6" s="23" t="s">
        <v>13</v>
      </c>
      <c r="B6" s="24"/>
      <c r="C6" s="24"/>
      <c r="D6" s="25"/>
      <c r="E6" s="26">
        <v>17.0</v>
      </c>
      <c r="F6" s="27">
        <v>27.0</v>
      </c>
      <c r="G6" s="27">
        <v>27.0</v>
      </c>
      <c r="H6" s="27">
        <v>27.0</v>
      </c>
      <c r="I6" s="27">
        <v>32.0</v>
      </c>
      <c r="J6" s="28">
        <v>37.0</v>
      </c>
      <c r="K6" s="29"/>
      <c r="L6" s="29"/>
      <c r="M6" s="29"/>
      <c r="N6" s="30"/>
    </row>
    <row r="7" ht="13.5" customHeight="1">
      <c r="A7" s="31" t="s">
        <v>14</v>
      </c>
      <c r="B7" s="25"/>
      <c r="C7" s="32" t="s">
        <v>15</v>
      </c>
      <c r="D7" s="33"/>
      <c r="E7" s="34"/>
      <c r="F7" s="35"/>
      <c r="G7" s="35"/>
      <c r="H7" s="35"/>
      <c r="I7" s="35"/>
      <c r="J7" s="36"/>
      <c r="K7" s="37"/>
      <c r="N7" s="5"/>
    </row>
    <row r="8" ht="13.5" customHeight="1">
      <c r="A8" s="31" t="s">
        <v>16</v>
      </c>
      <c r="B8" s="25"/>
      <c r="C8" s="32" t="s">
        <v>15</v>
      </c>
      <c r="D8" s="33"/>
      <c r="E8" s="34"/>
      <c r="F8" s="35"/>
      <c r="G8" s="35"/>
      <c r="H8" s="35"/>
      <c r="I8" s="35"/>
      <c r="J8" s="36"/>
      <c r="K8" s="38"/>
      <c r="N8" s="5"/>
    </row>
    <row r="9" ht="13.5" customHeight="1">
      <c r="A9" s="31" t="s">
        <v>17</v>
      </c>
      <c r="B9" s="25"/>
      <c r="C9" s="32" t="s">
        <v>15</v>
      </c>
      <c r="D9" s="33"/>
      <c r="E9" s="39"/>
      <c r="F9" s="35">
        <v>47.0</v>
      </c>
      <c r="G9" s="35">
        <v>25.0</v>
      </c>
      <c r="H9" s="35">
        <v>28.0</v>
      </c>
      <c r="I9" s="35">
        <v>24.0</v>
      </c>
      <c r="J9" s="36">
        <v>37.0</v>
      </c>
      <c r="K9" s="38"/>
      <c r="N9" s="5"/>
    </row>
    <row r="10" ht="13.5" customHeight="1">
      <c r="A10" s="31" t="s">
        <v>18</v>
      </c>
      <c r="B10" s="25"/>
      <c r="C10" s="32" t="s">
        <v>15</v>
      </c>
      <c r="D10" s="33"/>
      <c r="E10" s="34"/>
      <c r="F10" s="34"/>
      <c r="G10" s="34"/>
      <c r="H10" s="34"/>
      <c r="I10" s="34"/>
      <c r="J10" s="40"/>
      <c r="K10" s="38"/>
      <c r="N10" s="5"/>
    </row>
    <row r="11" ht="13.5" customHeight="1">
      <c r="A11" s="41" t="s">
        <v>19</v>
      </c>
      <c r="B11" s="42" t="s">
        <v>20</v>
      </c>
      <c r="C11" s="24"/>
      <c r="D11" s="33"/>
      <c r="E11" s="43">
        <f t="shared" ref="E11:J11" si="1">E6</f>
        <v>17</v>
      </c>
      <c r="F11" s="43">
        <f t="shared" si="1"/>
        <v>27</v>
      </c>
      <c r="G11" s="43">
        <f t="shared" si="1"/>
        <v>27</v>
      </c>
      <c r="H11" s="43">
        <f t="shared" si="1"/>
        <v>27</v>
      </c>
      <c r="I11" s="43">
        <f t="shared" si="1"/>
        <v>32</v>
      </c>
      <c r="J11" s="44">
        <f t="shared" si="1"/>
        <v>37</v>
      </c>
      <c r="K11" s="42" t="s">
        <v>21</v>
      </c>
      <c r="L11" s="25"/>
      <c r="M11" s="45" t="s">
        <v>22</v>
      </c>
      <c r="N11" s="25"/>
    </row>
    <row r="12" ht="13.5" customHeight="1">
      <c r="A12" s="46" t="s">
        <v>23</v>
      </c>
      <c r="B12" s="47" t="s">
        <v>24</v>
      </c>
      <c r="C12" s="32" t="s">
        <v>25</v>
      </c>
      <c r="D12" s="33"/>
      <c r="E12" s="48"/>
      <c r="F12" s="48"/>
      <c r="G12" s="48"/>
      <c r="H12" s="48"/>
      <c r="I12" s="48"/>
      <c r="J12" s="48"/>
      <c r="K12" s="49"/>
      <c r="L12" s="25"/>
      <c r="M12" s="50"/>
      <c r="N12" s="10"/>
    </row>
    <row r="13" ht="15.0" customHeight="1">
      <c r="A13" s="92"/>
      <c r="B13" s="52" t="s">
        <v>26</v>
      </c>
      <c r="C13" s="53" t="s">
        <v>27</v>
      </c>
      <c r="D13" s="54"/>
      <c r="E13" s="55">
        <f t="shared" ref="E13:J13" si="2">E12-E14</f>
        <v>0</v>
      </c>
      <c r="F13" s="55">
        <f t="shared" si="2"/>
        <v>0</v>
      </c>
      <c r="G13" s="55">
        <f t="shared" si="2"/>
        <v>0</v>
      </c>
      <c r="H13" s="55">
        <f t="shared" si="2"/>
        <v>-2</v>
      </c>
      <c r="I13" s="55">
        <f t="shared" si="2"/>
        <v>0</v>
      </c>
      <c r="J13" s="55">
        <f t="shared" si="2"/>
        <v>-1</v>
      </c>
      <c r="K13" s="56"/>
      <c r="L13" s="30"/>
      <c r="M13" s="57" t="s">
        <v>28</v>
      </c>
      <c r="N13" s="58" t="b">
        <v>0</v>
      </c>
    </row>
    <row r="14" ht="13.5" customHeight="1">
      <c r="A14" s="46" t="s">
        <v>29</v>
      </c>
      <c r="B14" s="59"/>
      <c r="C14" s="53" t="s">
        <v>30</v>
      </c>
      <c r="D14" s="54"/>
      <c r="E14" s="60"/>
      <c r="F14" s="60"/>
      <c r="G14" s="60"/>
      <c r="H14" s="84">
        <v>2.0</v>
      </c>
      <c r="I14" s="60"/>
      <c r="J14" s="84">
        <v>1.0</v>
      </c>
      <c r="K14" s="61" t="s">
        <v>30</v>
      </c>
      <c r="L14" s="62">
        <f>(E14*E11)+(F14*F11)+(G14*G11)+(H14*H11)+(I14*I11)+(J14*J11)</f>
        <v>91</v>
      </c>
      <c r="M14" s="57" t="s">
        <v>31</v>
      </c>
      <c r="N14" s="63" t="b">
        <v>0</v>
      </c>
    </row>
    <row r="15" ht="13.5" customHeight="1">
      <c r="A15" s="64" t="s">
        <v>164</v>
      </c>
      <c r="B15" s="65" t="s">
        <v>33</v>
      </c>
      <c r="C15" s="53" t="s">
        <v>34</v>
      </c>
      <c r="D15" s="54"/>
      <c r="E15" s="66"/>
      <c r="F15" s="66"/>
      <c r="G15" s="76">
        <v>2.0</v>
      </c>
      <c r="H15" s="76">
        <v>2.0</v>
      </c>
      <c r="I15" s="76">
        <v>2.0</v>
      </c>
      <c r="J15" s="76">
        <v>2.0</v>
      </c>
      <c r="K15" s="67" t="s">
        <v>35</v>
      </c>
      <c r="L15" s="62">
        <f>(E15*E11)+(F15*F11)+(G15*G11)+(H15*H11)+(I15*I11)+(J15*J11)</f>
        <v>246</v>
      </c>
      <c r="M15" s="57" t="s">
        <v>36</v>
      </c>
      <c r="N15" s="63" t="b">
        <v>0</v>
      </c>
    </row>
    <row r="16" ht="13.5" customHeight="1">
      <c r="A16" s="68"/>
      <c r="B16" s="69">
        <f>IFS(L16=0,"",B16&lt;&gt;"",B16,TRUE,NOW())</f>
        <v>46141.4875</v>
      </c>
      <c r="C16" s="70" t="s">
        <v>37</v>
      </c>
      <c r="D16" s="33"/>
      <c r="E16" s="71"/>
      <c r="F16" s="71"/>
      <c r="G16" s="71"/>
      <c r="H16" s="71"/>
      <c r="I16" s="71"/>
      <c r="J16" s="71"/>
      <c r="K16" s="72" t="s">
        <v>38</v>
      </c>
      <c r="L16" s="73">
        <f>L15-L14</f>
        <v>155</v>
      </c>
      <c r="M16" s="74" t="s">
        <v>39</v>
      </c>
      <c r="N16" s="75" t="b">
        <v>0</v>
      </c>
    </row>
    <row r="17" ht="15.0" customHeight="1">
      <c r="A17" s="46" t="s">
        <v>40</v>
      </c>
      <c r="B17" s="52" t="s">
        <v>26</v>
      </c>
      <c r="C17" s="53" t="s">
        <v>27</v>
      </c>
      <c r="D17" s="54"/>
      <c r="E17" s="55">
        <f t="shared" ref="E17:J17" si="3">E15-E18</f>
        <v>0</v>
      </c>
      <c r="F17" s="55">
        <f t="shared" si="3"/>
        <v>0</v>
      </c>
      <c r="G17" s="55">
        <f t="shared" si="3"/>
        <v>2</v>
      </c>
      <c r="H17" s="55">
        <f t="shared" si="3"/>
        <v>2</v>
      </c>
      <c r="I17" s="55">
        <f t="shared" si="3"/>
        <v>2</v>
      </c>
      <c r="J17" s="55">
        <f t="shared" si="3"/>
        <v>2</v>
      </c>
      <c r="K17" s="56"/>
      <c r="L17" s="30"/>
      <c r="M17" s="57" t="s">
        <v>28</v>
      </c>
      <c r="N17" s="58" t="b">
        <v>0</v>
      </c>
    </row>
    <row r="18" ht="13.5" customHeight="1">
      <c r="A18" s="64"/>
      <c r="B18" s="59"/>
      <c r="C18" s="53" t="s">
        <v>30</v>
      </c>
      <c r="D18" s="54"/>
      <c r="E18" s="60"/>
      <c r="F18" s="60"/>
      <c r="G18" s="60"/>
      <c r="H18" s="60"/>
      <c r="I18" s="60"/>
      <c r="J18" s="60"/>
      <c r="K18" s="61" t="s">
        <v>30</v>
      </c>
      <c r="L18" s="62">
        <f>(E18*E11)+(F18*F11)+(G18*G11)+(H18*H11)+(I18*I11)+(J18*J11)</f>
        <v>0</v>
      </c>
      <c r="M18" s="57" t="s">
        <v>31</v>
      </c>
      <c r="N18" s="63" t="b">
        <v>0</v>
      </c>
    </row>
    <row r="19" ht="13.5" customHeight="1">
      <c r="A19" s="68"/>
      <c r="B19" s="65" t="s">
        <v>42</v>
      </c>
      <c r="C19" s="53" t="s">
        <v>34</v>
      </c>
      <c r="D19" s="54"/>
      <c r="E19" s="66"/>
      <c r="F19" s="76"/>
      <c r="G19" s="76"/>
      <c r="H19" s="76"/>
      <c r="I19" s="76"/>
      <c r="J19" s="76"/>
      <c r="K19" s="67" t="s">
        <v>35</v>
      </c>
      <c r="L19" s="62">
        <f>(E19*E11)+(F19*F11)+(G19*G11)+(H19*H11)+(I19*I11)+(J19*J11)</f>
        <v>0</v>
      </c>
      <c r="M19" s="57" t="s">
        <v>36</v>
      </c>
      <c r="N19" s="63" t="b">
        <v>0</v>
      </c>
    </row>
    <row r="20" ht="13.5" customHeight="1">
      <c r="A20" s="46" t="s">
        <v>43</v>
      </c>
      <c r="B20" s="69" t="str">
        <f>IFS(L20=0,"",B20&lt;&gt;"",B20,TRUE,NOW())</f>
        <v/>
      </c>
      <c r="C20" s="70" t="s">
        <v>37</v>
      </c>
      <c r="D20" s="33"/>
      <c r="E20" s="71"/>
      <c r="F20" s="71"/>
      <c r="G20" s="71"/>
      <c r="H20" s="71"/>
      <c r="I20" s="71"/>
      <c r="J20" s="71"/>
      <c r="K20" s="72" t="s">
        <v>38</v>
      </c>
      <c r="L20" s="73">
        <f>L19-L18</f>
        <v>0</v>
      </c>
      <c r="M20" s="74" t="s">
        <v>39</v>
      </c>
      <c r="N20" s="75" t="b">
        <v>0</v>
      </c>
    </row>
    <row r="21" ht="13.5" customHeight="1">
      <c r="A21" s="64"/>
      <c r="B21" s="52" t="s">
        <v>26</v>
      </c>
      <c r="C21" s="53" t="s">
        <v>27</v>
      </c>
      <c r="D21" s="54"/>
      <c r="E21" s="55">
        <f t="shared" ref="E21:J21" si="4">E19-E22</f>
        <v>0</v>
      </c>
      <c r="F21" s="55">
        <f t="shared" si="4"/>
        <v>0</v>
      </c>
      <c r="G21" s="55">
        <f t="shared" si="4"/>
        <v>0</v>
      </c>
      <c r="H21" s="55">
        <f t="shared" si="4"/>
        <v>-1</v>
      </c>
      <c r="I21" s="55">
        <f t="shared" si="4"/>
        <v>-2</v>
      </c>
      <c r="J21" s="55">
        <f t="shared" si="4"/>
        <v>0</v>
      </c>
      <c r="K21" s="56"/>
      <c r="L21" s="30"/>
      <c r="M21" s="57" t="s">
        <v>28</v>
      </c>
      <c r="N21" s="58" t="b">
        <v>0</v>
      </c>
    </row>
    <row r="22" ht="13.5" customHeight="1">
      <c r="A22" s="46" t="s">
        <v>45</v>
      </c>
      <c r="B22" s="59"/>
      <c r="C22" s="53" t="s">
        <v>30</v>
      </c>
      <c r="D22" s="54"/>
      <c r="E22" s="60"/>
      <c r="F22" s="60"/>
      <c r="G22" s="60"/>
      <c r="H22" s="84">
        <v>1.0</v>
      </c>
      <c r="I22" s="84">
        <v>2.0</v>
      </c>
      <c r="J22" s="60"/>
      <c r="K22" s="61" t="s">
        <v>30</v>
      </c>
      <c r="L22" s="62">
        <f>(E22*E11)+(F22*F11)+(G22*G11)+(H22*H11)+(I22*I11)+(J22*J11)</f>
        <v>91</v>
      </c>
      <c r="M22" s="57" t="s">
        <v>31</v>
      </c>
      <c r="N22" s="63" t="b">
        <v>0</v>
      </c>
    </row>
    <row r="23" ht="13.5" customHeight="1">
      <c r="A23" s="77"/>
      <c r="B23" s="65" t="s">
        <v>47</v>
      </c>
      <c r="C23" s="53" t="s">
        <v>34</v>
      </c>
      <c r="D23" s="54"/>
      <c r="E23" s="66"/>
      <c r="F23" s="76">
        <v>3.0</v>
      </c>
      <c r="G23" s="76">
        <v>3.0</v>
      </c>
      <c r="H23" s="76">
        <v>3.0</v>
      </c>
      <c r="I23" s="76">
        <v>3.0</v>
      </c>
      <c r="J23" s="76">
        <v>3.0</v>
      </c>
      <c r="K23" s="67" t="s">
        <v>35</v>
      </c>
      <c r="L23" s="62">
        <f>(E23*E11)+(F23*F11)+(G23*G11)+(H23*H11)+(I23*I11)+(J23*J11)</f>
        <v>450</v>
      </c>
      <c r="M23" s="57" t="s">
        <v>36</v>
      </c>
      <c r="N23" s="63" t="b">
        <v>0</v>
      </c>
    </row>
    <row r="24" ht="15.0" customHeight="1">
      <c r="A24" s="68"/>
      <c r="B24" s="69">
        <f>IFS(L24=0,"",B24&lt;&gt;"",B24,TRUE,NOW())</f>
        <v>46155.54193</v>
      </c>
      <c r="C24" s="70" t="s">
        <v>37</v>
      </c>
      <c r="D24" s="33"/>
      <c r="E24" s="71"/>
      <c r="F24" s="71"/>
      <c r="G24" s="71"/>
      <c r="H24" s="71"/>
      <c r="I24" s="71"/>
      <c r="J24" s="71"/>
      <c r="K24" s="72" t="s">
        <v>38</v>
      </c>
      <c r="L24" s="73">
        <f>L23-L22</f>
        <v>359</v>
      </c>
      <c r="M24" s="74" t="s">
        <v>39</v>
      </c>
      <c r="N24" s="75" t="b">
        <v>0</v>
      </c>
    </row>
    <row r="25" ht="13.5" customHeight="1">
      <c r="A25" s="78" t="s">
        <v>48</v>
      </c>
      <c r="B25" s="52" t="s">
        <v>26</v>
      </c>
      <c r="C25" s="53" t="s">
        <v>27</v>
      </c>
      <c r="D25" s="54"/>
      <c r="E25" s="55">
        <f t="shared" ref="E25:J25" si="5">E23-E26</f>
        <v>0</v>
      </c>
      <c r="F25" s="55">
        <f t="shared" si="5"/>
        <v>3</v>
      </c>
      <c r="G25" s="55">
        <f t="shared" si="5"/>
        <v>3</v>
      </c>
      <c r="H25" s="55">
        <f t="shared" si="5"/>
        <v>3</v>
      </c>
      <c r="I25" s="55">
        <f t="shared" si="5"/>
        <v>3</v>
      </c>
      <c r="J25" s="55">
        <f t="shared" si="5"/>
        <v>3</v>
      </c>
      <c r="K25" s="56"/>
      <c r="L25" s="30"/>
      <c r="M25" s="57" t="s">
        <v>28</v>
      </c>
      <c r="N25" s="58" t="b">
        <v>0</v>
      </c>
    </row>
    <row r="26" ht="13.5" customHeight="1">
      <c r="A26" s="87"/>
      <c r="B26" s="59"/>
      <c r="C26" s="53" t="s">
        <v>30</v>
      </c>
      <c r="D26" s="54"/>
      <c r="E26" s="60"/>
      <c r="F26" s="60"/>
      <c r="G26" s="60"/>
      <c r="H26" s="60"/>
      <c r="I26" s="60"/>
      <c r="J26" s="60"/>
      <c r="K26" s="61" t="s">
        <v>30</v>
      </c>
      <c r="L26" s="62">
        <f>(E26*E11)+(F26*F11)+(G26*G11)+(H26*H11)+(I26*I11)+(J26*J11)</f>
        <v>0</v>
      </c>
      <c r="M26" s="57" t="s">
        <v>31</v>
      </c>
      <c r="N26" s="63" t="b">
        <v>0</v>
      </c>
    </row>
    <row r="27" ht="13.5" customHeight="1">
      <c r="A27" s="68"/>
      <c r="B27" s="65" t="s">
        <v>49</v>
      </c>
      <c r="C27" s="53" t="s">
        <v>34</v>
      </c>
      <c r="D27" s="54"/>
      <c r="E27" s="66"/>
      <c r="F27" s="66"/>
      <c r="G27" s="66"/>
      <c r="H27" s="66"/>
      <c r="I27" s="66"/>
      <c r="J27" s="66"/>
      <c r="K27" s="67" t="s">
        <v>35</v>
      </c>
      <c r="L27" s="62">
        <f>(E27*E11)+(F27*F11)+(G27*G11)+(H27*H11)+(I27*I11)+(J27*J11)</f>
        <v>0</v>
      </c>
      <c r="M27" s="57" t="s">
        <v>36</v>
      </c>
      <c r="N27" s="63" t="b">
        <v>0</v>
      </c>
    </row>
    <row r="28" ht="13.5" customHeight="1">
      <c r="A28" s="80"/>
      <c r="B28" s="69" t="str">
        <f>IFS(L28=0,"",B28&lt;&gt;"",B28,TRUE,NOW())</f>
        <v/>
      </c>
      <c r="C28" s="53" t="s">
        <v>37</v>
      </c>
      <c r="D28" s="54"/>
      <c r="E28" s="81"/>
      <c r="F28" s="81"/>
      <c r="G28" s="81"/>
      <c r="H28" s="82"/>
      <c r="I28" s="81"/>
      <c r="J28" s="81"/>
      <c r="K28" s="72" t="s">
        <v>38</v>
      </c>
      <c r="L28" s="73">
        <f>L27-L26</f>
        <v>0</v>
      </c>
      <c r="M28" s="74" t="s">
        <v>39</v>
      </c>
      <c r="N28" s="75" t="b">
        <v>0</v>
      </c>
    </row>
    <row r="29" ht="13.5" customHeight="1">
      <c r="A29" s="83" t="s">
        <v>50</v>
      </c>
      <c r="B29" s="42" t="s">
        <v>20</v>
      </c>
      <c r="C29" s="24"/>
      <c r="D29" s="33"/>
      <c r="E29" s="43">
        <f t="shared" ref="E29:J29" si="6">E6</f>
        <v>17</v>
      </c>
      <c r="F29" s="43">
        <f t="shared" si="6"/>
        <v>27</v>
      </c>
      <c r="G29" s="43">
        <f t="shared" si="6"/>
        <v>27</v>
      </c>
      <c r="H29" s="43">
        <f t="shared" si="6"/>
        <v>27</v>
      </c>
      <c r="I29" s="43">
        <f t="shared" si="6"/>
        <v>32</v>
      </c>
      <c r="J29" s="44">
        <f t="shared" si="6"/>
        <v>37</v>
      </c>
      <c r="K29" s="42" t="s">
        <v>21</v>
      </c>
      <c r="L29" s="25"/>
      <c r="M29" s="45" t="s">
        <v>22</v>
      </c>
      <c r="N29" s="25"/>
    </row>
    <row r="30" ht="13.5" customHeight="1">
      <c r="A30" s="46" t="s">
        <v>23</v>
      </c>
      <c r="B30" s="47" t="s">
        <v>24</v>
      </c>
      <c r="C30" s="32" t="s">
        <v>25</v>
      </c>
      <c r="D30" s="33"/>
      <c r="E30" s="48"/>
      <c r="F30" s="48"/>
      <c r="G30" s="48"/>
      <c r="H30" s="48"/>
      <c r="I30" s="48"/>
      <c r="J30" s="48"/>
      <c r="K30" s="49"/>
      <c r="L30" s="25"/>
      <c r="M30" s="50"/>
      <c r="N30" s="10"/>
    </row>
    <row r="31" ht="15.0" customHeight="1">
      <c r="A31" s="92"/>
      <c r="B31" s="52" t="s">
        <v>51</v>
      </c>
      <c r="C31" s="53" t="s">
        <v>27</v>
      </c>
      <c r="D31" s="54"/>
      <c r="E31" s="55">
        <f t="shared" ref="E31:J31" si="7">E30-E32</f>
        <v>0</v>
      </c>
      <c r="F31" s="55">
        <f t="shared" si="7"/>
        <v>0</v>
      </c>
      <c r="G31" s="55">
        <f t="shared" si="7"/>
        <v>0</v>
      </c>
      <c r="H31" s="55">
        <f t="shared" si="7"/>
        <v>0</v>
      </c>
      <c r="I31" s="55">
        <f t="shared" si="7"/>
        <v>-1</v>
      </c>
      <c r="J31" s="55">
        <f t="shared" si="7"/>
        <v>-2</v>
      </c>
      <c r="K31" s="56"/>
      <c r="L31" s="30"/>
      <c r="M31" s="57" t="s">
        <v>28</v>
      </c>
      <c r="N31" s="58" t="b">
        <v>0</v>
      </c>
    </row>
    <row r="32" ht="13.5" customHeight="1">
      <c r="A32" s="46" t="s">
        <v>29</v>
      </c>
      <c r="B32" s="59"/>
      <c r="C32" s="53" t="s">
        <v>30</v>
      </c>
      <c r="D32" s="54"/>
      <c r="E32" s="60"/>
      <c r="F32" s="60"/>
      <c r="G32" s="60"/>
      <c r="H32" s="60"/>
      <c r="I32" s="84">
        <v>1.0</v>
      </c>
      <c r="J32" s="84">
        <v>2.0</v>
      </c>
      <c r="K32" s="61" t="s">
        <v>30</v>
      </c>
      <c r="L32" s="62">
        <f>(E32*E29)+(F32*F29)+(G32*G29)+(H32*H29)+(I32*I29)+(J32*J29)</f>
        <v>106</v>
      </c>
      <c r="M32" s="57" t="s">
        <v>31</v>
      </c>
      <c r="N32" s="63" t="b">
        <v>0</v>
      </c>
    </row>
    <row r="33" ht="13.5" customHeight="1">
      <c r="A33" s="64" t="s">
        <v>165</v>
      </c>
      <c r="B33" s="65" t="s">
        <v>33</v>
      </c>
      <c r="C33" s="53" t="s">
        <v>34</v>
      </c>
      <c r="D33" s="54"/>
      <c r="E33" s="66"/>
      <c r="F33" s="76">
        <v>2.0</v>
      </c>
      <c r="G33" s="76">
        <v>2.0</v>
      </c>
      <c r="H33" s="66"/>
      <c r="I33" s="76">
        <v>1.0</v>
      </c>
      <c r="J33" s="76">
        <v>4.0</v>
      </c>
      <c r="K33" s="67" t="s">
        <v>35</v>
      </c>
      <c r="L33" s="62">
        <f>(E33*E29)+(F33*F29)+(G33*G29)+(H33*H29)+(I33*I29)+(J33*J29)</f>
        <v>288</v>
      </c>
      <c r="M33" s="57" t="s">
        <v>36</v>
      </c>
      <c r="N33" s="63" t="b">
        <v>0</v>
      </c>
    </row>
    <row r="34" ht="13.5" customHeight="1">
      <c r="A34" s="68"/>
      <c r="B34" s="69">
        <f>IFS(L34=0,"",B34&lt;&gt;"",B34,TRUE,NOW())</f>
        <v>46141.48778</v>
      </c>
      <c r="C34" s="70" t="s">
        <v>37</v>
      </c>
      <c r="D34" s="33"/>
      <c r="E34" s="71"/>
      <c r="F34" s="71"/>
      <c r="G34" s="71"/>
      <c r="H34" s="71"/>
      <c r="I34" s="71"/>
      <c r="J34" s="71"/>
      <c r="K34" s="72" t="s">
        <v>38</v>
      </c>
      <c r="L34" s="73">
        <f>L33-L32</f>
        <v>182</v>
      </c>
      <c r="M34" s="74" t="s">
        <v>39</v>
      </c>
      <c r="N34" s="75" t="b">
        <v>0</v>
      </c>
    </row>
    <row r="35" ht="13.5" customHeight="1">
      <c r="A35" s="46" t="s">
        <v>40</v>
      </c>
      <c r="B35" s="52" t="s">
        <v>51</v>
      </c>
      <c r="C35" s="53" t="s">
        <v>27</v>
      </c>
      <c r="D35" s="54"/>
      <c r="E35" s="55">
        <f t="shared" ref="E35:J35" si="8">E33-E36</f>
        <v>0</v>
      </c>
      <c r="F35" s="55">
        <f t="shared" si="8"/>
        <v>1</v>
      </c>
      <c r="G35" s="55">
        <f t="shared" si="8"/>
        <v>1</v>
      </c>
      <c r="H35" s="55">
        <f t="shared" si="8"/>
        <v>-1</v>
      </c>
      <c r="I35" s="55">
        <f t="shared" si="8"/>
        <v>0</v>
      </c>
      <c r="J35" s="55">
        <f t="shared" si="8"/>
        <v>0</v>
      </c>
      <c r="K35" s="56"/>
      <c r="L35" s="30"/>
      <c r="M35" s="57" t="s">
        <v>28</v>
      </c>
      <c r="N35" s="58" t="b">
        <v>0</v>
      </c>
    </row>
    <row r="36" ht="15.0" customHeight="1">
      <c r="A36" s="64"/>
      <c r="B36" s="59"/>
      <c r="C36" s="53" t="s">
        <v>30</v>
      </c>
      <c r="D36" s="54"/>
      <c r="E36" s="60"/>
      <c r="F36" s="84">
        <v>1.0</v>
      </c>
      <c r="G36" s="84">
        <v>1.0</v>
      </c>
      <c r="H36" s="84">
        <v>1.0</v>
      </c>
      <c r="I36" s="84">
        <v>1.0</v>
      </c>
      <c r="J36" s="84">
        <v>4.0</v>
      </c>
      <c r="K36" s="61" t="s">
        <v>30</v>
      </c>
      <c r="L36" s="62">
        <f>(E36*E29)+(F36*F29)+(G36*G29)+(H36*H29)+(I36*I29)+(J36*J29)</f>
        <v>261</v>
      </c>
      <c r="M36" s="57" t="s">
        <v>31</v>
      </c>
      <c r="N36" s="63" t="b">
        <v>0</v>
      </c>
    </row>
    <row r="37" ht="13.5" customHeight="1">
      <c r="A37" s="68"/>
      <c r="B37" s="65" t="s">
        <v>42</v>
      </c>
      <c r="C37" s="53" t="s">
        <v>34</v>
      </c>
      <c r="D37" s="54"/>
      <c r="E37" s="66"/>
      <c r="F37" s="76">
        <v>2.0</v>
      </c>
      <c r="G37" s="76">
        <v>2.0</v>
      </c>
      <c r="H37" s="76">
        <v>1.0</v>
      </c>
      <c r="I37" s="76">
        <v>1.0</v>
      </c>
      <c r="J37" s="76">
        <v>3.0</v>
      </c>
      <c r="K37" s="67" t="s">
        <v>35</v>
      </c>
      <c r="L37" s="62">
        <f>(E37*E29)+(F37*F29)+(G37*G29)+(H37*H29)+(I37*I29)+(J37*J29)</f>
        <v>278</v>
      </c>
      <c r="M37" s="57" t="s">
        <v>36</v>
      </c>
      <c r="N37" s="63" t="b">
        <v>0</v>
      </c>
    </row>
    <row r="38" ht="13.5" customHeight="1">
      <c r="A38" s="46" t="s">
        <v>43</v>
      </c>
      <c r="B38" s="69">
        <f>IFS(L38=0,"",B38&lt;&gt;"",B38,TRUE,NOW())</f>
        <v>46148.63321</v>
      </c>
      <c r="C38" s="70" t="s">
        <v>37</v>
      </c>
      <c r="D38" s="33"/>
      <c r="E38" s="71"/>
      <c r="F38" s="71"/>
      <c r="G38" s="71"/>
      <c r="H38" s="71"/>
      <c r="I38" s="71"/>
      <c r="J38" s="71"/>
      <c r="K38" s="72" t="s">
        <v>38</v>
      </c>
      <c r="L38" s="73">
        <f>L37-L36</f>
        <v>17</v>
      </c>
      <c r="M38" s="74" t="s">
        <v>39</v>
      </c>
      <c r="N38" s="75" t="b">
        <v>0</v>
      </c>
    </row>
    <row r="39" ht="13.5" customHeight="1">
      <c r="A39" s="64"/>
      <c r="B39" s="52" t="s">
        <v>51</v>
      </c>
      <c r="C39" s="53" t="s">
        <v>27</v>
      </c>
      <c r="D39" s="54"/>
      <c r="E39" s="55">
        <f t="shared" ref="E39:J39" si="9">E37-E40</f>
        <v>0</v>
      </c>
      <c r="F39" s="55">
        <f t="shared" si="9"/>
        <v>2</v>
      </c>
      <c r="G39" s="55">
        <f t="shared" si="9"/>
        <v>2</v>
      </c>
      <c r="H39" s="55">
        <f t="shared" si="9"/>
        <v>1</v>
      </c>
      <c r="I39" s="55">
        <f t="shared" si="9"/>
        <v>1</v>
      </c>
      <c r="J39" s="55">
        <f t="shared" si="9"/>
        <v>3</v>
      </c>
      <c r="K39" s="56"/>
      <c r="L39" s="30"/>
      <c r="M39" s="57" t="s">
        <v>28</v>
      </c>
      <c r="N39" s="58" t="b">
        <v>0</v>
      </c>
    </row>
    <row r="40" ht="13.5" customHeight="1">
      <c r="A40" s="46" t="s">
        <v>45</v>
      </c>
      <c r="B40" s="59"/>
      <c r="C40" s="53" t="s">
        <v>30</v>
      </c>
      <c r="D40" s="54"/>
      <c r="E40" s="60"/>
      <c r="F40" s="60"/>
      <c r="G40" s="60"/>
      <c r="H40" s="60"/>
      <c r="I40" s="60"/>
      <c r="J40" s="60"/>
      <c r="K40" s="61" t="s">
        <v>30</v>
      </c>
      <c r="L40" s="62">
        <f>(E40*E29)+(F40*F29)+(G40*G29)+(H40*H29)+(I40*I29)+(J40*J29)</f>
        <v>0</v>
      </c>
      <c r="M40" s="57" t="s">
        <v>31</v>
      </c>
      <c r="N40" s="63" t="b">
        <v>0</v>
      </c>
    </row>
    <row r="41" ht="15.0" customHeight="1">
      <c r="A41" s="77"/>
      <c r="B41" s="65" t="s">
        <v>47</v>
      </c>
      <c r="C41" s="53" t="s">
        <v>34</v>
      </c>
      <c r="D41" s="54"/>
      <c r="E41" s="66"/>
      <c r="F41" s="66"/>
      <c r="G41" s="66"/>
      <c r="H41" s="66"/>
      <c r="I41" s="66"/>
      <c r="J41" s="66"/>
      <c r="K41" s="67" t="s">
        <v>35</v>
      </c>
      <c r="L41" s="62">
        <f>(E41*E29)+(F41*F29)+(G41*G29)+(H41*H29)+(I41*I29)+(J41*J29)</f>
        <v>0</v>
      </c>
      <c r="M41" s="57" t="s">
        <v>36</v>
      </c>
      <c r="N41" s="63" t="b">
        <v>0</v>
      </c>
    </row>
    <row r="42" ht="13.5" customHeight="1">
      <c r="A42" s="68"/>
      <c r="B42" s="69" t="str">
        <f>IFS(L42=0,"",B42&lt;&gt;"",B42,TRUE,NOW())</f>
        <v/>
      </c>
      <c r="C42" s="70" t="s">
        <v>37</v>
      </c>
      <c r="D42" s="33"/>
      <c r="E42" s="71"/>
      <c r="F42" s="71"/>
      <c r="G42" s="71"/>
      <c r="H42" s="71"/>
      <c r="I42" s="71"/>
      <c r="J42" s="71"/>
      <c r="K42" s="72" t="s">
        <v>38</v>
      </c>
      <c r="L42" s="73">
        <f>L41-L40</f>
        <v>0</v>
      </c>
      <c r="M42" s="74" t="s">
        <v>39</v>
      </c>
      <c r="N42" s="75" t="b">
        <v>0</v>
      </c>
    </row>
    <row r="43" ht="13.5" customHeight="1">
      <c r="A43" s="78" t="s">
        <v>48</v>
      </c>
      <c r="B43" s="52" t="s">
        <v>51</v>
      </c>
      <c r="C43" s="53" t="s">
        <v>27</v>
      </c>
      <c r="D43" s="54"/>
      <c r="E43" s="55">
        <f t="shared" ref="E43:J43" si="10">E41-E44</f>
        <v>0</v>
      </c>
      <c r="F43" s="55">
        <f t="shared" si="10"/>
        <v>0</v>
      </c>
      <c r="G43" s="55">
        <f t="shared" si="10"/>
        <v>0</v>
      </c>
      <c r="H43" s="55">
        <f t="shared" si="10"/>
        <v>0</v>
      </c>
      <c r="I43" s="55">
        <f t="shared" si="10"/>
        <v>0</v>
      </c>
      <c r="J43" s="55">
        <f t="shared" si="10"/>
        <v>0</v>
      </c>
      <c r="K43" s="56"/>
      <c r="L43" s="30"/>
      <c r="M43" s="57" t="s">
        <v>28</v>
      </c>
      <c r="N43" s="58" t="b">
        <v>0</v>
      </c>
    </row>
    <row r="44" ht="13.5" customHeight="1">
      <c r="A44" s="87"/>
      <c r="B44" s="59"/>
      <c r="C44" s="53" t="s">
        <v>30</v>
      </c>
      <c r="D44" s="54"/>
      <c r="E44" s="60"/>
      <c r="F44" s="60"/>
      <c r="G44" s="60"/>
      <c r="H44" s="60"/>
      <c r="I44" s="60"/>
      <c r="J44" s="60"/>
      <c r="K44" s="61" t="s">
        <v>30</v>
      </c>
      <c r="L44" s="62">
        <f>(E44*E29)+(F44*F29)+(G44*G29)+(H44*H29)+(I44*I29)+(J44*J29)</f>
        <v>0</v>
      </c>
      <c r="M44" s="57" t="s">
        <v>31</v>
      </c>
      <c r="N44" s="63" t="b">
        <v>0</v>
      </c>
    </row>
    <row r="45" ht="13.5" customHeight="1">
      <c r="A45" s="68"/>
      <c r="B45" s="65" t="s">
        <v>49</v>
      </c>
      <c r="C45" s="53" t="s">
        <v>34</v>
      </c>
      <c r="D45" s="54"/>
      <c r="E45" s="66"/>
      <c r="F45" s="66"/>
      <c r="G45" s="66"/>
      <c r="H45" s="66"/>
      <c r="I45" s="66"/>
      <c r="J45" s="66"/>
      <c r="K45" s="67" t="s">
        <v>35</v>
      </c>
      <c r="L45" s="62">
        <f>(E45*E29)+(F45*F29)+(G45*G29)+(H45*H29)+(I45*I29)+(J45*J29)</f>
        <v>0</v>
      </c>
      <c r="M45" s="57" t="s">
        <v>36</v>
      </c>
      <c r="N45" s="63" t="b">
        <v>0</v>
      </c>
    </row>
    <row r="46" ht="15.0" customHeight="1">
      <c r="A46" s="80"/>
      <c r="B46" s="69" t="str">
        <f>IFS(L46=0,"",B46&lt;&gt;"",B46,TRUE,NOW())</f>
        <v/>
      </c>
      <c r="C46" s="53" t="s">
        <v>37</v>
      </c>
      <c r="D46" s="54"/>
      <c r="E46" s="81"/>
      <c r="F46" s="81"/>
      <c r="G46" s="81"/>
      <c r="H46" s="82"/>
      <c r="I46" s="81"/>
      <c r="J46" s="81"/>
      <c r="K46" s="72" t="s">
        <v>38</v>
      </c>
      <c r="L46" s="73">
        <f>L45-L44</f>
        <v>0</v>
      </c>
      <c r="M46" s="74" t="s">
        <v>39</v>
      </c>
      <c r="N46" s="75" t="b">
        <v>0</v>
      </c>
    </row>
    <row r="47" ht="13.5" customHeight="1">
      <c r="A47" s="83" t="s">
        <v>56</v>
      </c>
      <c r="B47" s="42" t="s">
        <v>20</v>
      </c>
      <c r="C47" s="24"/>
      <c r="D47" s="33"/>
      <c r="E47" s="43">
        <f t="shared" ref="E47:J47" si="11">E6</f>
        <v>17</v>
      </c>
      <c r="F47" s="43">
        <f t="shared" si="11"/>
        <v>27</v>
      </c>
      <c r="G47" s="43">
        <f t="shared" si="11"/>
        <v>27</v>
      </c>
      <c r="H47" s="43">
        <f t="shared" si="11"/>
        <v>27</v>
      </c>
      <c r="I47" s="43">
        <f t="shared" si="11"/>
        <v>32</v>
      </c>
      <c r="J47" s="44">
        <f t="shared" si="11"/>
        <v>37</v>
      </c>
      <c r="K47" s="42" t="s">
        <v>21</v>
      </c>
      <c r="L47" s="25"/>
      <c r="M47" s="45" t="s">
        <v>22</v>
      </c>
      <c r="N47" s="25"/>
    </row>
    <row r="48" ht="13.5" customHeight="1">
      <c r="A48" s="46" t="s">
        <v>23</v>
      </c>
      <c r="B48" s="47" t="s">
        <v>24</v>
      </c>
      <c r="C48" s="32" t="s">
        <v>25</v>
      </c>
      <c r="D48" s="33"/>
      <c r="E48" s="48"/>
      <c r="F48" s="48"/>
      <c r="G48" s="48"/>
      <c r="H48" s="48"/>
      <c r="I48" s="48"/>
      <c r="J48" s="48"/>
      <c r="K48" s="49"/>
      <c r="L48" s="25"/>
      <c r="M48" s="50"/>
      <c r="N48" s="10"/>
    </row>
    <row r="49" ht="13.5" customHeight="1">
      <c r="A49" s="92"/>
      <c r="B49" s="52" t="s">
        <v>57</v>
      </c>
      <c r="C49" s="53" t="s">
        <v>27</v>
      </c>
      <c r="D49" s="54"/>
      <c r="E49" s="55">
        <f t="shared" ref="E49:J49" si="12">E48-E50</f>
        <v>0</v>
      </c>
      <c r="F49" s="55">
        <f t="shared" si="12"/>
        <v>0</v>
      </c>
      <c r="G49" s="55">
        <f t="shared" si="12"/>
        <v>0</v>
      </c>
      <c r="H49" s="55">
        <f t="shared" si="12"/>
        <v>0</v>
      </c>
      <c r="I49" s="55">
        <f t="shared" si="12"/>
        <v>0</v>
      </c>
      <c r="J49" s="55">
        <f t="shared" si="12"/>
        <v>0</v>
      </c>
      <c r="K49" s="56"/>
      <c r="L49" s="30"/>
      <c r="M49" s="57" t="s">
        <v>28</v>
      </c>
      <c r="N49" s="58" t="b">
        <v>0</v>
      </c>
    </row>
    <row r="50" ht="13.5" customHeight="1">
      <c r="A50" s="46" t="s">
        <v>29</v>
      </c>
      <c r="B50" s="59"/>
      <c r="C50" s="53" t="s">
        <v>30</v>
      </c>
      <c r="D50" s="54"/>
      <c r="E50" s="60"/>
      <c r="F50" s="60"/>
      <c r="G50" s="60"/>
      <c r="H50" s="60"/>
      <c r="I50" s="60"/>
      <c r="J50" s="60"/>
      <c r="K50" s="61" t="s">
        <v>30</v>
      </c>
      <c r="L50" s="62">
        <f>(E50*E47)+(F50*F47)+(G50*G47)+(H50*H47)+(I50*I47)+(J50*J47)</f>
        <v>0</v>
      </c>
      <c r="M50" s="57" t="s">
        <v>31</v>
      </c>
      <c r="N50" s="63" t="b">
        <v>0</v>
      </c>
    </row>
    <row r="51" ht="13.5" customHeight="1">
      <c r="A51" s="64" t="s">
        <v>79</v>
      </c>
      <c r="B51" s="65" t="s">
        <v>33</v>
      </c>
      <c r="C51" s="53" t="s">
        <v>34</v>
      </c>
      <c r="D51" s="54"/>
      <c r="E51" s="66"/>
      <c r="F51" s="66"/>
      <c r="G51" s="66"/>
      <c r="H51" s="66"/>
      <c r="I51" s="66"/>
      <c r="J51" s="66"/>
      <c r="K51" s="67" t="s">
        <v>35</v>
      </c>
      <c r="L51" s="62">
        <f>(E51*E47)+(F51*F47)+(G51*G47)+(H51*H47)+(I51*I47)+(J51*J47)</f>
        <v>0</v>
      </c>
      <c r="M51" s="57" t="s">
        <v>36</v>
      </c>
      <c r="N51" s="63" t="b">
        <v>0</v>
      </c>
    </row>
    <row r="52" ht="13.5" customHeight="1">
      <c r="A52" s="68"/>
      <c r="B52" s="69" t="str">
        <f>IFS(L52=0,"",B52&lt;&gt;"",B52,TRUE,NOW())</f>
        <v/>
      </c>
      <c r="C52" s="70" t="s">
        <v>37</v>
      </c>
      <c r="D52" s="33"/>
      <c r="E52" s="71"/>
      <c r="F52" s="71"/>
      <c r="G52" s="71"/>
      <c r="H52" s="71"/>
      <c r="I52" s="71"/>
      <c r="J52" s="71"/>
      <c r="K52" s="72" t="s">
        <v>38</v>
      </c>
      <c r="L52" s="73">
        <f>L51-L50</f>
        <v>0</v>
      </c>
      <c r="M52" s="74" t="s">
        <v>39</v>
      </c>
      <c r="N52" s="75" t="b">
        <v>0</v>
      </c>
    </row>
    <row r="53" ht="15.0" customHeight="1">
      <c r="A53" s="46" t="s">
        <v>40</v>
      </c>
      <c r="B53" s="52" t="s">
        <v>57</v>
      </c>
      <c r="C53" s="53" t="s">
        <v>27</v>
      </c>
      <c r="D53" s="54"/>
      <c r="E53" s="55">
        <f t="shared" ref="E53:J53" si="13">E51-E54</f>
        <v>0</v>
      </c>
      <c r="F53" s="55">
        <f t="shared" si="13"/>
        <v>0</v>
      </c>
      <c r="G53" s="55">
        <f t="shared" si="13"/>
        <v>0</v>
      </c>
      <c r="H53" s="55">
        <f t="shared" si="13"/>
        <v>0</v>
      </c>
      <c r="I53" s="55">
        <f t="shared" si="13"/>
        <v>0</v>
      </c>
      <c r="J53" s="55">
        <f t="shared" si="13"/>
        <v>0</v>
      </c>
      <c r="K53" s="56"/>
      <c r="L53" s="30"/>
      <c r="M53" s="57" t="s">
        <v>28</v>
      </c>
      <c r="N53" s="58" t="b">
        <v>0</v>
      </c>
    </row>
    <row r="54" ht="13.5" customHeight="1">
      <c r="A54" s="64"/>
      <c r="B54" s="59"/>
      <c r="C54" s="53" t="s">
        <v>30</v>
      </c>
      <c r="D54" s="54"/>
      <c r="E54" s="60"/>
      <c r="F54" s="60"/>
      <c r="G54" s="84"/>
      <c r="H54" s="60"/>
      <c r="I54" s="60"/>
      <c r="J54" s="84"/>
      <c r="K54" s="61" t="s">
        <v>30</v>
      </c>
      <c r="L54" s="62">
        <f>(E54*E47)+(F54*F47)+(G54*G47)+(H54*H47)+(I54*I47)+(J54*J47)</f>
        <v>0</v>
      </c>
      <c r="M54" s="57" t="s">
        <v>31</v>
      </c>
      <c r="N54" s="63" t="b">
        <v>0</v>
      </c>
    </row>
    <row r="55" ht="13.5" customHeight="1">
      <c r="A55" s="68"/>
      <c r="B55" s="65" t="s">
        <v>42</v>
      </c>
      <c r="C55" s="53" t="s">
        <v>34</v>
      </c>
      <c r="D55" s="54"/>
      <c r="E55" s="66"/>
      <c r="F55" s="76">
        <v>5.0</v>
      </c>
      <c r="G55" s="76">
        <v>2.0</v>
      </c>
      <c r="H55" s="66"/>
      <c r="I55" s="66"/>
      <c r="J55" s="76"/>
      <c r="K55" s="67" t="s">
        <v>35</v>
      </c>
      <c r="L55" s="62">
        <f>(E55*E47)+(F55*F47)+(G55*G47)+(H55*H47)+(I55*I47)+(J55*J47)</f>
        <v>189</v>
      </c>
      <c r="M55" s="57" t="s">
        <v>36</v>
      </c>
      <c r="N55" s="63" t="b">
        <v>0</v>
      </c>
    </row>
    <row r="56" ht="13.5" customHeight="1">
      <c r="A56" s="46" t="s">
        <v>43</v>
      </c>
      <c r="B56" s="69">
        <f>IFS(L56=0,"",B56&lt;&gt;"",B56,TRUE,NOW())</f>
        <v>46148.63321</v>
      </c>
      <c r="C56" s="70" t="s">
        <v>37</v>
      </c>
      <c r="D56" s="33"/>
      <c r="E56" s="71"/>
      <c r="F56" s="71"/>
      <c r="G56" s="71"/>
      <c r="H56" s="71"/>
      <c r="I56" s="71"/>
      <c r="J56" s="71"/>
      <c r="K56" s="72" t="s">
        <v>38</v>
      </c>
      <c r="L56" s="73">
        <f>L55-L54</f>
        <v>189</v>
      </c>
      <c r="M56" s="74" t="s">
        <v>39</v>
      </c>
      <c r="N56" s="75" t="b">
        <v>0</v>
      </c>
    </row>
    <row r="57" ht="13.5" customHeight="1">
      <c r="A57" s="64"/>
      <c r="B57" s="52" t="s">
        <v>57</v>
      </c>
      <c r="C57" s="53" t="s">
        <v>27</v>
      </c>
      <c r="D57" s="54"/>
      <c r="E57" s="55">
        <f t="shared" ref="E57:J57" si="14">E55-E58</f>
        <v>0</v>
      </c>
      <c r="F57" s="55">
        <f t="shared" si="14"/>
        <v>5</v>
      </c>
      <c r="G57" s="55">
        <f t="shared" si="14"/>
        <v>2</v>
      </c>
      <c r="H57" s="55">
        <f t="shared" si="14"/>
        <v>0</v>
      </c>
      <c r="I57" s="55">
        <f t="shared" si="14"/>
        <v>0</v>
      </c>
      <c r="J57" s="55">
        <f t="shared" si="14"/>
        <v>0</v>
      </c>
      <c r="K57" s="56"/>
      <c r="L57" s="30"/>
      <c r="M57" s="57" t="s">
        <v>28</v>
      </c>
      <c r="N57" s="58" t="b">
        <v>0</v>
      </c>
    </row>
    <row r="58" ht="15.0" customHeight="1">
      <c r="A58" s="46" t="s">
        <v>45</v>
      </c>
      <c r="B58" s="59"/>
      <c r="C58" s="53" t="s">
        <v>30</v>
      </c>
      <c r="D58" s="54"/>
      <c r="E58" s="60"/>
      <c r="F58" s="60"/>
      <c r="G58" s="60"/>
      <c r="H58" s="60"/>
      <c r="I58" s="60"/>
      <c r="J58" s="60"/>
      <c r="K58" s="61" t="s">
        <v>30</v>
      </c>
      <c r="L58" s="62">
        <f>(E58*E47)+(F58*F47)+(G58*G47)+(H58*H47)+(I58*I47)+(J58*J47)</f>
        <v>0</v>
      </c>
      <c r="M58" s="57" t="s">
        <v>31</v>
      </c>
      <c r="N58" s="63" t="b">
        <v>0</v>
      </c>
    </row>
    <row r="59" ht="13.5" customHeight="1">
      <c r="A59" s="77"/>
      <c r="B59" s="65" t="s">
        <v>47</v>
      </c>
      <c r="C59" s="53" t="s">
        <v>34</v>
      </c>
      <c r="D59" s="54"/>
      <c r="E59" s="66"/>
      <c r="F59" s="66"/>
      <c r="G59" s="66"/>
      <c r="H59" s="66"/>
      <c r="I59" s="66"/>
      <c r="J59" s="66"/>
      <c r="K59" s="67" t="s">
        <v>35</v>
      </c>
      <c r="L59" s="62">
        <f>(E59*E47)+(F59*F47)+(G59*G47)+(H59*H47)+(I59*I47)+(J59*J47)</f>
        <v>0</v>
      </c>
      <c r="M59" s="57" t="s">
        <v>36</v>
      </c>
      <c r="N59" s="63" t="b">
        <v>0</v>
      </c>
    </row>
    <row r="60" ht="13.5" customHeight="1">
      <c r="A60" s="68"/>
      <c r="B60" s="69" t="str">
        <f>IFS(L60=0,"",B60&lt;&gt;"",B60,TRUE,NOW())</f>
        <v/>
      </c>
      <c r="C60" s="70" t="s">
        <v>37</v>
      </c>
      <c r="D60" s="33"/>
      <c r="E60" s="71"/>
      <c r="F60" s="71"/>
      <c r="G60" s="71"/>
      <c r="H60" s="71"/>
      <c r="I60" s="71"/>
      <c r="J60" s="71"/>
      <c r="K60" s="72" t="s">
        <v>38</v>
      </c>
      <c r="L60" s="73">
        <f>L59-L58</f>
        <v>0</v>
      </c>
      <c r="M60" s="74" t="s">
        <v>39</v>
      </c>
      <c r="N60" s="75" t="b">
        <v>0</v>
      </c>
    </row>
    <row r="61" ht="13.5" customHeight="1">
      <c r="A61" s="78" t="s">
        <v>48</v>
      </c>
      <c r="B61" s="52" t="s">
        <v>57</v>
      </c>
      <c r="C61" s="53" t="s">
        <v>27</v>
      </c>
      <c r="D61" s="54"/>
      <c r="E61" s="55">
        <f t="shared" ref="E61:J61" si="15">E59-E62</f>
        <v>0</v>
      </c>
      <c r="F61" s="55">
        <f t="shared" si="15"/>
        <v>0</v>
      </c>
      <c r="G61" s="55">
        <f t="shared" si="15"/>
        <v>0</v>
      </c>
      <c r="H61" s="55">
        <f t="shared" si="15"/>
        <v>0</v>
      </c>
      <c r="I61" s="55">
        <f t="shared" si="15"/>
        <v>0</v>
      </c>
      <c r="J61" s="55">
        <f t="shared" si="15"/>
        <v>0</v>
      </c>
      <c r="K61" s="56"/>
      <c r="L61" s="30"/>
      <c r="M61" s="57" t="s">
        <v>28</v>
      </c>
      <c r="N61" s="58" t="b">
        <v>0</v>
      </c>
    </row>
    <row r="62" ht="13.5" customHeight="1">
      <c r="A62" s="87"/>
      <c r="B62" s="59"/>
      <c r="C62" s="53" t="s">
        <v>30</v>
      </c>
      <c r="D62" s="54"/>
      <c r="E62" s="60"/>
      <c r="F62" s="60"/>
      <c r="G62" s="60"/>
      <c r="H62" s="60"/>
      <c r="I62" s="60"/>
      <c r="J62" s="60"/>
      <c r="K62" s="61" t="s">
        <v>30</v>
      </c>
      <c r="L62" s="62">
        <f>(E62*E47)+(F62*F47)+(G62*G47)+(H62*H47)+(I62*I47)+(J62*J47)</f>
        <v>0</v>
      </c>
      <c r="M62" s="57" t="s">
        <v>31</v>
      </c>
      <c r="N62" s="63" t="b">
        <v>0</v>
      </c>
    </row>
    <row r="63" ht="15.0" customHeight="1">
      <c r="A63" s="68"/>
      <c r="B63" s="65" t="s">
        <v>49</v>
      </c>
      <c r="C63" s="53" t="s">
        <v>34</v>
      </c>
      <c r="D63" s="54"/>
      <c r="E63" s="66"/>
      <c r="F63" s="66"/>
      <c r="G63" s="66"/>
      <c r="H63" s="66"/>
      <c r="I63" s="66"/>
      <c r="J63" s="66"/>
      <c r="K63" s="67" t="s">
        <v>35</v>
      </c>
      <c r="L63" s="62">
        <f>(E63*E47)+(F63*F47)+(G63*G47)+(H63*H47)+(I63*I47)+(J63*J47)</f>
        <v>0</v>
      </c>
      <c r="M63" s="57" t="s">
        <v>36</v>
      </c>
      <c r="N63" s="63" t="b">
        <v>0</v>
      </c>
    </row>
    <row r="64" ht="13.5" customHeight="1">
      <c r="A64" s="80"/>
      <c r="B64" s="69" t="str">
        <f>IFS(L64=0,"",B64&lt;&gt;"",B64,TRUE,NOW())</f>
        <v/>
      </c>
      <c r="C64" s="53" t="s">
        <v>37</v>
      </c>
      <c r="D64" s="54"/>
      <c r="E64" s="81"/>
      <c r="F64" s="81"/>
      <c r="G64" s="81"/>
      <c r="H64" s="82"/>
      <c r="I64" s="81"/>
      <c r="J64" s="81"/>
      <c r="K64" s="72" t="s">
        <v>38</v>
      </c>
      <c r="L64" s="73">
        <f>L63-L62</f>
        <v>0</v>
      </c>
      <c r="M64" s="74" t="s">
        <v>39</v>
      </c>
      <c r="N64" s="75" t="b">
        <v>0</v>
      </c>
    </row>
    <row r="65" ht="13.5" customHeight="1">
      <c r="A65" s="83" t="s">
        <v>62</v>
      </c>
      <c r="B65" s="42" t="s">
        <v>20</v>
      </c>
      <c r="C65" s="24"/>
      <c r="D65" s="33"/>
      <c r="E65" s="43">
        <f t="shared" ref="E65:J65" si="16">E6</f>
        <v>17</v>
      </c>
      <c r="F65" s="43">
        <f t="shared" si="16"/>
        <v>27</v>
      </c>
      <c r="G65" s="43">
        <f t="shared" si="16"/>
        <v>27</v>
      </c>
      <c r="H65" s="43">
        <f t="shared" si="16"/>
        <v>27</v>
      </c>
      <c r="I65" s="43">
        <f t="shared" si="16"/>
        <v>32</v>
      </c>
      <c r="J65" s="44">
        <f t="shared" si="16"/>
        <v>37</v>
      </c>
      <c r="K65" s="42" t="s">
        <v>21</v>
      </c>
      <c r="L65" s="25"/>
      <c r="M65" s="45" t="s">
        <v>22</v>
      </c>
      <c r="N65" s="25"/>
    </row>
    <row r="66" ht="13.5" customHeight="1">
      <c r="A66" s="46" t="s">
        <v>23</v>
      </c>
      <c r="B66" s="47" t="s">
        <v>24</v>
      </c>
      <c r="C66" s="32" t="s">
        <v>25</v>
      </c>
      <c r="D66" s="33"/>
      <c r="E66" s="48"/>
      <c r="F66" s="48"/>
      <c r="G66" s="48"/>
      <c r="H66" s="48"/>
      <c r="I66" s="48"/>
      <c r="J66" s="48"/>
      <c r="K66" s="49"/>
      <c r="L66" s="25"/>
      <c r="M66" s="50"/>
      <c r="N66" s="10"/>
    </row>
    <row r="67" ht="13.5" customHeight="1">
      <c r="A67" s="92"/>
      <c r="B67" s="52" t="s">
        <v>63</v>
      </c>
      <c r="C67" s="53" t="s">
        <v>27</v>
      </c>
      <c r="D67" s="54"/>
      <c r="E67" s="55">
        <f t="shared" ref="E67:J67" si="17">E66-E68</f>
        <v>0</v>
      </c>
      <c r="F67" s="55">
        <f t="shared" si="17"/>
        <v>0</v>
      </c>
      <c r="G67" s="55">
        <f t="shared" si="17"/>
        <v>0</v>
      </c>
      <c r="H67" s="55">
        <f t="shared" si="17"/>
        <v>0</v>
      </c>
      <c r="I67" s="55">
        <f t="shared" si="17"/>
        <v>0</v>
      </c>
      <c r="J67" s="55">
        <f t="shared" si="17"/>
        <v>0</v>
      </c>
      <c r="K67" s="56"/>
      <c r="L67" s="30"/>
      <c r="M67" s="57" t="s">
        <v>28</v>
      </c>
      <c r="N67" s="58" t="b">
        <v>0</v>
      </c>
    </row>
    <row r="68" ht="15.0" customHeight="1">
      <c r="A68" s="46" t="s">
        <v>29</v>
      </c>
      <c r="B68" s="59"/>
      <c r="C68" s="53" t="s">
        <v>30</v>
      </c>
      <c r="D68" s="54"/>
      <c r="E68" s="60"/>
      <c r="F68" s="60"/>
      <c r="G68" s="60"/>
      <c r="H68" s="60"/>
      <c r="I68" s="60"/>
      <c r="J68" s="60"/>
      <c r="K68" s="61" t="s">
        <v>30</v>
      </c>
      <c r="L68" s="62">
        <f>(E68*E65)+(F68*F65)+(G68*G65)+(H68*H65)+(I68*I65)+(J68*J65)</f>
        <v>0</v>
      </c>
      <c r="M68" s="57" t="s">
        <v>31</v>
      </c>
      <c r="N68" s="63" t="b">
        <v>0</v>
      </c>
    </row>
    <row r="69" ht="13.5" customHeight="1">
      <c r="A69" s="64" t="s">
        <v>166</v>
      </c>
      <c r="B69" s="65" t="s">
        <v>33</v>
      </c>
      <c r="C69" s="53" t="s">
        <v>34</v>
      </c>
      <c r="D69" s="54"/>
      <c r="E69" s="66"/>
      <c r="F69" s="66"/>
      <c r="G69" s="66"/>
      <c r="H69" s="66"/>
      <c r="I69" s="66"/>
      <c r="J69" s="66"/>
      <c r="K69" s="67" t="s">
        <v>35</v>
      </c>
      <c r="L69" s="62">
        <f>(E69*E65)+(F69*F65)+(G69*G65)+(H69*H65)+(I69*I65)+(J69*J65)</f>
        <v>0</v>
      </c>
      <c r="M69" s="57" t="s">
        <v>36</v>
      </c>
      <c r="N69" s="63" t="b">
        <v>0</v>
      </c>
    </row>
    <row r="70" ht="13.5" customHeight="1">
      <c r="A70" s="68"/>
      <c r="B70" s="69" t="str">
        <f>IFS(L70=0,"",B70&lt;&gt;"",B70,TRUE,NOW())</f>
        <v/>
      </c>
      <c r="C70" s="70" t="s">
        <v>37</v>
      </c>
      <c r="D70" s="33"/>
      <c r="E70" s="71"/>
      <c r="F70" s="71"/>
      <c r="G70" s="71"/>
      <c r="H70" s="71"/>
      <c r="I70" s="71"/>
      <c r="J70" s="71"/>
      <c r="K70" s="72" t="s">
        <v>38</v>
      </c>
      <c r="L70" s="73">
        <f>L69-L68</f>
        <v>0</v>
      </c>
      <c r="M70" s="74" t="s">
        <v>39</v>
      </c>
      <c r="N70" s="75" t="b">
        <v>0</v>
      </c>
    </row>
    <row r="71" ht="13.5" customHeight="1">
      <c r="A71" s="46" t="s">
        <v>40</v>
      </c>
      <c r="B71" s="52" t="s">
        <v>63</v>
      </c>
      <c r="C71" s="53" t="s">
        <v>27</v>
      </c>
      <c r="D71" s="54"/>
      <c r="E71" s="55">
        <f t="shared" ref="E71:J71" si="18">E69-E72</f>
        <v>0</v>
      </c>
      <c r="F71" s="55">
        <f t="shared" si="18"/>
        <v>0</v>
      </c>
      <c r="G71" s="55">
        <f t="shared" si="18"/>
        <v>0</v>
      </c>
      <c r="H71" s="55">
        <f t="shared" si="18"/>
        <v>0</v>
      </c>
      <c r="I71" s="55">
        <f t="shared" si="18"/>
        <v>0</v>
      </c>
      <c r="J71" s="55">
        <f t="shared" si="18"/>
        <v>0</v>
      </c>
      <c r="K71" s="56"/>
      <c r="L71" s="30"/>
      <c r="M71" s="57" t="s">
        <v>28</v>
      </c>
      <c r="N71" s="58" t="b">
        <v>0</v>
      </c>
    </row>
    <row r="72" ht="13.5" customHeight="1">
      <c r="A72" s="64"/>
      <c r="B72" s="59"/>
      <c r="C72" s="53" t="s">
        <v>30</v>
      </c>
      <c r="D72" s="54"/>
      <c r="E72" s="60"/>
      <c r="F72" s="60"/>
      <c r="G72" s="60"/>
      <c r="H72" s="84"/>
      <c r="I72" s="60"/>
      <c r="J72" s="60"/>
      <c r="K72" s="61" t="s">
        <v>30</v>
      </c>
      <c r="L72" s="62">
        <f>(E72*E65)+(F72*F65)+(G72*G65)+(H72*H65)+(I72*I65)+(J72*J65)</f>
        <v>0</v>
      </c>
      <c r="M72" s="57" t="s">
        <v>31</v>
      </c>
      <c r="N72" s="63" t="b">
        <v>0</v>
      </c>
    </row>
    <row r="73" ht="13.5" customHeight="1">
      <c r="A73" s="68"/>
      <c r="B73" s="65" t="s">
        <v>42</v>
      </c>
      <c r="C73" s="53" t="s">
        <v>34</v>
      </c>
      <c r="D73" s="54"/>
      <c r="E73" s="66"/>
      <c r="F73" s="76">
        <v>1.0</v>
      </c>
      <c r="G73" s="76">
        <v>1.0</v>
      </c>
      <c r="H73" s="76">
        <v>1.0</v>
      </c>
      <c r="I73" s="76"/>
      <c r="J73" s="76">
        <v>1.0</v>
      </c>
      <c r="K73" s="67" t="s">
        <v>35</v>
      </c>
      <c r="L73" s="62">
        <f>(E73*E65)+(F73*F65)+(G73*G65)+(H73*H65)+(I73*I65)+(J73*J65)</f>
        <v>118</v>
      </c>
      <c r="M73" s="57" t="s">
        <v>36</v>
      </c>
      <c r="N73" s="63" t="b">
        <v>0</v>
      </c>
    </row>
    <row r="74" ht="13.5" customHeight="1">
      <c r="A74" s="46" t="s">
        <v>43</v>
      </c>
      <c r="B74" s="69">
        <f>IFS(L74=0,"",B74&lt;&gt;"",B74,TRUE,NOW())</f>
        <v>46148.63321</v>
      </c>
      <c r="C74" s="70" t="s">
        <v>37</v>
      </c>
      <c r="D74" s="33"/>
      <c r="E74" s="71"/>
      <c r="F74" s="71"/>
      <c r="G74" s="71"/>
      <c r="H74" s="71"/>
      <c r="I74" s="71"/>
      <c r="J74" s="71"/>
      <c r="K74" s="72" t="s">
        <v>38</v>
      </c>
      <c r="L74" s="73">
        <f>L73-L72</f>
        <v>118</v>
      </c>
      <c r="M74" s="74" t="s">
        <v>39</v>
      </c>
      <c r="N74" s="75" t="b">
        <v>0</v>
      </c>
    </row>
    <row r="75" ht="15.0" customHeight="1">
      <c r="A75" s="64"/>
      <c r="B75" s="52" t="s">
        <v>63</v>
      </c>
      <c r="C75" s="53" t="s">
        <v>27</v>
      </c>
      <c r="D75" s="54"/>
      <c r="E75" s="55">
        <f t="shared" ref="E75:J75" si="19">E73-E76</f>
        <v>0</v>
      </c>
      <c r="F75" s="55">
        <f t="shared" si="19"/>
        <v>1</v>
      </c>
      <c r="G75" s="55">
        <f t="shared" si="19"/>
        <v>1</v>
      </c>
      <c r="H75" s="55">
        <f t="shared" si="19"/>
        <v>1</v>
      </c>
      <c r="I75" s="55">
        <f t="shared" si="19"/>
        <v>0</v>
      </c>
      <c r="J75" s="55">
        <f t="shared" si="19"/>
        <v>1</v>
      </c>
      <c r="K75" s="56"/>
      <c r="L75" s="30"/>
      <c r="M75" s="57" t="s">
        <v>28</v>
      </c>
      <c r="N75" s="58" t="b">
        <v>0</v>
      </c>
    </row>
    <row r="76" ht="13.5" customHeight="1">
      <c r="A76" s="46" t="s">
        <v>45</v>
      </c>
      <c r="B76" s="59"/>
      <c r="C76" s="53" t="s">
        <v>30</v>
      </c>
      <c r="D76" s="54"/>
      <c r="E76" s="60"/>
      <c r="F76" s="60"/>
      <c r="G76" s="60"/>
      <c r="H76" s="60"/>
      <c r="I76" s="60"/>
      <c r="J76" s="60"/>
      <c r="K76" s="61" t="s">
        <v>30</v>
      </c>
      <c r="L76" s="62">
        <f>(E76*E65)+(F76*F65)+(G76*G65)+(H76*H65)+(I76*I65)+(J76*J65)</f>
        <v>0</v>
      </c>
      <c r="M76" s="57" t="s">
        <v>31</v>
      </c>
      <c r="N76" s="63" t="b">
        <v>0</v>
      </c>
    </row>
    <row r="77" ht="13.5" customHeight="1">
      <c r="A77" s="77"/>
      <c r="B77" s="65" t="s">
        <v>47</v>
      </c>
      <c r="C77" s="53" t="s">
        <v>34</v>
      </c>
      <c r="D77" s="54"/>
      <c r="E77" s="66"/>
      <c r="F77" s="66"/>
      <c r="G77" s="66"/>
      <c r="H77" s="66"/>
      <c r="I77" s="66"/>
      <c r="J77" s="66"/>
      <c r="K77" s="67" t="s">
        <v>35</v>
      </c>
      <c r="L77" s="62">
        <f>(E77*E65)+(F77*F65)+(G77*G65)+(H77*H65)+(I77*I65)+(J77*J65)</f>
        <v>0</v>
      </c>
      <c r="M77" s="57" t="s">
        <v>36</v>
      </c>
      <c r="N77" s="63" t="b">
        <v>0</v>
      </c>
    </row>
    <row r="78" ht="13.5" customHeight="1">
      <c r="A78" s="68"/>
      <c r="B78" s="69" t="str">
        <f>IFS(L78=0,"",B78&lt;&gt;"",B78,TRUE,NOW())</f>
        <v/>
      </c>
      <c r="C78" s="70" t="s">
        <v>37</v>
      </c>
      <c r="D78" s="33"/>
      <c r="E78" s="71"/>
      <c r="F78" s="71"/>
      <c r="G78" s="71"/>
      <c r="H78" s="71"/>
      <c r="I78" s="71"/>
      <c r="J78" s="71"/>
      <c r="K78" s="72" t="s">
        <v>38</v>
      </c>
      <c r="L78" s="73">
        <f>L77-L76</f>
        <v>0</v>
      </c>
      <c r="M78" s="74" t="s">
        <v>39</v>
      </c>
      <c r="N78" s="75" t="b">
        <v>0</v>
      </c>
    </row>
    <row r="79" ht="13.5" customHeight="1">
      <c r="A79" s="78" t="s">
        <v>48</v>
      </c>
      <c r="B79" s="52" t="s">
        <v>63</v>
      </c>
      <c r="C79" s="53" t="s">
        <v>27</v>
      </c>
      <c r="D79" s="54"/>
      <c r="E79" s="55">
        <f t="shared" ref="E79:J79" si="20">E77-E80</f>
        <v>0</v>
      </c>
      <c r="F79" s="55">
        <f t="shared" si="20"/>
        <v>0</v>
      </c>
      <c r="G79" s="55">
        <f t="shared" si="20"/>
        <v>0</v>
      </c>
      <c r="H79" s="55">
        <f t="shared" si="20"/>
        <v>0</v>
      </c>
      <c r="I79" s="55">
        <f t="shared" si="20"/>
        <v>0</v>
      </c>
      <c r="J79" s="55">
        <f t="shared" si="20"/>
        <v>0</v>
      </c>
      <c r="K79" s="56"/>
      <c r="L79" s="30"/>
      <c r="M79" s="57" t="s">
        <v>28</v>
      </c>
      <c r="N79" s="58" t="b">
        <v>0</v>
      </c>
    </row>
    <row r="80" ht="15.0" customHeight="1">
      <c r="A80" s="87"/>
      <c r="B80" s="59"/>
      <c r="C80" s="53" t="s">
        <v>30</v>
      </c>
      <c r="D80" s="54"/>
      <c r="E80" s="60"/>
      <c r="F80" s="60"/>
      <c r="G80" s="60"/>
      <c r="H80" s="60"/>
      <c r="I80" s="60"/>
      <c r="J80" s="60"/>
      <c r="K80" s="61" t="s">
        <v>30</v>
      </c>
      <c r="L80" s="62">
        <f>(E80*E65)+(F80*F65)+(G80*G65)+(H80*H65)+(I80*I65)+(J80*J65)</f>
        <v>0</v>
      </c>
      <c r="M80" s="57" t="s">
        <v>31</v>
      </c>
      <c r="N80" s="63" t="b">
        <v>0</v>
      </c>
    </row>
    <row r="81" ht="13.5" customHeight="1">
      <c r="A81" s="68"/>
      <c r="B81" s="65" t="s">
        <v>49</v>
      </c>
      <c r="C81" s="53" t="s">
        <v>34</v>
      </c>
      <c r="D81" s="54"/>
      <c r="E81" s="66"/>
      <c r="F81" s="66"/>
      <c r="G81" s="66"/>
      <c r="H81" s="66"/>
      <c r="I81" s="66"/>
      <c r="J81" s="66"/>
      <c r="K81" s="67" t="s">
        <v>35</v>
      </c>
      <c r="L81" s="62">
        <f>(E81*E65)+(F81*F65)+(G81*G65)+(H81*H65)+(I81*I65)+(J81*J65)</f>
        <v>0</v>
      </c>
      <c r="M81" s="57" t="s">
        <v>36</v>
      </c>
      <c r="N81" s="63" t="b">
        <v>0</v>
      </c>
    </row>
    <row r="82" ht="13.5" customHeight="1">
      <c r="A82" s="80"/>
      <c r="B82" s="69" t="str">
        <f>IFS(L82=0,"",B82&lt;&gt;"",B82,TRUE,NOW())</f>
        <v/>
      </c>
      <c r="C82" s="86" t="s">
        <v>37</v>
      </c>
      <c r="D82" s="59"/>
      <c r="E82" s="81"/>
      <c r="F82" s="81"/>
      <c r="G82" s="81"/>
      <c r="H82" s="82"/>
      <c r="I82" s="81"/>
      <c r="J82" s="81"/>
      <c r="K82" s="72" t="s">
        <v>38</v>
      </c>
      <c r="L82" s="73">
        <f>L81-L80</f>
        <v>0</v>
      </c>
      <c r="M82" s="74" t="s">
        <v>39</v>
      </c>
      <c r="N82" s="75" t="b">
        <v>0</v>
      </c>
    </row>
    <row r="83" ht="13.5" customHeight="1">
      <c r="A83" s="83" t="s">
        <v>65</v>
      </c>
      <c r="B83" s="42" t="s">
        <v>20</v>
      </c>
      <c r="C83" s="24"/>
      <c r="D83" s="33"/>
      <c r="E83" s="43">
        <f t="shared" ref="E83:J83" si="21">E6</f>
        <v>17</v>
      </c>
      <c r="F83" s="43">
        <f t="shared" si="21"/>
        <v>27</v>
      </c>
      <c r="G83" s="43">
        <f t="shared" si="21"/>
        <v>27</v>
      </c>
      <c r="H83" s="43">
        <f t="shared" si="21"/>
        <v>27</v>
      </c>
      <c r="I83" s="43">
        <f t="shared" si="21"/>
        <v>32</v>
      </c>
      <c r="J83" s="44">
        <f t="shared" si="21"/>
        <v>37</v>
      </c>
      <c r="K83" s="42" t="s">
        <v>21</v>
      </c>
      <c r="L83" s="25"/>
      <c r="M83" s="45" t="s">
        <v>22</v>
      </c>
      <c r="N83" s="25"/>
    </row>
    <row r="84" ht="13.5" customHeight="1">
      <c r="A84" s="46" t="s">
        <v>23</v>
      </c>
      <c r="B84" s="47" t="s">
        <v>24</v>
      </c>
      <c r="C84" s="32" t="s">
        <v>25</v>
      </c>
      <c r="D84" s="33"/>
      <c r="E84" s="48"/>
      <c r="F84" s="48"/>
      <c r="G84" s="48"/>
      <c r="H84" s="48"/>
      <c r="I84" s="48"/>
      <c r="J84" s="48"/>
      <c r="K84" s="49"/>
      <c r="L84" s="25"/>
      <c r="M84" s="50"/>
      <c r="N84" s="10"/>
    </row>
    <row r="85" ht="19.5" customHeight="1">
      <c r="A85" s="92"/>
      <c r="B85" s="52" t="s">
        <v>66</v>
      </c>
      <c r="C85" s="53" t="s">
        <v>27</v>
      </c>
      <c r="D85" s="54"/>
      <c r="E85" s="55">
        <f t="shared" ref="E85:J85" si="22">E84-E86</f>
        <v>0</v>
      </c>
      <c r="F85" s="55">
        <f t="shared" si="22"/>
        <v>0</v>
      </c>
      <c r="G85" s="55">
        <f t="shared" si="22"/>
        <v>0</v>
      </c>
      <c r="H85" s="55">
        <f t="shared" si="22"/>
        <v>0</v>
      </c>
      <c r="I85" s="55">
        <f t="shared" si="22"/>
        <v>0</v>
      </c>
      <c r="J85" s="55">
        <f t="shared" si="22"/>
        <v>0</v>
      </c>
      <c r="K85" s="56"/>
      <c r="L85" s="30"/>
      <c r="M85" s="57" t="s">
        <v>28</v>
      </c>
      <c r="N85" s="58" t="b">
        <v>0</v>
      </c>
    </row>
    <row r="86" ht="13.5" customHeight="1">
      <c r="A86" s="46" t="s">
        <v>29</v>
      </c>
      <c r="B86" s="59"/>
      <c r="C86" s="53" t="s">
        <v>30</v>
      </c>
      <c r="D86" s="54"/>
      <c r="E86" s="60"/>
      <c r="F86" s="60"/>
      <c r="G86" s="60"/>
      <c r="H86" s="60"/>
      <c r="I86" s="60"/>
      <c r="J86" s="60"/>
      <c r="K86" s="61" t="s">
        <v>30</v>
      </c>
      <c r="L86" s="62">
        <f>(E86*E83)+(F86*F83)+(G86*G83)+(H86*H83)+(I86*I83)+(J86*J83)</f>
        <v>0</v>
      </c>
      <c r="M86" s="57" t="s">
        <v>31</v>
      </c>
      <c r="N86" s="63" t="b">
        <v>0</v>
      </c>
    </row>
    <row r="87" ht="13.5" customHeight="1">
      <c r="A87" s="64" t="s">
        <v>167</v>
      </c>
      <c r="B87" s="65" t="s">
        <v>33</v>
      </c>
      <c r="C87" s="53" t="s">
        <v>34</v>
      </c>
      <c r="D87" s="54"/>
      <c r="E87" s="66"/>
      <c r="F87" s="76">
        <v>4.0</v>
      </c>
      <c r="G87" s="76">
        <v>3.0</v>
      </c>
      <c r="H87" s="76">
        <v>1.0</v>
      </c>
      <c r="I87" s="76">
        <v>1.0</v>
      </c>
      <c r="J87" s="76">
        <v>5.0</v>
      </c>
      <c r="K87" s="67" t="s">
        <v>35</v>
      </c>
      <c r="L87" s="62">
        <f>(E87*E83)+(F87*F83)+(G87*G83)+(H87*H83)+(I87*I83)+(J87*J83)</f>
        <v>433</v>
      </c>
      <c r="M87" s="57" t="s">
        <v>36</v>
      </c>
      <c r="N87" s="63" t="b">
        <v>0</v>
      </c>
    </row>
    <row r="88" ht="13.5" customHeight="1">
      <c r="A88" s="68"/>
      <c r="B88" s="69">
        <f>IFS(L88=0,"",B88&lt;&gt;"",B88,TRUE,NOW())</f>
        <v>46141.4906</v>
      </c>
      <c r="C88" s="70" t="s">
        <v>37</v>
      </c>
      <c r="D88" s="33"/>
      <c r="E88" s="71"/>
      <c r="F88" s="71"/>
      <c r="G88" s="71"/>
      <c r="H88" s="71"/>
      <c r="I88" s="71"/>
      <c r="J88" s="71"/>
      <c r="K88" s="72" t="s">
        <v>38</v>
      </c>
      <c r="L88" s="73">
        <f>L87-L86</f>
        <v>433</v>
      </c>
      <c r="M88" s="74" t="s">
        <v>39</v>
      </c>
      <c r="N88" s="75" t="b">
        <v>0</v>
      </c>
    </row>
    <row r="89" ht="13.5" customHeight="1">
      <c r="A89" s="46" t="s">
        <v>40</v>
      </c>
      <c r="B89" s="52" t="s">
        <v>66</v>
      </c>
      <c r="C89" s="53" t="s">
        <v>27</v>
      </c>
      <c r="D89" s="54"/>
      <c r="E89" s="55">
        <f t="shared" ref="E89:J89" si="23">E87-E90</f>
        <v>0</v>
      </c>
      <c r="F89" s="55">
        <f t="shared" si="23"/>
        <v>4</v>
      </c>
      <c r="G89" s="55">
        <f t="shared" si="23"/>
        <v>1</v>
      </c>
      <c r="H89" s="55">
        <f t="shared" si="23"/>
        <v>0</v>
      </c>
      <c r="I89" s="55">
        <f t="shared" si="23"/>
        <v>1</v>
      </c>
      <c r="J89" s="55">
        <f t="shared" si="23"/>
        <v>4</v>
      </c>
      <c r="K89" s="56"/>
      <c r="L89" s="30"/>
      <c r="M89" s="57" t="s">
        <v>28</v>
      </c>
      <c r="N89" s="58" t="b">
        <v>0</v>
      </c>
    </row>
    <row r="90" ht="15.0" customHeight="1">
      <c r="A90" s="64"/>
      <c r="B90" s="59"/>
      <c r="C90" s="53" t="s">
        <v>30</v>
      </c>
      <c r="D90" s="54"/>
      <c r="E90" s="60"/>
      <c r="F90" s="84"/>
      <c r="G90" s="84">
        <v>2.0</v>
      </c>
      <c r="H90" s="84">
        <v>1.0</v>
      </c>
      <c r="I90" s="84"/>
      <c r="J90" s="84">
        <v>1.0</v>
      </c>
      <c r="K90" s="61" t="s">
        <v>30</v>
      </c>
      <c r="L90" s="62">
        <f>(E90*E83)+(F90*F83)+(G90*G83)+(H90*H83)+(I90*I83)+(J90*J83)</f>
        <v>118</v>
      </c>
      <c r="M90" s="57" t="s">
        <v>31</v>
      </c>
      <c r="N90" s="63" t="b">
        <v>0</v>
      </c>
    </row>
    <row r="91" ht="13.5" customHeight="1">
      <c r="A91" s="68"/>
      <c r="B91" s="65" t="s">
        <v>42</v>
      </c>
      <c r="C91" s="53" t="s">
        <v>34</v>
      </c>
      <c r="D91" s="54"/>
      <c r="E91" s="66"/>
      <c r="F91" s="76">
        <v>2.0</v>
      </c>
      <c r="G91" s="76">
        <v>2.0</v>
      </c>
      <c r="H91" s="76">
        <v>1.0</v>
      </c>
      <c r="I91" s="76">
        <v>1.0</v>
      </c>
      <c r="J91" s="76">
        <v>3.0</v>
      </c>
      <c r="K91" s="67" t="s">
        <v>35</v>
      </c>
      <c r="L91" s="62">
        <f>(E91*E83)+(F91*F83)+(G91*G83)+(H91*H83)+(I91*I83)+(J91*J83)</f>
        <v>278</v>
      </c>
      <c r="M91" s="57" t="s">
        <v>36</v>
      </c>
      <c r="N91" s="63" t="b">
        <v>0</v>
      </c>
    </row>
    <row r="92" ht="13.5" customHeight="1">
      <c r="A92" s="46" t="s">
        <v>43</v>
      </c>
      <c r="B92" s="69">
        <f>IFS(L92=0,"",B92&lt;&gt;"",B92,TRUE,NOW())</f>
        <v>46148.63321</v>
      </c>
      <c r="C92" s="70" t="s">
        <v>37</v>
      </c>
      <c r="D92" s="33"/>
      <c r="E92" s="71"/>
      <c r="F92" s="71"/>
      <c r="G92" s="71"/>
      <c r="H92" s="71"/>
      <c r="I92" s="71"/>
      <c r="J92" s="71"/>
      <c r="K92" s="72" t="s">
        <v>38</v>
      </c>
      <c r="L92" s="73">
        <f>L91-L90</f>
        <v>160</v>
      </c>
      <c r="M92" s="74" t="s">
        <v>39</v>
      </c>
      <c r="N92" s="75" t="b">
        <v>0</v>
      </c>
    </row>
    <row r="93" ht="13.5" customHeight="1">
      <c r="A93" s="64"/>
      <c r="B93" s="52" t="s">
        <v>66</v>
      </c>
      <c r="C93" s="53" t="s">
        <v>27</v>
      </c>
      <c r="D93" s="54"/>
      <c r="E93" s="55">
        <f t="shared" ref="E93:J93" si="24">E91-E94</f>
        <v>0</v>
      </c>
      <c r="F93" s="55">
        <f t="shared" si="24"/>
        <v>2</v>
      </c>
      <c r="G93" s="55">
        <f t="shared" si="24"/>
        <v>2</v>
      </c>
      <c r="H93" s="55">
        <f t="shared" si="24"/>
        <v>1</v>
      </c>
      <c r="I93" s="55">
        <f t="shared" si="24"/>
        <v>1</v>
      </c>
      <c r="J93" s="55">
        <f t="shared" si="24"/>
        <v>3</v>
      </c>
      <c r="K93" s="56"/>
      <c r="L93" s="30"/>
      <c r="M93" s="57" t="s">
        <v>28</v>
      </c>
      <c r="N93" s="58" t="b">
        <v>0</v>
      </c>
    </row>
    <row r="94" ht="13.5" customHeight="1">
      <c r="A94" s="46" t="s">
        <v>45</v>
      </c>
      <c r="B94" s="59"/>
      <c r="C94" s="53" t="s">
        <v>30</v>
      </c>
      <c r="D94" s="54"/>
      <c r="E94" s="60"/>
      <c r="F94" s="60"/>
      <c r="G94" s="60"/>
      <c r="H94" s="60"/>
      <c r="I94" s="60"/>
      <c r="J94" s="60"/>
      <c r="K94" s="61" t="s">
        <v>30</v>
      </c>
      <c r="L94" s="62">
        <f>(E94*E83)+(F94*F83)+(G94*G83)+(H94*H83)+(I94*I83)+(J94*J83)</f>
        <v>0</v>
      </c>
      <c r="M94" s="57" t="s">
        <v>31</v>
      </c>
      <c r="N94" s="63" t="b">
        <v>0</v>
      </c>
    </row>
    <row r="95" ht="13.5" customHeight="1">
      <c r="A95" s="77"/>
      <c r="B95" s="65" t="s">
        <v>47</v>
      </c>
      <c r="C95" s="53" t="s">
        <v>34</v>
      </c>
      <c r="D95" s="54"/>
      <c r="E95" s="66"/>
      <c r="F95" s="66"/>
      <c r="G95" s="66"/>
      <c r="H95" s="66"/>
      <c r="I95" s="66"/>
      <c r="J95" s="66"/>
      <c r="K95" s="67" t="s">
        <v>35</v>
      </c>
      <c r="L95" s="62">
        <f>(E95*E83)+(F95*F83)+(G95*G83)+(H95*H83)+(I95*I83)+(J95*J83)</f>
        <v>0</v>
      </c>
      <c r="M95" s="57" t="s">
        <v>36</v>
      </c>
      <c r="N95" s="63" t="b">
        <v>0</v>
      </c>
    </row>
    <row r="96" ht="13.5" customHeight="1">
      <c r="A96" s="68"/>
      <c r="B96" s="69" t="str">
        <f>IFS(L96=0,"",B96&lt;&gt;"",B96,TRUE,NOW())</f>
        <v/>
      </c>
      <c r="C96" s="70" t="s">
        <v>37</v>
      </c>
      <c r="D96" s="33"/>
      <c r="E96" s="71"/>
      <c r="F96" s="71"/>
      <c r="G96" s="71"/>
      <c r="H96" s="71"/>
      <c r="I96" s="71"/>
      <c r="J96" s="71"/>
      <c r="K96" s="72" t="s">
        <v>38</v>
      </c>
      <c r="L96" s="73">
        <f>L95-L94</f>
        <v>0</v>
      </c>
      <c r="M96" s="74" t="s">
        <v>39</v>
      </c>
      <c r="N96" s="75" t="b">
        <v>0</v>
      </c>
    </row>
    <row r="97" ht="18.0" customHeight="1">
      <c r="A97" s="78" t="s">
        <v>48</v>
      </c>
      <c r="B97" s="52" t="s">
        <v>66</v>
      </c>
      <c r="C97" s="53" t="s">
        <v>27</v>
      </c>
      <c r="D97" s="54"/>
      <c r="E97" s="55">
        <f t="shared" ref="E97:J97" si="25">E95-E98</f>
        <v>0</v>
      </c>
      <c r="F97" s="55">
        <f t="shared" si="25"/>
        <v>0</v>
      </c>
      <c r="G97" s="55">
        <f t="shared" si="25"/>
        <v>0</v>
      </c>
      <c r="H97" s="55">
        <f t="shared" si="25"/>
        <v>0</v>
      </c>
      <c r="I97" s="55">
        <f t="shared" si="25"/>
        <v>0</v>
      </c>
      <c r="J97" s="55">
        <f t="shared" si="25"/>
        <v>0</v>
      </c>
      <c r="K97" s="56"/>
      <c r="L97" s="30"/>
      <c r="M97" s="57" t="s">
        <v>28</v>
      </c>
      <c r="N97" s="58" t="b">
        <v>0</v>
      </c>
    </row>
    <row r="98" ht="13.5" customHeight="1">
      <c r="A98" s="87"/>
      <c r="B98" s="59"/>
      <c r="C98" s="53" t="s">
        <v>30</v>
      </c>
      <c r="D98" s="54"/>
      <c r="E98" s="60"/>
      <c r="F98" s="60"/>
      <c r="G98" s="60"/>
      <c r="H98" s="60"/>
      <c r="I98" s="60"/>
      <c r="J98" s="60"/>
      <c r="K98" s="61" t="s">
        <v>30</v>
      </c>
      <c r="L98" s="62">
        <f>(E98*E83)+(F98*F83)+(G98*G83)+(H98*H83)+(I98*I83)+(J98*J83)</f>
        <v>0</v>
      </c>
      <c r="M98" s="57" t="s">
        <v>31</v>
      </c>
      <c r="N98" s="63" t="b">
        <v>0</v>
      </c>
    </row>
    <row r="99" ht="13.5" customHeight="1">
      <c r="A99" s="68"/>
      <c r="B99" s="65" t="s">
        <v>49</v>
      </c>
      <c r="C99" s="53" t="s">
        <v>34</v>
      </c>
      <c r="D99" s="54"/>
      <c r="E99" s="66"/>
      <c r="F99" s="66"/>
      <c r="G99" s="66"/>
      <c r="H99" s="66"/>
      <c r="I99" s="66"/>
      <c r="J99" s="66"/>
      <c r="K99" s="67" t="s">
        <v>35</v>
      </c>
      <c r="L99" s="62">
        <f>(E99*E83)+(F99*F83)+(G99*G83)+(H99*H83)+(I99*I83)+(J99*J83)</f>
        <v>0</v>
      </c>
      <c r="M99" s="57" t="s">
        <v>36</v>
      </c>
      <c r="N99" s="63" t="b">
        <v>0</v>
      </c>
    </row>
    <row r="100" ht="13.5" customHeight="1">
      <c r="A100" s="80"/>
      <c r="B100" s="69" t="str">
        <f>IFS(L100=0,"",B100&lt;&gt;"",B100,TRUE,NOW())</f>
        <v/>
      </c>
      <c r="C100" s="86" t="s">
        <v>37</v>
      </c>
      <c r="D100" s="59"/>
      <c r="E100" s="81"/>
      <c r="F100" s="81"/>
      <c r="G100" s="81"/>
      <c r="H100" s="82"/>
      <c r="I100" s="81"/>
      <c r="J100" s="81"/>
      <c r="K100" s="72" t="s">
        <v>38</v>
      </c>
      <c r="L100" s="73">
        <f>L99-L98</f>
        <v>0</v>
      </c>
      <c r="M100" s="74" t="s">
        <v>39</v>
      </c>
      <c r="N100" s="75" t="b">
        <v>0</v>
      </c>
    </row>
    <row r="101" ht="13.5" customHeight="1">
      <c r="A101" s="83" t="s">
        <v>68</v>
      </c>
      <c r="B101" s="42" t="s">
        <v>20</v>
      </c>
      <c r="C101" s="24"/>
      <c r="D101" s="33"/>
      <c r="E101" s="43">
        <f t="shared" ref="E101:J101" si="26">E6</f>
        <v>17</v>
      </c>
      <c r="F101" s="43">
        <f t="shared" si="26"/>
        <v>27</v>
      </c>
      <c r="G101" s="43">
        <f t="shared" si="26"/>
        <v>27</v>
      </c>
      <c r="H101" s="43">
        <f t="shared" si="26"/>
        <v>27</v>
      </c>
      <c r="I101" s="43">
        <f t="shared" si="26"/>
        <v>32</v>
      </c>
      <c r="J101" s="44">
        <f t="shared" si="26"/>
        <v>37</v>
      </c>
      <c r="K101" s="42" t="s">
        <v>21</v>
      </c>
      <c r="L101" s="25"/>
      <c r="M101" s="45" t="s">
        <v>22</v>
      </c>
      <c r="N101" s="25"/>
    </row>
    <row r="102" ht="19.5" customHeight="1">
      <c r="A102" s="46" t="s">
        <v>23</v>
      </c>
      <c r="B102" s="47" t="s">
        <v>24</v>
      </c>
      <c r="C102" s="32" t="s">
        <v>25</v>
      </c>
      <c r="D102" s="33"/>
      <c r="E102" s="48"/>
      <c r="F102" s="48"/>
      <c r="G102" s="48"/>
      <c r="H102" s="48"/>
      <c r="I102" s="48"/>
      <c r="J102" s="48"/>
      <c r="K102" s="49"/>
      <c r="L102" s="25"/>
      <c r="M102" s="50"/>
      <c r="N102" s="10"/>
    </row>
    <row r="103" ht="13.5" customHeight="1">
      <c r="A103" s="92"/>
      <c r="B103" s="52" t="s">
        <v>69</v>
      </c>
      <c r="C103" s="53" t="s">
        <v>27</v>
      </c>
      <c r="D103" s="54"/>
      <c r="E103" s="55">
        <f t="shared" ref="E103:J103" si="27">E102-E104</f>
        <v>0</v>
      </c>
      <c r="F103" s="55">
        <f t="shared" si="27"/>
        <v>0</v>
      </c>
      <c r="G103" s="55">
        <f t="shared" si="27"/>
        <v>0</v>
      </c>
      <c r="H103" s="55">
        <f t="shared" si="27"/>
        <v>0</v>
      </c>
      <c r="I103" s="55">
        <f t="shared" si="27"/>
        <v>0</v>
      </c>
      <c r="J103" s="55">
        <f t="shared" si="27"/>
        <v>0</v>
      </c>
      <c r="K103" s="56"/>
      <c r="L103" s="30"/>
      <c r="M103" s="57" t="s">
        <v>28</v>
      </c>
      <c r="N103" s="58" t="b">
        <v>0</v>
      </c>
    </row>
    <row r="104" ht="13.5" customHeight="1">
      <c r="A104" s="46" t="s">
        <v>29</v>
      </c>
      <c r="B104" s="59"/>
      <c r="C104" s="53" t="s">
        <v>30</v>
      </c>
      <c r="D104" s="54"/>
      <c r="E104" s="60"/>
      <c r="F104" s="60"/>
      <c r="G104" s="60"/>
      <c r="H104" s="60"/>
      <c r="I104" s="60"/>
      <c r="J104" s="60"/>
      <c r="K104" s="61" t="s">
        <v>30</v>
      </c>
      <c r="L104" s="62">
        <f>(E104*E101)+(F104*F101)+(G104*G101)+(H104*H101)+(I104*I101)+(J104*J101)</f>
        <v>0</v>
      </c>
      <c r="M104" s="57" t="s">
        <v>31</v>
      </c>
      <c r="N104" s="63" t="b">
        <v>0</v>
      </c>
    </row>
    <row r="105" ht="13.5" customHeight="1">
      <c r="A105" s="64" t="s">
        <v>168</v>
      </c>
      <c r="B105" s="65" t="s">
        <v>33</v>
      </c>
      <c r="C105" s="53" t="s">
        <v>34</v>
      </c>
      <c r="D105" s="54"/>
      <c r="E105" s="66"/>
      <c r="F105" s="66"/>
      <c r="G105" s="66"/>
      <c r="H105" s="66"/>
      <c r="I105" s="66"/>
      <c r="J105" s="66"/>
      <c r="K105" s="67" t="s">
        <v>35</v>
      </c>
      <c r="L105" s="62">
        <f>(E105*E101)+(F105*F101)+(G105*G101)+(H105*H101)+(I105*I101)+(J105*J101)</f>
        <v>0</v>
      </c>
      <c r="M105" s="57" t="s">
        <v>36</v>
      </c>
      <c r="N105" s="63" t="b">
        <v>0</v>
      </c>
    </row>
    <row r="106" ht="13.5" customHeight="1">
      <c r="A106" s="68"/>
      <c r="B106" s="69" t="str">
        <f>IFS(L106=0,"",B106&lt;&gt;"",B106,TRUE,NOW())</f>
        <v/>
      </c>
      <c r="C106" s="70" t="s">
        <v>37</v>
      </c>
      <c r="D106" s="33"/>
      <c r="E106" s="71"/>
      <c r="F106" s="71"/>
      <c r="G106" s="71"/>
      <c r="H106" s="71"/>
      <c r="I106" s="71"/>
      <c r="J106" s="71"/>
      <c r="K106" s="72" t="s">
        <v>38</v>
      </c>
      <c r="L106" s="73">
        <f>L105-L104</f>
        <v>0</v>
      </c>
      <c r="M106" s="74" t="s">
        <v>39</v>
      </c>
      <c r="N106" s="75" t="b">
        <v>0</v>
      </c>
    </row>
    <row r="107" ht="18.75" customHeight="1">
      <c r="A107" s="46" t="s">
        <v>40</v>
      </c>
      <c r="B107" s="52" t="s">
        <v>69</v>
      </c>
      <c r="C107" s="53" t="s">
        <v>27</v>
      </c>
      <c r="D107" s="54"/>
      <c r="E107" s="55">
        <f t="shared" ref="E107:J107" si="28">E105-E108</f>
        <v>0</v>
      </c>
      <c r="F107" s="55">
        <f t="shared" si="28"/>
        <v>0</v>
      </c>
      <c r="G107" s="55">
        <f t="shared" si="28"/>
        <v>0</v>
      </c>
      <c r="H107" s="55">
        <f t="shared" si="28"/>
        <v>0</v>
      </c>
      <c r="I107" s="55">
        <f t="shared" si="28"/>
        <v>0</v>
      </c>
      <c r="J107" s="55">
        <f t="shared" si="28"/>
        <v>0</v>
      </c>
      <c r="K107" s="56"/>
      <c r="L107" s="30"/>
      <c r="M107" s="57" t="s">
        <v>28</v>
      </c>
      <c r="N107" s="58" t="b">
        <v>0</v>
      </c>
    </row>
    <row r="108" ht="13.5" customHeight="1">
      <c r="A108" s="64"/>
      <c r="B108" s="59"/>
      <c r="C108" s="53" t="s">
        <v>30</v>
      </c>
      <c r="D108" s="54"/>
      <c r="E108" s="60"/>
      <c r="F108" s="84"/>
      <c r="G108" s="60"/>
      <c r="H108" s="60"/>
      <c r="I108" s="60"/>
      <c r="J108" s="84"/>
      <c r="K108" s="61" t="s">
        <v>30</v>
      </c>
      <c r="L108" s="62">
        <f>(E108*E101)+(F108*F101)+(G108*G101)+(H108*H101)+(I108*I101)+(J108*J101)</f>
        <v>0</v>
      </c>
      <c r="M108" s="57" t="s">
        <v>31</v>
      </c>
      <c r="N108" s="63" t="b">
        <v>0</v>
      </c>
    </row>
    <row r="109" ht="13.5" customHeight="1">
      <c r="A109" s="68"/>
      <c r="B109" s="65" t="s">
        <v>42</v>
      </c>
      <c r="C109" s="53" t="s">
        <v>34</v>
      </c>
      <c r="D109" s="54"/>
      <c r="E109" s="66"/>
      <c r="F109" s="76"/>
      <c r="G109" s="76"/>
      <c r="H109" s="76"/>
      <c r="I109" s="66"/>
      <c r="J109" s="76"/>
      <c r="K109" s="67" t="s">
        <v>35</v>
      </c>
      <c r="L109" s="62">
        <f>(E109*E101)+(F109*F101)+(G109*G101)+(H109*H101)+(I109*I101)+(J109*J101)</f>
        <v>0</v>
      </c>
      <c r="M109" s="57" t="s">
        <v>36</v>
      </c>
      <c r="N109" s="63" t="b">
        <v>0</v>
      </c>
    </row>
    <row r="110" ht="13.5" customHeight="1">
      <c r="A110" s="46" t="s">
        <v>43</v>
      </c>
      <c r="B110" s="69" t="str">
        <f>IFS(L110=0,"",B110&lt;&gt;"",B110,TRUE,NOW())</f>
        <v/>
      </c>
      <c r="C110" s="70" t="s">
        <v>37</v>
      </c>
      <c r="D110" s="33"/>
      <c r="E110" s="71"/>
      <c r="F110" s="71"/>
      <c r="G110" s="71"/>
      <c r="H110" s="71"/>
      <c r="I110" s="71"/>
      <c r="J110" s="71"/>
      <c r="K110" s="72" t="s">
        <v>38</v>
      </c>
      <c r="L110" s="73">
        <f>L109-L108</f>
        <v>0</v>
      </c>
      <c r="M110" s="74" t="s">
        <v>39</v>
      </c>
      <c r="N110" s="75" t="b">
        <v>0</v>
      </c>
    </row>
    <row r="111" ht="13.5" customHeight="1">
      <c r="A111" s="64"/>
      <c r="B111" s="52" t="s">
        <v>69</v>
      </c>
      <c r="C111" s="53" t="s">
        <v>27</v>
      </c>
      <c r="D111" s="54"/>
      <c r="E111" s="55">
        <f t="shared" ref="E111:J111" si="29">E109-E112</f>
        <v>0</v>
      </c>
      <c r="F111" s="55">
        <f t="shared" si="29"/>
        <v>0</v>
      </c>
      <c r="G111" s="55">
        <f t="shared" si="29"/>
        <v>0</v>
      </c>
      <c r="H111" s="55">
        <f t="shared" si="29"/>
        <v>0</v>
      </c>
      <c r="I111" s="55">
        <f t="shared" si="29"/>
        <v>0</v>
      </c>
      <c r="J111" s="55">
        <f t="shared" si="29"/>
        <v>0</v>
      </c>
      <c r="K111" s="56"/>
      <c r="L111" s="30"/>
      <c r="M111" s="57" t="s">
        <v>28</v>
      </c>
      <c r="N111" s="58" t="b">
        <v>0</v>
      </c>
    </row>
    <row r="112" ht="15.0" customHeight="1">
      <c r="A112" s="46" t="s">
        <v>45</v>
      </c>
      <c r="B112" s="59"/>
      <c r="C112" s="53" t="s">
        <v>30</v>
      </c>
      <c r="D112" s="54"/>
      <c r="E112" s="60"/>
      <c r="F112" s="60"/>
      <c r="G112" s="60"/>
      <c r="H112" s="60"/>
      <c r="I112" s="60"/>
      <c r="J112" s="60"/>
      <c r="K112" s="61" t="s">
        <v>30</v>
      </c>
      <c r="L112" s="62">
        <f>(E112*E101)+(F112*F101)+(G112*G101)+(H112*H101)+(I112*I101)+(J112*J101)</f>
        <v>0</v>
      </c>
      <c r="M112" s="57" t="s">
        <v>31</v>
      </c>
      <c r="N112" s="63" t="b">
        <v>0</v>
      </c>
    </row>
    <row r="113" ht="13.5" customHeight="1">
      <c r="A113" s="77"/>
      <c r="B113" s="65" t="s">
        <v>47</v>
      </c>
      <c r="C113" s="53" t="s">
        <v>34</v>
      </c>
      <c r="D113" s="54"/>
      <c r="E113" s="66"/>
      <c r="F113" s="66"/>
      <c r="G113" s="66"/>
      <c r="H113" s="66"/>
      <c r="I113" s="66"/>
      <c r="J113" s="66"/>
      <c r="K113" s="67" t="s">
        <v>35</v>
      </c>
      <c r="L113" s="62">
        <f>(E113*E101)+(F113*F101)+(G113*G101)+(H113*H101)+(I113*I101)+(J113*J101)</f>
        <v>0</v>
      </c>
      <c r="M113" s="57" t="s">
        <v>36</v>
      </c>
      <c r="N113" s="63" t="b">
        <v>0</v>
      </c>
    </row>
    <row r="114" ht="13.5" customHeight="1">
      <c r="A114" s="68"/>
      <c r="B114" s="69" t="str">
        <f>IFS(L114=0,"",B114&lt;&gt;"",B114,TRUE,NOW())</f>
        <v/>
      </c>
      <c r="C114" s="70" t="s">
        <v>37</v>
      </c>
      <c r="D114" s="33"/>
      <c r="E114" s="71"/>
      <c r="F114" s="71"/>
      <c r="G114" s="71"/>
      <c r="H114" s="71"/>
      <c r="I114" s="71"/>
      <c r="J114" s="71"/>
      <c r="K114" s="72" t="s">
        <v>38</v>
      </c>
      <c r="L114" s="73">
        <f>L113-L112</f>
        <v>0</v>
      </c>
      <c r="M114" s="74" t="s">
        <v>39</v>
      </c>
      <c r="N114" s="75" t="b">
        <v>0</v>
      </c>
    </row>
    <row r="115" ht="13.5" customHeight="1">
      <c r="A115" s="78" t="s">
        <v>48</v>
      </c>
      <c r="B115" s="52" t="s">
        <v>69</v>
      </c>
      <c r="C115" s="53" t="s">
        <v>27</v>
      </c>
      <c r="D115" s="54"/>
      <c r="E115" s="55">
        <f t="shared" ref="E115:J115" si="30">E113-E116</f>
        <v>0</v>
      </c>
      <c r="F115" s="55">
        <f t="shared" si="30"/>
        <v>0</v>
      </c>
      <c r="G115" s="55">
        <f t="shared" si="30"/>
        <v>0</v>
      </c>
      <c r="H115" s="55">
        <f t="shared" si="30"/>
        <v>0</v>
      </c>
      <c r="I115" s="55">
        <f t="shared" si="30"/>
        <v>0</v>
      </c>
      <c r="J115" s="55">
        <f t="shared" si="30"/>
        <v>0</v>
      </c>
      <c r="K115" s="56"/>
      <c r="L115" s="30"/>
      <c r="M115" s="57" t="s">
        <v>28</v>
      </c>
      <c r="N115" s="58" t="b">
        <v>0</v>
      </c>
    </row>
    <row r="116" ht="13.5" customHeight="1">
      <c r="A116" s="87"/>
      <c r="B116" s="59"/>
      <c r="C116" s="53" t="s">
        <v>30</v>
      </c>
      <c r="D116" s="54"/>
      <c r="E116" s="60"/>
      <c r="F116" s="60"/>
      <c r="G116" s="60"/>
      <c r="H116" s="60"/>
      <c r="I116" s="60"/>
      <c r="J116" s="60"/>
      <c r="K116" s="61" t="s">
        <v>30</v>
      </c>
      <c r="L116" s="62">
        <f>(E116*E101)+(F116*F101)+(G116*G101)+(H116*H101)+(I116*I101)+(J116*J101)</f>
        <v>0</v>
      </c>
      <c r="M116" s="57" t="s">
        <v>31</v>
      </c>
      <c r="N116" s="63" t="b">
        <v>0</v>
      </c>
    </row>
    <row r="117" ht="13.5" customHeight="1">
      <c r="A117" s="68"/>
      <c r="B117" s="65" t="s">
        <v>49</v>
      </c>
      <c r="C117" s="53" t="s">
        <v>34</v>
      </c>
      <c r="D117" s="54"/>
      <c r="E117" s="66"/>
      <c r="F117" s="66"/>
      <c r="G117" s="66"/>
      <c r="H117" s="66"/>
      <c r="I117" s="66"/>
      <c r="J117" s="66"/>
      <c r="K117" s="67" t="s">
        <v>35</v>
      </c>
      <c r="L117" s="62">
        <f>(E117*E101)+(F117*F101)+(G117*G101)+(H117*H101)+(I117*I101)+(J117*J101)</f>
        <v>0</v>
      </c>
      <c r="M117" s="57" t="s">
        <v>36</v>
      </c>
      <c r="N117" s="63" t="b">
        <v>0</v>
      </c>
    </row>
    <row r="118" ht="13.5" customHeight="1">
      <c r="A118" s="80"/>
      <c r="B118" s="69" t="str">
        <f>IFS(L118=0,"",B118&lt;&gt;"",B118,TRUE,NOW())</f>
        <v/>
      </c>
      <c r="C118" s="53" t="s">
        <v>37</v>
      </c>
      <c r="D118" s="54"/>
      <c r="E118" s="81"/>
      <c r="F118" s="81"/>
      <c r="G118" s="81"/>
      <c r="H118" s="82"/>
      <c r="I118" s="81"/>
      <c r="J118" s="81"/>
      <c r="K118" s="72" t="s">
        <v>38</v>
      </c>
      <c r="L118" s="73">
        <f>L117-L116</f>
        <v>0</v>
      </c>
      <c r="M118" s="74" t="s">
        <v>39</v>
      </c>
      <c r="N118" s="75" t="b">
        <v>0</v>
      </c>
    </row>
    <row r="119" ht="15.0" customHeight="1">
      <c r="A119" s="83" t="s">
        <v>71</v>
      </c>
      <c r="B119" s="42" t="s">
        <v>20</v>
      </c>
      <c r="C119" s="24"/>
      <c r="D119" s="33"/>
      <c r="E119" s="43">
        <f t="shared" ref="E119:J119" si="31">E6</f>
        <v>17</v>
      </c>
      <c r="F119" s="43">
        <f t="shared" si="31"/>
        <v>27</v>
      </c>
      <c r="G119" s="43">
        <f t="shared" si="31"/>
        <v>27</v>
      </c>
      <c r="H119" s="43">
        <f t="shared" si="31"/>
        <v>27</v>
      </c>
      <c r="I119" s="43">
        <f t="shared" si="31"/>
        <v>32</v>
      </c>
      <c r="J119" s="44">
        <f t="shared" si="31"/>
        <v>37</v>
      </c>
      <c r="K119" s="42" t="s">
        <v>21</v>
      </c>
      <c r="L119" s="25"/>
      <c r="M119" s="45" t="s">
        <v>22</v>
      </c>
      <c r="N119" s="25"/>
    </row>
    <row r="120" ht="13.5" customHeight="1">
      <c r="A120" s="46" t="s">
        <v>23</v>
      </c>
      <c r="B120" s="47" t="s">
        <v>24</v>
      </c>
      <c r="C120" s="32" t="s">
        <v>25</v>
      </c>
      <c r="D120" s="33"/>
      <c r="E120" s="48"/>
      <c r="F120" s="48"/>
      <c r="G120" s="48"/>
      <c r="H120" s="48"/>
      <c r="I120" s="48"/>
      <c r="J120" s="48"/>
      <c r="K120" s="49"/>
      <c r="L120" s="25"/>
      <c r="M120" s="50"/>
      <c r="N120" s="10"/>
    </row>
    <row r="121" ht="13.5" customHeight="1">
      <c r="A121" s="92"/>
      <c r="B121" s="52" t="s">
        <v>72</v>
      </c>
      <c r="C121" s="53" t="s">
        <v>27</v>
      </c>
      <c r="D121" s="54"/>
      <c r="E121" s="55">
        <f t="shared" ref="E121:J121" si="32">E120-E122</f>
        <v>0</v>
      </c>
      <c r="F121" s="55">
        <f t="shared" si="32"/>
        <v>-1</v>
      </c>
      <c r="G121" s="55">
        <f t="shared" si="32"/>
        <v>-2</v>
      </c>
      <c r="H121" s="55">
        <f t="shared" si="32"/>
        <v>0</v>
      </c>
      <c r="I121" s="55">
        <f t="shared" si="32"/>
        <v>-1</v>
      </c>
      <c r="J121" s="55">
        <f t="shared" si="32"/>
        <v>-2</v>
      </c>
      <c r="K121" s="56"/>
      <c r="L121" s="30"/>
      <c r="M121" s="57" t="s">
        <v>28</v>
      </c>
      <c r="N121" s="58" t="b">
        <v>0</v>
      </c>
    </row>
    <row r="122" ht="13.5" customHeight="1">
      <c r="A122" s="46" t="s">
        <v>29</v>
      </c>
      <c r="B122" s="59"/>
      <c r="C122" s="53" t="s">
        <v>30</v>
      </c>
      <c r="D122" s="54"/>
      <c r="E122" s="60"/>
      <c r="F122" s="84">
        <v>1.0</v>
      </c>
      <c r="G122" s="84">
        <v>2.0</v>
      </c>
      <c r="H122" s="60"/>
      <c r="I122" s="84">
        <v>1.0</v>
      </c>
      <c r="J122" s="84">
        <v>2.0</v>
      </c>
      <c r="K122" s="61" t="s">
        <v>30</v>
      </c>
      <c r="L122" s="62">
        <f>(E122*E119)+(F122*F119)+(G122*G119)+(H122*H119)+(I122*I119)+(J122*J119)</f>
        <v>187</v>
      </c>
      <c r="M122" s="57" t="s">
        <v>31</v>
      </c>
      <c r="N122" s="63" t="b">
        <v>0</v>
      </c>
    </row>
    <row r="123" ht="13.5" customHeight="1">
      <c r="A123" s="64" t="s">
        <v>169</v>
      </c>
      <c r="B123" s="65" t="s">
        <v>33</v>
      </c>
      <c r="C123" s="53" t="s">
        <v>34</v>
      </c>
      <c r="D123" s="54"/>
      <c r="E123" s="66"/>
      <c r="F123" s="76">
        <v>3.0</v>
      </c>
      <c r="G123" s="76">
        <v>3.0</v>
      </c>
      <c r="H123" s="76">
        <v>2.0</v>
      </c>
      <c r="I123" s="76">
        <v>2.0</v>
      </c>
      <c r="J123" s="76">
        <v>3.0</v>
      </c>
      <c r="K123" s="67" t="s">
        <v>35</v>
      </c>
      <c r="L123" s="62">
        <f>(E123*E119)+(F123*F119)+(G123*G119)+(H123*H119)+(I123*I119)+(J123*J119)</f>
        <v>391</v>
      </c>
      <c r="M123" s="57" t="s">
        <v>36</v>
      </c>
      <c r="N123" s="63" t="b">
        <v>0</v>
      </c>
    </row>
    <row r="124" ht="15.0" customHeight="1">
      <c r="A124" s="68"/>
      <c r="B124" s="69">
        <f>IFS(L124=0,"",B124&lt;&gt;"",B124,TRUE,NOW())</f>
        <v>46141.51095</v>
      </c>
      <c r="C124" s="70" t="s">
        <v>37</v>
      </c>
      <c r="D124" s="33"/>
      <c r="E124" s="71"/>
      <c r="F124" s="71"/>
      <c r="G124" s="71"/>
      <c r="H124" s="71"/>
      <c r="I124" s="71"/>
      <c r="J124" s="71"/>
      <c r="K124" s="72" t="s">
        <v>38</v>
      </c>
      <c r="L124" s="73">
        <f>L123-L122</f>
        <v>204</v>
      </c>
      <c r="M124" s="74" t="s">
        <v>39</v>
      </c>
      <c r="N124" s="75" t="b">
        <v>0</v>
      </c>
    </row>
    <row r="125" ht="13.5" customHeight="1">
      <c r="A125" s="46" t="s">
        <v>40</v>
      </c>
      <c r="B125" s="52" t="s">
        <v>72</v>
      </c>
      <c r="C125" s="53" t="s">
        <v>27</v>
      </c>
      <c r="D125" s="54"/>
      <c r="E125" s="55">
        <f t="shared" ref="E125:J125" si="33">E123-E126</f>
        <v>0</v>
      </c>
      <c r="F125" s="55">
        <f t="shared" si="33"/>
        <v>3</v>
      </c>
      <c r="G125" s="55">
        <f t="shared" si="33"/>
        <v>3</v>
      </c>
      <c r="H125" s="55">
        <f t="shared" si="33"/>
        <v>2</v>
      </c>
      <c r="I125" s="55">
        <f t="shared" si="33"/>
        <v>2</v>
      </c>
      <c r="J125" s="55">
        <f t="shared" si="33"/>
        <v>3</v>
      </c>
      <c r="K125" s="56"/>
      <c r="L125" s="30"/>
      <c r="M125" s="57" t="s">
        <v>28</v>
      </c>
      <c r="N125" s="58" t="b">
        <v>0</v>
      </c>
    </row>
    <row r="126" ht="13.5" customHeight="1">
      <c r="A126" s="64"/>
      <c r="B126" s="59"/>
      <c r="C126" s="53" t="s">
        <v>30</v>
      </c>
      <c r="D126" s="54"/>
      <c r="E126" s="60"/>
      <c r="F126" s="60"/>
      <c r="G126" s="84"/>
      <c r="H126" s="60"/>
      <c r="I126" s="60"/>
      <c r="J126" s="84"/>
      <c r="K126" s="61" t="s">
        <v>30</v>
      </c>
      <c r="L126" s="62">
        <f>(E126*E119)+(F126*F119)+(G126*G119)+(H126*H119)+(I126*I119)+(J126*J119)</f>
        <v>0</v>
      </c>
      <c r="M126" s="57" t="s">
        <v>31</v>
      </c>
      <c r="N126" s="63" t="b">
        <v>0</v>
      </c>
    </row>
    <row r="127" ht="13.5" customHeight="1">
      <c r="A127" s="68"/>
      <c r="B127" s="65" t="s">
        <v>42</v>
      </c>
      <c r="C127" s="53" t="s">
        <v>34</v>
      </c>
      <c r="D127" s="54"/>
      <c r="E127" s="66"/>
      <c r="F127" s="76">
        <v>3.0</v>
      </c>
      <c r="G127" s="76">
        <v>3.0</v>
      </c>
      <c r="H127" s="76">
        <v>3.0</v>
      </c>
      <c r="I127" s="76">
        <v>2.0</v>
      </c>
      <c r="J127" s="76">
        <v>4.0</v>
      </c>
      <c r="K127" s="67" t="s">
        <v>35</v>
      </c>
      <c r="L127" s="62">
        <f>(E127*E119)+(F127*F119)+(G127*G119)+(H127*H119)+(I127*I119)+(J127*J119)</f>
        <v>455</v>
      </c>
      <c r="M127" s="57" t="s">
        <v>36</v>
      </c>
      <c r="N127" s="63" t="b">
        <v>0</v>
      </c>
    </row>
    <row r="128" ht="13.5" customHeight="1">
      <c r="A128" s="46" t="s">
        <v>43</v>
      </c>
      <c r="B128" s="69">
        <f>IFS(L128=0,"",B128&lt;&gt;"",B128,TRUE,NOW())</f>
        <v>46148.63321</v>
      </c>
      <c r="C128" s="70" t="s">
        <v>37</v>
      </c>
      <c r="D128" s="33"/>
      <c r="E128" s="71"/>
      <c r="F128" s="71"/>
      <c r="G128" s="71"/>
      <c r="H128" s="71"/>
      <c r="I128" s="71"/>
      <c r="J128" s="71"/>
      <c r="K128" s="72" t="s">
        <v>38</v>
      </c>
      <c r="L128" s="73">
        <f>L127-L126</f>
        <v>455</v>
      </c>
      <c r="M128" s="74" t="s">
        <v>39</v>
      </c>
      <c r="N128" s="75" t="b">
        <v>0</v>
      </c>
    </row>
    <row r="129" ht="18.0" customHeight="1">
      <c r="A129" s="64"/>
      <c r="B129" s="52" t="s">
        <v>72</v>
      </c>
      <c r="C129" s="53" t="s">
        <v>27</v>
      </c>
      <c r="D129" s="54"/>
      <c r="E129" s="55">
        <f t="shared" ref="E129:J129" si="34">E127-E130</f>
        <v>0</v>
      </c>
      <c r="F129" s="55">
        <f t="shared" si="34"/>
        <v>3</v>
      </c>
      <c r="G129" s="55">
        <f t="shared" si="34"/>
        <v>0</v>
      </c>
      <c r="H129" s="55">
        <f t="shared" si="34"/>
        <v>1</v>
      </c>
      <c r="I129" s="55">
        <f t="shared" si="34"/>
        <v>0</v>
      </c>
      <c r="J129" s="55">
        <f t="shared" si="34"/>
        <v>2</v>
      </c>
      <c r="K129" s="56"/>
      <c r="L129" s="30"/>
      <c r="M129" s="57" t="s">
        <v>28</v>
      </c>
      <c r="N129" s="58" t="b">
        <v>0</v>
      </c>
    </row>
    <row r="130" ht="13.5" customHeight="1">
      <c r="A130" s="46" t="s">
        <v>45</v>
      </c>
      <c r="B130" s="59"/>
      <c r="C130" s="53" t="s">
        <v>30</v>
      </c>
      <c r="D130" s="54"/>
      <c r="E130" s="60"/>
      <c r="F130" s="60"/>
      <c r="G130" s="84">
        <v>3.0</v>
      </c>
      <c r="H130" s="84">
        <v>2.0</v>
      </c>
      <c r="I130" s="84">
        <v>2.0</v>
      </c>
      <c r="J130" s="84">
        <v>2.0</v>
      </c>
      <c r="K130" s="61" t="s">
        <v>30</v>
      </c>
      <c r="L130" s="62">
        <f>(E130*E119)+(F130*F119)+(G130*G119)+(H130*H119)+(I130*I119)+(J130*J119)</f>
        <v>273</v>
      </c>
      <c r="M130" s="57" t="s">
        <v>31</v>
      </c>
      <c r="N130" s="63" t="b">
        <v>0</v>
      </c>
    </row>
    <row r="131" ht="13.5" customHeight="1">
      <c r="A131" s="77"/>
      <c r="B131" s="65" t="s">
        <v>47</v>
      </c>
      <c r="C131" s="53" t="s">
        <v>34</v>
      </c>
      <c r="D131" s="54"/>
      <c r="E131" s="66"/>
      <c r="F131" s="76">
        <v>3.0</v>
      </c>
      <c r="G131" s="76">
        <v>3.0</v>
      </c>
      <c r="H131" s="76">
        <v>2.0</v>
      </c>
      <c r="I131" s="76">
        <v>2.0</v>
      </c>
      <c r="J131" s="76">
        <v>4.0</v>
      </c>
      <c r="K131" s="67" t="s">
        <v>35</v>
      </c>
      <c r="L131" s="62">
        <f>(E131*E119)+(F131*F119)+(G131*G119)+(H131*H119)+(I131*I119)+(J131*J119)</f>
        <v>428</v>
      </c>
      <c r="M131" s="57" t="s">
        <v>36</v>
      </c>
      <c r="N131" s="63" t="b">
        <v>0</v>
      </c>
    </row>
    <row r="132" ht="13.5" customHeight="1">
      <c r="A132" s="68"/>
      <c r="B132" s="69">
        <f>IFS(L132=0,"",B132&lt;&gt;"",B132,TRUE,NOW())</f>
        <v>46155.54217</v>
      </c>
      <c r="C132" s="70" t="s">
        <v>37</v>
      </c>
      <c r="D132" s="33"/>
      <c r="E132" s="71"/>
      <c r="F132" s="71"/>
      <c r="G132" s="71"/>
      <c r="H132" s="71"/>
      <c r="I132" s="71"/>
      <c r="J132" s="71"/>
      <c r="K132" s="72" t="s">
        <v>38</v>
      </c>
      <c r="L132" s="73">
        <f>L131-L130</f>
        <v>155</v>
      </c>
      <c r="M132" s="74" t="s">
        <v>39</v>
      </c>
      <c r="N132" s="75" t="b">
        <v>0</v>
      </c>
    </row>
    <row r="133" ht="13.5" customHeight="1">
      <c r="A133" s="78" t="s">
        <v>48</v>
      </c>
      <c r="B133" s="52" t="s">
        <v>72</v>
      </c>
      <c r="C133" s="53" t="s">
        <v>27</v>
      </c>
      <c r="D133" s="54"/>
      <c r="E133" s="55">
        <f t="shared" ref="E133:J133" si="35">E131-E134</f>
        <v>0</v>
      </c>
      <c r="F133" s="55">
        <f t="shared" si="35"/>
        <v>3</v>
      </c>
      <c r="G133" s="55">
        <f t="shared" si="35"/>
        <v>3</v>
      </c>
      <c r="H133" s="55">
        <f t="shared" si="35"/>
        <v>2</v>
      </c>
      <c r="I133" s="55">
        <f t="shared" si="35"/>
        <v>2</v>
      </c>
      <c r="J133" s="55">
        <f t="shared" si="35"/>
        <v>4</v>
      </c>
      <c r="K133" s="56"/>
      <c r="L133" s="30"/>
      <c r="M133" s="57" t="s">
        <v>28</v>
      </c>
      <c r="N133" s="58" t="b">
        <v>0</v>
      </c>
    </row>
    <row r="134" ht="18.75" customHeight="1">
      <c r="A134" s="87"/>
      <c r="B134" s="59"/>
      <c r="C134" s="53" t="s">
        <v>30</v>
      </c>
      <c r="D134" s="54"/>
      <c r="E134" s="60"/>
      <c r="F134" s="60"/>
      <c r="G134" s="60"/>
      <c r="H134" s="60"/>
      <c r="I134" s="60"/>
      <c r="J134" s="60"/>
      <c r="K134" s="61" t="s">
        <v>30</v>
      </c>
      <c r="L134" s="62">
        <f>(E134*E119)+(F134*F119)+(G134*G119)+(H134*H119)+(I134*I119)+(J134*J119)</f>
        <v>0</v>
      </c>
      <c r="M134" s="57" t="s">
        <v>31</v>
      </c>
      <c r="N134" s="63" t="b">
        <v>0</v>
      </c>
    </row>
    <row r="135" ht="13.5" customHeight="1">
      <c r="A135" s="68"/>
      <c r="B135" s="65" t="s">
        <v>49</v>
      </c>
      <c r="C135" s="53" t="s">
        <v>34</v>
      </c>
      <c r="D135" s="54"/>
      <c r="E135" s="66"/>
      <c r="F135" s="66"/>
      <c r="G135" s="66"/>
      <c r="H135" s="66"/>
      <c r="I135" s="66"/>
      <c r="J135" s="66"/>
      <c r="K135" s="67" t="s">
        <v>35</v>
      </c>
      <c r="L135" s="62">
        <f>(E135*E119)+(F135*F119)+(G135*G119)+(H135*H119)+(I135*I119)+(J135*J119)</f>
        <v>0</v>
      </c>
      <c r="M135" s="57" t="s">
        <v>36</v>
      </c>
      <c r="N135" s="63" t="b">
        <v>0</v>
      </c>
    </row>
    <row r="136" ht="13.5" customHeight="1">
      <c r="A136" s="80"/>
      <c r="B136" s="69" t="str">
        <f>IFS(L136=0,"",B136&lt;&gt;"",B136,TRUE,NOW())</f>
        <v/>
      </c>
      <c r="C136" s="53" t="s">
        <v>37</v>
      </c>
      <c r="D136" s="54"/>
      <c r="E136" s="81"/>
      <c r="F136" s="81"/>
      <c r="G136" s="81"/>
      <c r="H136" s="82"/>
      <c r="I136" s="81"/>
      <c r="J136" s="81"/>
      <c r="K136" s="72" t="s">
        <v>38</v>
      </c>
      <c r="L136" s="73">
        <f>L135-L134</f>
        <v>0</v>
      </c>
      <c r="M136" s="74" t="s">
        <v>39</v>
      </c>
      <c r="N136" s="75" t="b">
        <v>0</v>
      </c>
    </row>
    <row r="137" ht="13.5" customHeight="1">
      <c r="A137" s="83" t="s">
        <v>74</v>
      </c>
      <c r="B137" s="42" t="s">
        <v>20</v>
      </c>
      <c r="C137" s="24"/>
      <c r="D137" s="33"/>
      <c r="E137" s="43">
        <f t="shared" ref="E137:J137" si="36">E6</f>
        <v>17</v>
      </c>
      <c r="F137" s="43">
        <f t="shared" si="36"/>
        <v>27</v>
      </c>
      <c r="G137" s="43">
        <f t="shared" si="36"/>
        <v>27</v>
      </c>
      <c r="H137" s="43">
        <f t="shared" si="36"/>
        <v>27</v>
      </c>
      <c r="I137" s="43">
        <f t="shared" si="36"/>
        <v>32</v>
      </c>
      <c r="J137" s="44">
        <f t="shared" si="36"/>
        <v>37</v>
      </c>
      <c r="K137" s="42" t="s">
        <v>21</v>
      </c>
      <c r="L137" s="25"/>
      <c r="M137" s="45" t="s">
        <v>22</v>
      </c>
      <c r="N137" s="25"/>
    </row>
    <row r="138" ht="13.5" customHeight="1">
      <c r="A138" s="46" t="s">
        <v>23</v>
      </c>
      <c r="B138" s="47" t="s">
        <v>24</v>
      </c>
      <c r="C138" s="32" t="s">
        <v>25</v>
      </c>
      <c r="D138" s="33"/>
      <c r="E138" s="48"/>
      <c r="F138" s="48"/>
      <c r="G138" s="48"/>
      <c r="H138" s="48"/>
      <c r="I138" s="48"/>
      <c r="J138" s="48"/>
      <c r="K138" s="49"/>
      <c r="L138" s="25"/>
      <c r="M138" s="50"/>
      <c r="N138" s="10"/>
    </row>
    <row r="139" ht="13.5" customHeight="1">
      <c r="A139" s="92"/>
      <c r="B139" s="52" t="s">
        <v>75</v>
      </c>
      <c r="C139" s="53" t="s">
        <v>27</v>
      </c>
      <c r="D139" s="54"/>
      <c r="E139" s="55">
        <f t="shared" ref="E139:J139" si="37">E138-E140</f>
        <v>0</v>
      </c>
      <c r="F139" s="55">
        <f t="shared" si="37"/>
        <v>0</v>
      </c>
      <c r="G139" s="55">
        <f t="shared" si="37"/>
        <v>0</v>
      </c>
      <c r="H139" s="55">
        <f t="shared" si="37"/>
        <v>-1</v>
      </c>
      <c r="I139" s="55">
        <f t="shared" si="37"/>
        <v>-1</v>
      </c>
      <c r="J139" s="55">
        <f t="shared" si="37"/>
        <v>0</v>
      </c>
      <c r="K139" s="56"/>
      <c r="L139" s="30"/>
      <c r="M139" s="57" t="s">
        <v>28</v>
      </c>
      <c r="N139" s="58" t="b">
        <v>0</v>
      </c>
    </row>
    <row r="140" ht="13.5" customHeight="1">
      <c r="A140" s="46" t="s">
        <v>29</v>
      </c>
      <c r="B140" s="59"/>
      <c r="C140" s="53" t="s">
        <v>30</v>
      </c>
      <c r="D140" s="54"/>
      <c r="E140" s="60"/>
      <c r="F140" s="60"/>
      <c r="G140" s="60"/>
      <c r="H140" s="84">
        <v>1.0</v>
      </c>
      <c r="I140" s="84">
        <v>1.0</v>
      </c>
      <c r="J140" s="60"/>
      <c r="K140" s="61" t="s">
        <v>30</v>
      </c>
      <c r="L140" s="62">
        <f>(E140*E137)+(F140*F137)+(G140*G137)+(H140*H137)+(I140*I137)+(J140*J137)</f>
        <v>59</v>
      </c>
      <c r="M140" s="57" t="s">
        <v>31</v>
      </c>
      <c r="N140" s="63" t="b">
        <v>0</v>
      </c>
    </row>
    <row r="141" ht="15.0" customHeight="1">
      <c r="A141" s="64" t="s">
        <v>170</v>
      </c>
      <c r="B141" s="65" t="s">
        <v>33</v>
      </c>
      <c r="C141" s="53" t="s">
        <v>34</v>
      </c>
      <c r="D141" s="54"/>
      <c r="E141" s="66"/>
      <c r="F141" s="76">
        <v>3.0</v>
      </c>
      <c r="G141" s="76">
        <v>3.0</v>
      </c>
      <c r="H141" s="76">
        <v>3.0</v>
      </c>
      <c r="I141" s="76">
        <v>3.0</v>
      </c>
      <c r="J141" s="76">
        <v>3.0</v>
      </c>
      <c r="K141" s="67" t="s">
        <v>35</v>
      </c>
      <c r="L141" s="62">
        <f>(E141*E137)+(F141*F137)+(G141*G137)+(H141*H137)+(I141*I137)+(J141*J137)</f>
        <v>450</v>
      </c>
      <c r="M141" s="57" t="s">
        <v>36</v>
      </c>
      <c r="N141" s="63" t="b">
        <v>0</v>
      </c>
    </row>
    <row r="142" ht="13.5" customHeight="1">
      <c r="A142" s="68"/>
      <c r="B142" s="69">
        <f>IFS(L142=0,"",B142&lt;&gt;"",B142,TRUE,NOW())</f>
        <v>46141.55554</v>
      </c>
      <c r="C142" s="70" t="s">
        <v>37</v>
      </c>
      <c r="D142" s="33"/>
      <c r="E142" s="71"/>
      <c r="F142" s="71"/>
      <c r="G142" s="71"/>
      <c r="H142" s="71"/>
      <c r="I142" s="71"/>
      <c r="J142" s="71"/>
      <c r="K142" s="72" t="s">
        <v>38</v>
      </c>
      <c r="L142" s="73">
        <f>L141-L140</f>
        <v>391</v>
      </c>
      <c r="M142" s="74" t="s">
        <v>39</v>
      </c>
      <c r="N142" s="75" t="b">
        <v>0</v>
      </c>
    </row>
    <row r="143" ht="13.5" customHeight="1">
      <c r="A143" s="46" t="s">
        <v>40</v>
      </c>
      <c r="B143" s="52" t="s">
        <v>75</v>
      </c>
      <c r="C143" s="53" t="s">
        <v>27</v>
      </c>
      <c r="D143" s="54"/>
      <c r="E143" s="55">
        <f t="shared" ref="E143:J143" si="38">E141-E144</f>
        <v>0</v>
      </c>
      <c r="F143" s="55">
        <f t="shared" si="38"/>
        <v>3</v>
      </c>
      <c r="G143" s="55">
        <f t="shared" si="38"/>
        <v>3</v>
      </c>
      <c r="H143" s="55">
        <f t="shared" si="38"/>
        <v>2</v>
      </c>
      <c r="I143" s="55">
        <f t="shared" si="38"/>
        <v>3</v>
      </c>
      <c r="J143" s="55">
        <f t="shared" si="38"/>
        <v>3</v>
      </c>
      <c r="K143" s="56"/>
      <c r="L143" s="30"/>
      <c r="M143" s="57" t="s">
        <v>28</v>
      </c>
      <c r="N143" s="58" t="b">
        <v>0</v>
      </c>
    </row>
    <row r="144" ht="13.5" customHeight="1">
      <c r="A144" s="64"/>
      <c r="B144" s="59"/>
      <c r="C144" s="53" t="s">
        <v>30</v>
      </c>
      <c r="D144" s="54"/>
      <c r="E144" s="60"/>
      <c r="F144" s="84"/>
      <c r="G144" s="60"/>
      <c r="H144" s="84">
        <v>1.0</v>
      </c>
      <c r="I144" s="84"/>
      <c r="J144" s="60"/>
      <c r="K144" s="61" t="s">
        <v>30</v>
      </c>
      <c r="L144" s="62">
        <f>(E144*E137)+(F144*F137)+(G144*G137)+(H144*H137)+(I144*I137)+(J144*J137)</f>
        <v>27</v>
      </c>
      <c r="M144" s="57" t="s">
        <v>31</v>
      </c>
      <c r="N144" s="63" t="b">
        <v>0</v>
      </c>
    </row>
    <row r="145" ht="13.5" customHeight="1">
      <c r="A145" s="68"/>
      <c r="B145" s="65" t="s">
        <v>42</v>
      </c>
      <c r="C145" s="53" t="s">
        <v>34</v>
      </c>
      <c r="D145" s="54"/>
      <c r="E145" s="66"/>
      <c r="F145" s="76">
        <v>3.0</v>
      </c>
      <c r="G145" s="76">
        <v>3.0</v>
      </c>
      <c r="H145" s="76">
        <v>3.0</v>
      </c>
      <c r="I145" s="76">
        <v>3.0</v>
      </c>
      <c r="J145" s="76">
        <v>3.0</v>
      </c>
      <c r="K145" s="67" t="s">
        <v>35</v>
      </c>
      <c r="L145" s="62">
        <f>(E145*E137)+(F145*F137)+(G145*G137)+(H145*H137)+(I145*I137)+(J145*J137)</f>
        <v>450</v>
      </c>
      <c r="M145" s="57" t="s">
        <v>36</v>
      </c>
      <c r="N145" s="63" t="b">
        <v>0</v>
      </c>
    </row>
    <row r="146" ht="15.0" customHeight="1">
      <c r="A146" s="46" t="s">
        <v>43</v>
      </c>
      <c r="B146" s="69">
        <f>IFS(L146=0,"",B146&lt;&gt;"",B146,TRUE,NOW())</f>
        <v>46148.63333</v>
      </c>
      <c r="C146" s="70" t="s">
        <v>37</v>
      </c>
      <c r="D146" s="33"/>
      <c r="E146" s="71"/>
      <c r="F146" s="71"/>
      <c r="G146" s="71"/>
      <c r="H146" s="71"/>
      <c r="I146" s="71"/>
      <c r="J146" s="71"/>
      <c r="K146" s="72" t="s">
        <v>38</v>
      </c>
      <c r="L146" s="73">
        <f>L145-L144</f>
        <v>423</v>
      </c>
      <c r="M146" s="74" t="s">
        <v>39</v>
      </c>
      <c r="N146" s="75" t="b">
        <v>0</v>
      </c>
    </row>
    <row r="147" ht="13.5" customHeight="1">
      <c r="A147" s="64"/>
      <c r="B147" s="52" t="s">
        <v>75</v>
      </c>
      <c r="C147" s="53" t="s">
        <v>27</v>
      </c>
      <c r="D147" s="54"/>
      <c r="E147" s="55">
        <f t="shared" ref="E147:J147" si="39">E145-E148</f>
        <v>0</v>
      </c>
      <c r="F147" s="55">
        <f t="shared" si="39"/>
        <v>3</v>
      </c>
      <c r="G147" s="55">
        <f t="shared" si="39"/>
        <v>3</v>
      </c>
      <c r="H147" s="55">
        <f t="shared" si="39"/>
        <v>3</v>
      </c>
      <c r="I147" s="55">
        <f t="shared" si="39"/>
        <v>3</v>
      </c>
      <c r="J147" s="55">
        <f t="shared" si="39"/>
        <v>2</v>
      </c>
      <c r="K147" s="56"/>
      <c r="L147" s="30"/>
      <c r="M147" s="57" t="s">
        <v>28</v>
      </c>
      <c r="N147" s="58" t="b">
        <v>0</v>
      </c>
    </row>
    <row r="148" ht="13.5" customHeight="1">
      <c r="A148" s="46" t="s">
        <v>45</v>
      </c>
      <c r="B148" s="59"/>
      <c r="C148" s="53" t="s">
        <v>30</v>
      </c>
      <c r="D148" s="54"/>
      <c r="E148" s="60"/>
      <c r="F148" s="60"/>
      <c r="G148" s="60"/>
      <c r="H148" s="60"/>
      <c r="I148" s="60"/>
      <c r="J148" s="84">
        <v>1.0</v>
      </c>
      <c r="K148" s="61" t="s">
        <v>30</v>
      </c>
      <c r="L148" s="62">
        <f>(E148*E137)+(F148*F137)+(G148*G137)+(H148*H137)+(I148*I137)+(J148*J137)</f>
        <v>37</v>
      </c>
      <c r="M148" s="57" t="s">
        <v>31</v>
      </c>
      <c r="N148" s="63" t="b">
        <v>0</v>
      </c>
    </row>
    <row r="149" ht="13.5" customHeight="1">
      <c r="A149" s="77"/>
      <c r="B149" s="65" t="s">
        <v>47</v>
      </c>
      <c r="C149" s="53" t="s">
        <v>34</v>
      </c>
      <c r="D149" s="54"/>
      <c r="E149" s="66"/>
      <c r="F149" s="76"/>
      <c r="G149" s="76">
        <v>2.0</v>
      </c>
      <c r="H149" s="76">
        <v>2.0</v>
      </c>
      <c r="I149" s="76">
        <v>2.0</v>
      </c>
      <c r="J149" s="76">
        <v>2.0</v>
      </c>
      <c r="K149" s="67" t="s">
        <v>35</v>
      </c>
      <c r="L149" s="62">
        <f>(E149*E137)+(F149*F137)+(G149*G137)+(H149*H137)+(I149*I137)+(J149*J137)</f>
        <v>246</v>
      </c>
      <c r="M149" s="57" t="s">
        <v>36</v>
      </c>
      <c r="N149" s="63" t="b">
        <v>0</v>
      </c>
    </row>
    <row r="150" ht="13.5" customHeight="1">
      <c r="A150" s="68"/>
      <c r="B150" s="69">
        <f>IFS(L150=0,"",B150&lt;&gt;"",B150,TRUE,NOW())</f>
        <v>46155.62017</v>
      </c>
      <c r="C150" s="70" t="s">
        <v>37</v>
      </c>
      <c r="D150" s="33"/>
      <c r="E150" s="71"/>
      <c r="F150" s="71"/>
      <c r="G150" s="71"/>
      <c r="H150" s="71"/>
      <c r="I150" s="71"/>
      <c r="J150" s="71"/>
      <c r="K150" s="72" t="s">
        <v>38</v>
      </c>
      <c r="L150" s="73">
        <f>L149-L148</f>
        <v>209</v>
      </c>
      <c r="M150" s="74" t="s">
        <v>39</v>
      </c>
      <c r="N150" s="75" t="b">
        <v>0</v>
      </c>
    </row>
    <row r="151" ht="15.0" customHeight="1">
      <c r="A151" s="78" t="s">
        <v>48</v>
      </c>
      <c r="B151" s="52" t="s">
        <v>75</v>
      </c>
      <c r="C151" s="53" t="s">
        <v>27</v>
      </c>
      <c r="D151" s="54"/>
      <c r="E151" s="55">
        <f t="shared" ref="E151:J151" si="40">E149-E152</f>
        <v>0</v>
      </c>
      <c r="F151" s="55">
        <f t="shared" si="40"/>
        <v>0</v>
      </c>
      <c r="G151" s="55">
        <f t="shared" si="40"/>
        <v>2</v>
      </c>
      <c r="H151" s="55">
        <f t="shared" si="40"/>
        <v>2</v>
      </c>
      <c r="I151" s="55">
        <f t="shared" si="40"/>
        <v>2</v>
      </c>
      <c r="J151" s="55">
        <f t="shared" si="40"/>
        <v>2</v>
      </c>
      <c r="K151" s="56"/>
      <c r="L151" s="30"/>
      <c r="M151" s="57" t="s">
        <v>28</v>
      </c>
      <c r="N151" s="58" t="b">
        <v>0</v>
      </c>
    </row>
    <row r="152" ht="13.5" customHeight="1">
      <c r="A152" s="87"/>
      <c r="B152" s="59"/>
      <c r="C152" s="53" t="s">
        <v>30</v>
      </c>
      <c r="D152" s="54"/>
      <c r="E152" s="60"/>
      <c r="F152" s="60"/>
      <c r="G152" s="60"/>
      <c r="H152" s="60"/>
      <c r="I152" s="60"/>
      <c r="J152" s="60"/>
      <c r="K152" s="61" t="s">
        <v>30</v>
      </c>
      <c r="L152" s="62">
        <f>(E152*E137)+(F152*F137)+(G152*G137)+(H152*H137)+(I152*I137)+(J152*J137)</f>
        <v>0</v>
      </c>
      <c r="M152" s="57" t="s">
        <v>31</v>
      </c>
      <c r="N152" s="63" t="b">
        <v>0</v>
      </c>
    </row>
    <row r="153" ht="13.5" customHeight="1">
      <c r="A153" s="68"/>
      <c r="B153" s="65" t="s">
        <v>49</v>
      </c>
      <c r="C153" s="53" t="s">
        <v>34</v>
      </c>
      <c r="D153" s="54"/>
      <c r="E153" s="66"/>
      <c r="F153" s="66"/>
      <c r="G153" s="66"/>
      <c r="H153" s="66"/>
      <c r="I153" s="66"/>
      <c r="J153" s="66"/>
      <c r="K153" s="67" t="s">
        <v>35</v>
      </c>
      <c r="L153" s="62">
        <f>(E153*E137)+(F153*F137)+(G153*G137)+(H153*H137)+(I153*I137)+(J153*J137)</f>
        <v>0</v>
      </c>
      <c r="M153" s="57" t="s">
        <v>36</v>
      </c>
      <c r="N153" s="63" t="b">
        <v>0</v>
      </c>
    </row>
    <row r="154" ht="13.5" customHeight="1">
      <c r="A154" s="80"/>
      <c r="B154" s="69" t="str">
        <f>IFS(L154=0,"",B154&lt;&gt;"",B154,TRUE,NOW())</f>
        <v/>
      </c>
      <c r="C154" s="53" t="s">
        <v>37</v>
      </c>
      <c r="D154" s="54"/>
      <c r="E154" s="81"/>
      <c r="F154" s="81"/>
      <c r="G154" s="81"/>
      <c r="H154" s="82"/>
      <c r="I154" s="81"/>
      <c r="J154" s="81"/>
      <c r="K154" s="72" t="s">
        <v>38</v>
      </c>
      <c r="L154" s="73">
        <f>L153-L152</f>
        <v>0</v>
      </c>
      <c r="M154" s="74" t="s">
        <v>39</v>
      </c>
      <c r="N154" s="75" t="b">
        <v>0</v>
      </c>
    </row>
    <row r="155" ht="13.5" customHeight="1">
      <c r="A155" s="83" t="s">
        <v>77</v>
      </c>
      <c r="B155" s="42" t="s">
        <v>20</v>
      </c>
      <c r="C155" s="24"/>
      <c r="D155" s="33"/>
      <c r="E155" s="43">
        <f t="shared" ref="E155:J155" si="41">E6</f>
        <v>17</v>
      </c>
      <c r="F155" s="43">
        <f t="shared" si="41"/>
        <v>27</v>
      </c>
      <c r="G155" s="43">
        <f t="shared" si="41"/>
        <v>27</v>
      </c>
      <c r="H155" s="43">
        <f t="shared" si="41"/>
        <v>27</v>
      </c>
      <c r="I155" s="43">
        <f t="shared" si="41"/>
        <v>32</v>
      </c>
      <c r="J155" s="44">
        <f t="shared" si="41"/>
        <v>37</v>
      </c>
      <c r="K155" s="42" t="s">
        <v>21</v>
      </c>
      <c r="L155" s="25"/>
      <c r="M155" s="45" t="s">
        <v>22</v>
      </c>
      <c r="N155" s="25"/>
    </row>
    <row r="156" ht="18.75" customHeight="1">
      <c r="A156" s="46" t="s">
        <v>23</v>
      </c>
      <c r="B156" s="47" t="s">
        <v>24</v>
      </c>
      <c r="C156" s="32" t="s">
        <v>25</v>
      </c>
      <c r="D156" s="33"/>
      <c r="E156" s="48"/>
      <c r="F156" s="48"/>
      <c r="G156" s="48"/>
      <c r="H156" s="48"/>
      <c r="I156" s="48"/>
      <c r="J156" s="48"/>
      <c r="K156" s="49"/>
      <c r="L156" s="25"/>
      <c r="M156" s="50"/>
      <c r="N156" s="10"/>
    </row>
    <row r="157" ht="13.5" customHeight="1">
      <c r="A157" s="92"/>
      <c r="B157" s="52" t="s">
        <v>78</v>
      </c>
      <c r="C157" s="53" t="s">
        <v>27</v>
      </c>
      <c r="D157" s="54"/>
      <c r="E157" s="55">
        <f t="shared" ref="E157:J157" si="42">E156-E158</f>
        <v>0</v>
      </c>
      <c r="F157" s="55">
        <f t="shared" si="42"/>
        <v>-2</v>
      </c>
      <c r="G157" s="55">
        <f t="shared" si="42"/>
        <v>-5</v>
      </c>
      <c r="H157" s="55">
        <f t="shared" si="42"/>
        <v>-7</v>
      </c>
      <c r="I157" s="55">
        <f t="shared" si="42"/>
        <v>0</v>
      </c>
      <c r="J157" s="55">
        <f t="shared" si="42"/>
        <v>-3</v>
      </c>
      <c r="K157" s="56"/>
      <c r="L157" s="30"/>
      <c r="M157" s="57" t="s">
        <v>28</v>
      </c>
      <c r="N157" s="58" t="b">
        <v>0</v>
      </c>
    </row>
    <row r="158" ht="13.5" customHeight="1">
      <c r="A158" s="46" t="s">
        <v>29</v>
      </c>
      <c r="B158" s="59"/>
      <c r="C158" s="53" t="s">
        <v>30</v>
      </c>
      <c r="D158" s="54"/>
      <c r="E158" s="60"/>
      <c r="F158" s="84">
        <v>2.0</v>
      </c>
      <c r="G158" s="84">
        <v>5.0</v>
      </c>
      <c r="H158" s="84">
        <v>7.0</v>
      </c>
      <c r="I158" s="60"/>
      <c r="J158" s="84">
        <v>3.0</v>
      </c>
      <c r="K158" s="61" t="s">
        <v>30</v>
      </c>
      <c r="L158" s="62">
        <f>(E158*E155)+(F158*F155)+(G158*G155)+(H158*H155)+(I158*I155)+(J158*J155)</f>
        <v>489</v>
      </c>
      <c r="M158" s="57" t="s">
        <v>31</v>
      </c>
      <c r="N158" s="63" t="b">
        <v>0</v>
      </c>
    </row>
    <row r="159" ht="13.5" customHeight="1">
      <c r="A159" s="64" t="s">
        <v>171</v>
      </c>
      <c r="B159" s="65" t="s">
        <v>33</v>
      </c>
      <c r="C159" s="53" t="s">
        <v>34</v>
      </c>
      <c r="D159" s="54"/>
      <c r="E159" s="66"/>
      <c r="F159" s="76">
        <v>12.0</v>
      </c>
      <c r="G159" s="76">
        <v>12.0</v>
      </c>
      <c r="H159" s="76">
        <v>10.0</v>
      </c>
      <c r="I159" s="76">
        <v>10.0</v>
      </c>
      <c r="J159" s="76">
        <v>12.0</v>
      </c>
      <c r="K159" s="67" t="s">
        <v>35</v>
      </c>
      <c r="L159" s="62">
        <f>(E159*E155)+(F159*F155)+(G159*G155)+(H159*H155)+(I159*I155)+(J159*J155)</f>
        <v>1682</v>
      </c>
      <c r="M159" s="57" t="s">
        <v>36</v>
      </c>
      <c r="N159" s="63" t="b">
        <v>0</v>
      </c>
    </row>
    <row r="160" ht="13.5" customHeight="1">
      <c r="A160" s="68"/>
      <c r="B160" s="69">
        <f>IFS(L160=0,"",B160&lt;&gt;"",B160,TRUE,NOW())</f>
        <v>46141.55582</v>
      </c>
      <c r="C160" s="70" t="s">
        <v>37</v>
      </c>
      <c r="D160" s="33"/>
      <c r="E160" s="71"/>
      <c r="F160" s="71"/>
      <c r="G160" s="71"/>
      <c r="H160" s="71"/>
      <c r="I160" s="71"/>
      <c r="J160" s="71"/>
      <c r="K160" s="72" t="s">
        <v>38</v>
      </c>
      <c r="L160" s="73">
        <f>L159-L158</f>
        <v>1193</v>
      </c>
      <c r="M160" s="74" t="s">
        <v>39</v>
      </c>
      <c r="N160" s="75" t="b">
        <v>0</v>
      </c>
    </row>
    <row r="161" ht="13.5" customHeight="1">
      <c r="A161" s="46" t="s">
        <v>40</v>
      </c>
      <c r="B161" s="52" t="s">
        <v>78</v>
      </c>
      <c r="C161" s="53" t="s">
        <v>27</v>
      </c>
      <c r="D161" s="54"/>
      <c r="E161" s="55">
        <f t="shared" ref="E161:J161" si="43">E159-E162</f>
        <v>0</v>
      </c>
      <c r="F161" s="55">
        <f t="shared" si="43"/>
        <v>10</v>
      </c>
      <c r="G161" s="55">
        <f t="shared" si="43"/>
        <v>7</v>
      </c>
      <c r="H161" s="55">
        <f t="shared" si="43"/>
        <v>8</v>
      </c>
      <c r="I161" s="55">
        <f t="shared" si="43"/>
        <v>7</v>
      </c>
      <c r="J161" s="55">
        <f t="shared" si="43"/>
        <v>7</v>
      </c>
      <c r="K161" s="56"/>
      <c r="L161" s="30"/>
      <c r="M161" s="57" t="s">
        <v>28</v>
      </c>
      <c r="N161" s="58" t="b">
        <v>0</v>
      </c>
    </row>
    <row r="162" ht="13.5" customHeight="1">
      <c r="A162" s="64"/>
      <c r="B162" s="59"/>
      <c r="C162" s="53" t="s">
        <v>30</v>
      </c>
      <c r="D162" s="54"/>
      <c r="E162" s="60"/>
      <c r="F162" s="84">
        <v>2.0</v>
      </c>
      <c r="G162" s="84">
        <v>5.0</v>
      </c>
      <c r="H162" s="84">
        <v>2.0</v>
      </c>
      <c r="I162" s="84">
        <v>3.0</v>
      </c>
      <c r="J162" s="84">
        <v>5.0</v>
      </c>
      <c r="K162" s="61" t="s">
        <v>30</v>
      </c>
      <c r="L162" s="62">
        <f>(E162*E155)+(F162*F155)+(G162*G155)+(H162*H155)+(I162*I155)+(J162*J155)</f>
        <v>524</v>
      </c>
      <c r="M162" s="57" t="s">
        <v>31</v>
      </c>
      <c r="N162" s="63" t="b">
        <v>0</v>
      </c>
    </row>
    <row r="163" ht="17.25" customHeight="1">
      <c r="A163" s="68"/>
      <c r="B163" s="65" t="s">
        <v>42</v>
      </c>
      <c r="C163" s="53" t="s">
        <v>34</v>
      </c>
      <c r="D163" s="54"/>
      <c r="E163" s="66"/>
      <c r="F163" s="76">
        <v>12.0</v>
      </c>
      <c r="G163" s="76">
        <v>12.0</v>
      </c>
      <c r="H163" s="76">
        <v>10.0</v>
      </c>
      <c r="I163" s="76">
        <v>10.0</v>
      </c>
      <c r="J163" s="76">
        <v>12.0</v>
      </c>
      <c r="K163" s="67" t="s">
        <v>35</v>
      </c>
      <c r="L163" s="62">
        <f>(E163*E155)+(F163*F155)+(G163*G155)+(H163*H155)+(I163*I155)+(J163*J155)</f>
        <v>1682</v>
      </c>
      <c r="M163" s="57" t="s">
        <v>36</v>
      </c>
      <c r="N163" s="63" t="b">
        <v>0</v>
      </c>
    </row>
    <row r="164" ht="13.5" customHeight="1">
      <c r="A164" s="46" t="s">
        <v>43</v>
      </c>
      <c r="B164" s="69">
        <f>IFS(L164=0,"",B164&lt;&gt;"",B164,TRUE,NOW())</f>
        <v>46148.63359</v>
      </c>
      <c r="C164" s="70" t="s">
        <v>37</v>
      </c>
      <c r="D164" s="33"/>
      <c r="E164" s="71"/>
      <c r="F164" s="71"/>
      <c r="G164" s="71"/>
      <c r="H164" s="71"/>
      <c r="I164" s="71"/>
      <c r="J164" s="71"/>
      <c r="K164" s="72" t="s">
        <v>38</v>
      </c>
      <c r="L164" s="73">
        <f>L163-L162</f>
        <v>1158</v>
      </c>
      <c r="M164" s="74" t="s">
        <v>39</v>
      </c>
      <c r="N164" s="75" t="b">
        <v>0</v>
      </c>
    </row>
    <row r="165" ht="13.5" customHeight="1">
      <c r="A165" s="64"/>
      <c r="B165" s="52" t="s">
        <v>78</v>
      </c>
      <c r="C165" s="53" t="s">
        <v>27</v>
      </c>
      <c r="D165" s="54"/>
      <c r="E165" s="55">
        <f t="shared" ref="E165:J165" si="44">E163-E166</f>
        <v>0</v>
      </c>
      <c r="F165" s="55">
        <f t="shared" si="44"/>
        <v>12</v>
      </c>
      <c r="G165" s="55">
        <f t="shared" si="44"/>
        <v>12</v>
      </c>
      <c r="H165" s="55">
        <f t="shared" si="44"/>
        <v>10</v>
      </c>
      <c r="I165" s="55">
        <f t="shared" si="44"/>
        <v>10</v>
      </c>
      <c r="J165" s="55">
        <f t="shared" si="44"/>
        <v>12</v>
      </c>
      <c r="K165" s="56"/>
      <c r="L165" s="30"/>
      <c r="M165" s="57" t="s">
        <v>28</v>
      </c>
      <c r="N165" s="58" t="b">
        <v>0</v>
      </c>
    </row>
    <row r="166" ht="13.5" customHeight="1">
      <c r="A166" s="46" t="s">
        <v>45</v>
      </c>
      <c r="B166" s="59"/>
      <c r="C166" s="53" t="s">
        <v>30</v>
      </c>
      <c r="D166" s="54"/>
      <c r="E166" s="60"/>
      <c r="F166" s="60"/>
      <c r="G166" s="60"/>
      <c r="H166" s="60"/>
      <c r="I166" s="60"/>
      <c r="J166" s="60"/>
      <c r="K166" s="61" t="s">
        <v>30</v>
      </c>
      <c r="L166" s="62">
        <f>(E166*E155)+(F166*F155)+(G166*G155)+(H166*H155)+(I166*I155)+(J166*J155)</f>
        <v>0</v>
      </c>
      <c r="M166" s="57" t="s">
        <v>31</v>
      </c>
      <c r="N166" s="63" t="b">
        <v>0</v>
      </c>
    </row>
    <row r="167" ht="13.5" customHeight="1">
      <c r="A167" s="77"/>
      <c r="B167" s="65" t="s">
        <v>47</v>
      </c>
      <c r="C167" s="53" t="s">
        <v>34</v>
      </c>
      <c r="D167" s="54"/>
      <c r="E167" s="66"/>
      <c r="F167" s="76"/>
      <c r="G167" s="76"/>
      <c r="H167" s="76"/>
      <c r="I167" s="76"/>
      <c r="J167" s="76"/>
      <c r="K167" s="67" t="s">
        <v>35</v>
      </c>
      <c r="L167" s="62">
        <f>(E167*E155)+(F167*F155)+(G167*G155)+(H167*H155)+(I167*I155)+(J167*J155)</f>
        <v>0</v>
      </c>
      <c r="M167" s="57" t="s">
        <v>36</v>
      </c>
      <c r="N167" s="63" t="b">
        <v>0</v>
      </c>
    </row>
    <row r="168" ht="15.0" customHeight="1">
      <c r="A168" s="68"/>
      <c r="B168" s="69" t="str">
        <f>IFS(L168=0,"",B168&lt;&gt;"",B168,TRUE,NOW())</f>
        <v/>
      </c>
      <c r="C168" s="70" t="s">
        <v>37</v>
      </c>
      <c r="D168" s="33"/>
      <c r="E168" s="71"/>
      <c r="F168" s="71"/>
      <c r="G168" s="71"/>
      <c r="H168" s="71"/>
      <c r="I168" s="71"/>
      <c r="J168" s="71"/>
      <c r="K168" s="72" t="s">
        <v>38</v>
      </c>
      <c r="L168" s="73">
        <f>L167-L166</f>
        <v>0</v>
      </c>
      <c r="M168" s="74" t="s">
        <v>39</v>
      </c>
      <c r="N168" s="75" t="b">
        <v>0</v>
      </c>
    </row>
    <row r="169" ht="13.5" customHeight="1">
      <c r="A169" s="78" t="s">
        <v>48</v>
      </c>
      <c r="B169" s="52" t="s">
        <v>78</v>
      </c>
      <c r="C169" s="53" t="s">
        <v>27</v>
      </c>
      <c r="D169" s="54"/>
      <c r="E169" s="55">
        <f t="shared" ref="E169:J169" si="45">E167-E170</f>
        <v>0</v>
      </c>
      <c r="F169" s="55">
        <f t="shared" si="45"/>
        <v>0</v>
      </c>
      <c r="G169" s="55">
        <f t="shared" si="45"/>
        <v>0</v>
      </c>
      <c r="H169" s="55">
        <f t="shared" si="45"/>
        <v>0</v>
      </c>
      <c r="I169" s="55">
        <f t="shared" si="45"/>
        <v>0</v>
      </c>
      <c r="J169" s="55">
        <f t="shared" si="45"/>
        <v>0</v>
      </c>
      <c r="K169" s="56"/>
      <c r="L169" s="30"/>
      <c r="M169" s="57" t="s">
        <v>28</v>
      </c>
      <c r="N169" s="58" t="b">
        <v>0</v>
      </c>
    </row>
    <row r="170" ht="13.5" customHeight="1">
      <c r="A170" s="87"/>
      <c r="B170" s="59"/>
      <c r="C170" s="53" t="s">
        <v>30</v>
      </c>
      <c r="D170" s="54"/>
      <c r="E170" s="60"/>
      <c r="F170" s="60"/>
      <c r="G170" s="60"/>
      <c r="H170" s="60"/>
      <c r="I170" s="60"/>
      <c r="J170" s="60"/>
      <c r="K170" s="61" t="s">
        <v>30</v>
      </c>
      <c r="L170" s="62">
        <f>(E170*E155)+(F170*F155)+(G170*G155)+(H170*H155)+(I170*I155)+(J170*J155)</f>
        <v>0</v>
      </c>
      <c r="M170" s="57" t="s">
        <v>31</v>
      </c>
      <c r="N170" s="63" t="b">
        <v>0</v>
      </c>
    </row>
    <row r="171" ht="13.5" customHeight="1">
      <c r="A171" s="68"/>
      <c r="B171" s="65" t="s">
        <v>49</v>
      </c>
      <c r="C171" s="53" t="s">
        <v>34</v>
      </c>
      <c r="D171" s="54"/>
      <c r="E171" s="66"/>
      <c r="F171" s="66"/>
      <c r="G171" s="66"/>
      <c r="H171" s="66"/>
      <c r="I171" s="66"/>
      <c r="J171" s="66"/>
      <c r="K171" s="67" t="s">
        <v>35</v>
      </c>
      <c r="L171" s="62">
        <f>(E171*E155)+(F171*F155)+(G171*G155)+(H171*H155)+(I171*I155)+(J171*J155)</f>
        <v>0</v>
      </c>
      <c r="M171" s="57" t="s">
        <v>36</v>
      </c>
      <c r="N171" s="63" t="b">
        <v>0</v>
      </c>
    </row>
    <row r="172" ht="13.5" customHeight="1">
      <c r="A172" s="80"/>
      <c r="B172" s="69" t="str">
        <f>IFS(L172=0,"",B172&lt;&gt;"",B172,TRUE,NOW())</f>
        <v/>
      </c>
      <c r="C172" s="86" t="s">
        <v>37</v>
      </c>
      <c r="D172" s="59"/>
      <c r="E172" s="81"/>
      <c r="F172" s="81"/>
      <c r="G172" s="81"/>
      <c r="H172" s="82"/>
      <c r="I172" s="81"/>
      <c r="J172" s="81"/>
      <c r="K172" s="72" t="s">
        <v>38</v>
      </c>
      <c r="L172" s="73">
        <f>L171-L170</f>
        <v>0</v>
      </c>
      <c r="M172" s="74" t="s">
        <v>39</v>
      </c>
      <c r="N172" s="75" t="b">
        <v>0</v>
      </c>
    </row>
    <row r="173" ht="15.0" customHeight="1">
      <c r="A173" s="83" t="s">
        <v>80</v>
      </c>
      <c r="B173" s="42" t="s">
        <v>20</v>
      </c>
      <c r="C173" s="24"/>
      <c r="D173" s="33"/>
      <c r="E173" s="43">
        <f t="shared" ref="E173:J173" si="46">E6</f>
        <v>17</v>
      </c>
      <c r="F173" s="43">
        <f t="shared" si="46"/>
        <v>27</v>
      </c>
      <c r="G173" s="43">
        <f t="shared" si="46"/>
        <v>27</v>
      </c>
      <c r="H173" s="43">
        <f t="shared" si="46"/>
        <v>27</v>
      </c>
      <c r="I173" s="43">
        <f t="shared" si="46"/>
        <v>32</v>
      </c>
      <c r="J173" s="44">
        <f t="shared" si="46"/>
        <v>37</v>
      </c>
      <c r="K173" s="42" t="s">
        <v>21</v>
      </c>
      <c r="L173" s="25"/>
      <c r="M173" s="45" t="s">
        <v>22</v>
      </c>
      <c r="N173" s="25"/>
    </row>
    <row r="174" ht="13.5" customHeight="1">
      <c r="A174" s="46" t="s">
        <v>23</v>
      </c>
      <c r="B174" s="47" t="s">
        <v>24</v>
      </c>
      <c r="C174" s="32" t="s">
        <v>25</v>
      </c>
      <c r="D174" s="33"/>
      <c r="E174" s="48"/>
      <c r="F174" s="48"/>
      <c r="G174" s="48"/>
      <c r="H174" s="48"/>
      <c r="I174" s="48"/>
      <c r="J174" s="48"/>
      <c r="K174" s="49"/>
      <c r="L174" s="25"/>
      <c r="M174" s="50"/>
      <c r="N174" s="10"/>
    </row>
    <row r="175" ht="13.5" customHeight="1">
      <c r="A175" s="92"/>
      <c r="B175" s="52" t="s">
        <v>81</v>
      </c>
      <c r="C175" s="53" t="s">
        <v>27</v>
      </c>
      <c r="D175" s="54"/>
      <c r="E175" s="55">
        <f t="shared" ref="E175:J175" si="47">E174-E176</f>
        <v>0</v>
      </c>
      <c r="F175" s="55">
        <f t="shared" si="47"/>
        <v>0</v>
      </c>
      <c r="G175" s="55">
        <f t="shared" si="47"/>
        <v>0</v>
      </c>
      <c r="H175" s="55">
        <f t="shared" si="47"/>
        <v>0</v>
      </c>
      <c r="I175" s="55">
        <f t="shared" si="47"/>
        <v>0</v>
      </c>
      <c r="J175" s="55">
        <f t="shared" si="47"/>
        <v>0</v>
      </c>
      <c r="K175" s="56"/>
      <c r="L175" s="30"/>
      <c r="M175" s="57" t="s">
        <v>28</v>
      </c>
      <c r="N175" s="58" t="b">
        <v>0</v>
      </c>
    </row>
    <row r="176" ht="13.5" customHeight="1">
      <c r="A176" s="46" t="s">
        <v>29</v>
      </c>
      <c r="B176" s="59"/>
      <c r="C176" s="53" t="s">
        <v>30</v>
      </c>
      <c r="D176" s="54"/>
      <c r="E176" s="60"/>
      <c r="F176" s="60"/>
      <c r="G176" s="60"/>
      <c r="H176" s="60"/>
      <c r="I176" s="60"/>
      <c r="J176" s="60"/>
      <c r="K176" s="61" t="s">
        <v>30</v>
      </c>
      <c r="L176" s="62">
        <f>(E176*E173)+(F176*F173)+(G176*G173)+(H176*H173)+(I176*I173)+(J176*J173)</f>
        <v>0</v>
      </c>
      <c r="M176" s="57" t="s">
        <v>31</v>
      </c>
      <c r="N176" s="63" t="b">
        <v>0</v>
      </c>
    </row>
    <row r="177" ht="13.5" customHeight="1">
      <c r="A177" s="64" t="s">
        <v>172</v>
      </c>
      <c r="B177" s="65" t="s">
        <v>33</v>
      </c>
      <c r="C177" s="53" t="s">
        <v>34</v>
      </c>
      <c r="D177" s="54"/>
      <c r="E177" s="66"/>
      <c r="F177" s="76">
        <v>4.0</v>
      </c>
      <c r="G177" s="76">
        <v>3.0</v>
      </c>
      <c r="H177" s="66"/>
      <c r="I177" s="76">
        <v>2.0</v>
      </c>
      <c r="J177" s="76">
        <v>2.0</v>
      </c>
      <c r="K177" s="67" t="s">
        <v>35</v>
      </c>
      <c r="L177" s="62">
        <f>(E177*E173)+(F177*F173)+(G177*G173)+(H177*H173)+(I177*I173)+(J177*J173)</f>
        <v>327</v>
      </c>
      <c r="M177" s="57" t="s">
        <v>36</v>
      </c>
      <c r="N177" s="63" t="b">
        <v>0</v>
      </c>
    </row>
    <row r="178" ht="15.0" customHeight="1">
      <c r="A178" s="68"/>
      <c r="B178" s="69">
        <f>IFS(L178=0,"",B178&lt;&gt;"",B178,TRUE,NOW())</f>
        <v>46141.59039</v>
      </c>
      <c r="C178" s="70" t="s">
        <v>37</v>
      </c>
      <c r="D178" s="33"/>
      <c r="E178" s="71"/>
      <c r="F178" s="71"/>
      <c r="G178" s="71"/>
      <c r="H178" s="71"/>
      <c r="I178" s="71"/>
      <c r="J178" s="71"/>
      <c r="K178" s="72" t="s">
        <v>38</v>
      </c>
      <c r="L178" s="73">
        <f>L177-L176</f>
        <v>327</v>
      </c>
      <c r="M178" s="74" t="s">
        <v>39</v>
      </c>
      <c r="N178" s="75" t="b">
        <v>0</v>
      </c>
    </row>
    <row r="179" ht="13.5" customHeight="1">
      <c r="A179" s="46" t="s">
        <v>40</v>
      </c>
      <c r="B179" s="52" t="s">
        <v>81</v>
      </c>
      <c r="C179" s="53" t="s">
        <v>27</v>
      </c>
      <c r="D179" s="54"/>
      <c r="E179" s="55">
        <f t="shared" ref="E179:J179" si="48">E177-E180</f>
        <v>0</v>
      </c>
      <c r="F179" s="55">
        <f t="shared" si="48"/>
        <v>4</v>
      </c>
      <c r="G179" s="55">
        <f t="shared" si="48"/>
        <v>3</v>
      </c>
      <c r="H179" s="55">
        <f t="shared" si="48"/>
        <v>0</v>
      </c>
      <c r="I179" s="55">
        <f t="shared" si="48"/>
        <v>2</v>
      </c>
      <c r="J179" s="55">
        <f t="shared" si="48"/>
        <v>2</v>
      </c>
      <c r="K179" s="56"/>
      <c r="L179" s="30"/>
      <c r="M179" s="57" t="s">
        <v>28</v>
      </c>
      <c r="N179" s="58" t="b">
        <v>0</v>
      </c>
    </row>
    <row r="180" ht="13.5" customHeight="1">
      <c r="A180" s="64"/>
      <c r="B180" s="59"/>
      <c r="C180" s="53" t="s">
        <v>30</v>
      </c>
      <c r="D180" s="54"/>
      <c r="E180" s="60"/>
      <c r="F180" s="60"/>
      <c r="G180" s="60"/>
      <c r="H180" s="60"/>
      <c r="I180" s="60"/>
      <c r="J180" s="60"/>
      <c r="K180" s="61" t="s">
        <v>30</v>
      </c>
      <c r="L180" s="62">
        <f>(E180*E173)+(F180*F173)+(G180*G173)+(H180*H173)+(I180*I173)+(J180*J173)</f>
        <v>0</v>
      </c>
      <c r="M180" s="57" t="s">
        <v>31</v>
      </c>
      <c r="N180" s="63" t="b">
        <v>0</v>
      </c>
    </row>
    <row r="181" ht="13.5" customHeight="1">
      <c r="A181" s="68"/>
      <c r="B181" s="65" t="s">
        <v>42</v>
      </c>
      <c r="C181" s="53" t="s">
        <v>34</v>
      </c>
      <c r="D181" s="54"/>
      <c r="E181" s="66"/>
      <c r="F181" s="76">
        <v>2.0</v>
      </c>
      <c r="G181" s="76">
        <v>3.0</v>
      </c>
      <c r="H181" s="76">
        <v>2.0</v>
      </c>
      <c r="I181" s="76">
        <v>2.0</v>
      </c>
      <c r="J181" s="76">
        <v>2.0</v>
      </c>
      <c r="K181" s="67" t="s">
        <v>35</v>
      </c>
      <c r="L181" s="62">
        <f>(E181*E173)+(F181*F173)+(G181*G173)+(H181*H173)+(I181*I173)+(J181*J173)</f>
        <v>327</v>
      </c>
      <c r="M181" s="57" t="s">
        <v>36</v>
      </c>
      <c r="N181" s="63" t="b">
        <v>0</v>
      </c>
    </row>
    <row r="182" ht="13.5" customHeight="1">
      <c r="A182" s="46" t="s">
        <v>43</v>
      </c>
      <c r="B182" s="69">
        <f>IFS(L182=0,"",B182&lt;&gt;"",B182,TRUE,NOW())</f>
        <v>46148.63381</v>
      </c>
      <c r="C182" s="70" t="s">
        <v>37</v>
      </c>
      <c r="D182" s="33"/>
      <c r="E182" s="71"/>
      <c r="F182" s="71"/>
      <c r="G182" s="71"/>
      <c r="H182" s="71"/>
      <c r="I182" s="71"/>
      <c r="J182" s="71"/>
      <c r="K182" s="72" t="s">
        <v>38</v>
      </c>
      <c r="L182" s="73">
        <f>L181-L180</f>
        <v>327</v>
      </c>
      <c r="M182" s="74" t="s">
        <v>39</v>
      </c>
      <c r="N182" s="75" t="b">
        <v>0</v>
      </c>
    </row>
    <row r="183" ht="13.5" customHeight="1">
      <c r="A183" s="64"/>
      <c r="B183" s="52" t="s">
        <v>81</v>
      </c>
      <c r="C183" s="53" t="s">
        <v>27</v>
      </c>
      <c r="D183" s="54"/>
      <c r="E183" s="55">
        <f t="shared" ref="E183:J183" si="49">E181-E184</f>
        <v>0</v>
      </c>
      <c r="F183" s="55">
        <f t="shared" si="49"/>
        <v>2</v>
      </c>
      <c r="G183" s="55">
        <f t="shared" si="49"/>
        <v>2</v>
      </c>
      <c r="H183" s="55">
        <f t="shared" si="49"/>
        <v>2</v>
      </c>
      <c r="I183" s="55">
        <f t="shared" si="49"/>
        <v>2</v>
      </c>
      <c r="J183" s="55">
        <f t="shared" si="49"/>
        <v>2</v>
      </c>
      <c r="K183" s="56"/>
      <c r="L183" s="30"/>
      <c r="M183" s="57" t="s">
        <v>28</v>
      </c>
      <c r="N183" s="58" t="b">
        <v>0</v>
      </c>
    </row>
    <row r="184" ht="13.5" customHeight="1">
      <c r="A184" s="46" t="s">
        <v>45</v>
      </c>
      <c r="B184" s="59"/>
      <c r="C184" s="53" t="s">
        <v>30</v>
      </c>
      <c r="D184" s="54"/>
      <c r="E184" s="60"/>
      <c r="F184" s="60"/>
      <c r="G184" s="84">
        <v>1.0</v>
      </c>
      <c r="H184" s="60"/>
      <c r="I184" s="60"/>
      <c r="J184" s="60"/>
      <c r="K184" s="61" t="s">
        <v>30</v>
      </c>
      <c r="L184" s="62">
        <f>(E184*E173)+(F184*F173)+(G184*G173)+(H184*H173)+(I184*I173)+(J184*J173)</f>
        <v>27</v>
      </c>
      <c r="M184" s="57" t="s">
        <v>31</v>
      </c>
      <c r="N184" s="63" t="b">
        <v>0</v>
      </c>
    </row>
    <row r="185" ht="18.0" customHeight="1">
      <c r="A185" s="77"/>
      <c r="B185" s="65" t="s">
        <v>47</v>
      </c>
      <c r="C185" s="53" t="s">
        <v>34</v>
      </c>
      <c r="D185" s="54"/>
      <c r="E185" s="66"/>
      <c r="F185" s="76">
        <v>3.0</v>
      </c>
      <c r="G185" s="76">
        <v>2.0</v>
      </c>
      <c r="H185" s="76">
        <v>2.0</v>
      </c>
      <c r="I185" s="76">
        <v>2.0</v>
      </c>
      <c r="J185" s="76">
        <v>2.0</v>
      </c>
      <c r="K185" s="67" t="s">
        <v>35</v>
      </c>
      <c r="L185" s="62">
        <f>(E185*E173)+(F185*F173)+(G185*G173)+(H185*H173)+(I185*I173)+(J185*J173)</f>
        <v>327</v>
      </c>
      <c r="M185" s="57" t="s">
        <v>36</v>
      </c>
      <c r="N185" s="63" t="b">
        <v>0</v>
      </c>
    </row>
    <row r="186" ht="13.5" customHeight="1">
      <c r="A186" s="68"/>
      <c r="B186" s="69">
        <f>IFS(L186=0,"",B186&lt;&gt;"",B186,TRUE,NOW())</f>
        <v>46155.67439</v>
      </c>
      <c r="C186" s="70" t="s">
        <v>37</v>
      </c>
      <c r="D186" s="33"/>
      <c r="E186" s="71"/>
      <c r="F186" s="71"/>
      <c r="G186" s="71"/>
      <c r="H186" s="71"/>
      <c r="I186" s="71"/>
      <c r="J186" s="71"/>
      <c r="K186" s="72" t="s">
        <v>38</v>
      </c>
      <c r="L186" s="73">
        <f>L185-L184</f>
        <v>300</v>
      </c>
      <c r="M186" s="74" t="s">
        <v>39</v>
      </c>
      <c r="N186" s="75" t="b">
        <v>0</v>
      </c>
    </row>
    <row r="187" ht="13.5" customHeight="1">
      <c r="A187" s="78" t="s">
        <v>48</v>
      </c>
      <c r="B187" s="52" t="s">
        <v>81</v>
      </c>
      <c r="C187" s="53" t="s">
        <v>27</v>
      </c>
      <c r="D187" s="54"/>
      <c r="E187" s="55">
        <f t="shared" ref="E187:J187" si="50">E185-E188</f>
        <v>0</v>
      </c>
      <c r="F187" s="55">
        <f t="shared" si="50"/>
        <v>3</v>
      </c>
      <c r="G187" s="55">
        <f t="shared" si="50"/>
        <v>2</v>
      </c>
      <c r="H187" s="55">
        <f t="shared" si="50"/>
        <v>2</v>
      </c>
      <c r="I187" s="55">
        <f t="shared" si="50"/>
        <v>2</v>
      </c>
      <c r="J187" s="55">
        <f t="shared" si="50"/>
        <v>2</v>
      </c>
      <c r="K187" s="56"/>
      <c r="L187" s="30"/>
      <c r="M187" s="57" t="s">
        <v>28</v>
      </c>
      <c r="N187" s="58" t="b">
        <v>0</v>
      </c>
    </row>
    <row r="188" ht="13.5" customHeight="1">
      <c r="A188" s="87"/>
      <c r="B188" s="59"/>
      <c r="C188" s="53" t="s">
        <v>30</v>
      </c>
      <c r="D188" s="54"/>
      <c r="E188" s="60"/>
      <c r="F188" s="60"/>
      <c r="G188" s="60"/>
      <c r="H188" s="60"/>
      <c r="I188" s="60"/>
      <c r="J188" s="60"/>
      <c r="K188" s="61" t="s">
        <v>30</v>
      </c>
      <c r="L188" s="62">
        <f>(E188*E173)+(F188*F173)+(G188*G173)+(H188*H173)+(I188*I173)+(J188*J173)</f>
        <v>0</v>
      </c>
      <c r="M188" s="57" t="s">
        <v>31</v>
      </c>
      <c r="N188" s="63" t="b">
        <v>0</v>
      </c>
    </row>
    <row r="189" ht="13.5" customHeight="1">
      <c r="A189" s="68"/>
      <c r="B189" s="65" t="s">
        <v>49</v>
      </c>
      <c r="C189" s="53" t="s">
        <v>34</v>
      </c>
      <c r="D189" s="54"/>
      <c r="E189" s="66"/>
      <c r="F189" s="66"/>
      <c r="G189" s="66"/>
      <c r="H189" s="66"/>
      <c r="I189" s="66"/>
      <c r="J189" s="66"/>
      <c r="K189" s="67" t="s">
        <v>35</v>
      </c>
      <c r="L189" s="62">
        <f>(E189*E173)+(F189*F173)+(G189*G173)+(H189*H173)+(I189*I173)+(J189*J173)</f>
        <v>0</v>
      </c>
      <c r="M189" s="57" t="s">
        <v>36</v>
      </c>
      <c r="N189" s="63" t="b">
        <v>0</v>
      </c>
    </row>
    <row r="190" ht="15.0" customHeight="1">
      <c r="A190" s="80"/>
      <c r="B190" s="69" t="str">
        <f>IFS(L190=0,"",B190&lt;&gt;"",B190,TRUE,NOW())</f>
        <v/>
      </c>
      <c r="C190" s="86" t="s">
        <v>37</v>
      </c>
      <c r="D190" s="59"/>
      <c r="E190" s="81"/>
      <c r="F190" s="81"/>
      <c r="G190" s="81"/>
      <c r="H190" s="82"/>
      <c r="I190" s="81"/>
      <c r="J190" s="81"/>
      <c r="K190" s="72" t="s">
        <v>38</v>
      </c>
      <c r="L190" s="73">
        <f>L189-L188</f>
        <v>0</v>
      </c>
      <c r="M190" s="74" t="s">
        <v>39</v>
      </c>
      <c r="N190" s="75" t="b">
        <v>0</v>
      </c>
    </row>
    <row r="191" ht="13.5" customHeight="1">
      <c r="A191" s="83" t="s">
        <v>83</v>
      </c>
      <c r="B191" s="42" t="s">
        <v>20</v>
      </c>
      <c r="C191" s="24"/>
      <c r="D191" s="33"/>
      <c r="E191" s="43">
        <f t="shared" ref="E191:J191" si="51">E6</f>
        <v>17</v>
      </c>
      <c r="F191" s="43">
        <f t="shared" si="51"/>
        <v>27</v>
      </c>
      <c r="G191" s="43">
        <f t="shared" si="51"/>
        <v>27</v>
      </c>
      <c r="H191" s="43">
        <f t="shared" si="51"/>
        <v>27</v>
      </c>
      <c r="I191" s="43">
        <f t="shared" si="51"/>
        <v>32</v>
      </c>
      <c r="J191" s="44">
        <f t="shared" si="51"/>
        <v>37</v>
      </c>
      <c r="K191" s="42" t="s">
        <v>21</v>
      </c>
      <c r="L191" s="25"/>
      <c r="M191" s="45" t="s">
        <v>22</v>
      </c>
      <c r="N191" s="25"/>
    </row>
    <row r="192" ht="13.5" customHeight="1">
      <c r="A192" s="46" t="s">
        <v>23</v>
      </c>
      <c r="B192" s="47" t="s">
        <v>24</v>
      </c>
      <c r="C192" s="32" t="s">
        <v>25</v>
      </c>
      <c r="D192" s="33"/>
      <c r="E192" s="48"/>
      <c r="F192" s="48"/>
      <c r="G192" s="48"/>
      <c r="H192" s="48"/>
      <c r="I192" s="48"/>
      <c r="J192" s="48"/>
      <c r="K192" s="49"/>
      <c r="L192" s="25"/>
      <c r="M192" s="50"/>
      <c r="N192" s="10"/>
    </row>
    <row r="193" ht="13.5" customHeight="1">
      <c r="A193" s="92"/>
      <c r="B193" s="52" t="s">
        <v>84</v>
      </c>
      <c r="C193" s="53" t="s">
        <v>27</v>
      </c>
      <c r="D193" s="54"/>
      <c r="E193" s="55">
        <f t="shared" ref="E193:J193" si="52">E192-E194</f>
        <v>0</v>
      </c>
      <c r="F193" s="55">
        <f t="shared" si="52"/>
        <v>0</v>
      </c>
      <c r="G193" s="55">
        <f t="shared" si="52"/>
        <v>0</v>
      </c>
      <c r="H193" s="55">
        <f t="shared" si="52"/>
        <v>0</v>
      </c>
      <c r="I193" s="55">
        <f t="shared" si="52"/>
        <v>0</v>
      </c>
      <c r="J193" s="55">
        <f t="shared" si="52"/>
        <v>0</v>
      </c>
      <c r="K193" s="56"/>
      <c r="L193" s="30"/>
      <c r="M193" s="57" t="s">
        <v>28</v>
      </c>
      <c r="N193" s="58" t="b">
        <v>0</v>
      </c>
    </row>
    <row r="194" ht="13.5" customHeight="1">
      <c r="A194" s="46" t="s">
        <v>29</v>
      </c>
      <c r="B194" s="59"/>
      <c r="C194" s="53" t="s">
        <v>30</v>
      </c>
      <c r="D194" s="54"/>
      <c r="E194" s="60"/>
      <c r="F194" s="60"/>
      <c r="G194" s="60"/>
      <c r="H194" s="60"/>
      <c r="I194" s="60"/>
      <c r="J194" s="60"/>
      <c r="K194" s="61" t="s">
        <v>30</v>
      </c>
      <c r="L194" s="62">
        <f>(E194*E191)+(F194*F191)+(G194*G191)+(H194*H191)+(I194*I191)+(J194*J191)</f>
        <v>0</v>
      </c>
      <c r="M194" s="57" t="s">
        <v>31</v>
      </c>
      <c r="N194" s="63" t="b">
        <v>0</v>
      </c>
    </row>
    <row r="195" ht="18.0" customHeight="1">
      <c r="A195" s="64" t="s">
        <v>173</v>
      </c>
      <c r="B195" s="65" t="s">
        <v>33</v>
      </c>
      <c r="C195" s="53" t="s">
        <v>34</v>
      </c>
      <c r="D195" s="54"/>
      <c r="E195" s="66"/>
      <c r="F195" s="76">
        <v>3.0</v>
      </c>
      <c r="G195" s="76">
        <v>3.0</v>
      </c>
      <c r="H195" s="66"/>
      <c r="I195" s="76">
        <v>2.0</v>
      </c>
      <c r="J195" s="76">
        <v>3.0</v>
      </c>
      <c r="K195" s="67" t="s">
        <v>35</v>
      </c>
      <c r="L195" s="62">
        <f>(E195*E191)+(F195*F191)+(G195*G191)+(H195*H191)+(I195*I191)+(J195*J191)</f>
        <v>337</v>
      </c>
      <c r="M195" s="57" t="s">
        <v>36</v>
      </c>
      <c r="N195" s="63" t="b">
        <v>0</v>
      </c>
    </row>
    <row r="196" ht="13.5" customHeight="1">
      <c r="A196" s="68"/>
      <c r="B196" s="69">
        <f>IFS(L196=0,"",B196&lt;&gt;"",B196,TRUE,NOW())</f>
        <v>46141.59052</v>
      </c>
      <c r="C196" s="70" t="s">
        <v>37</v>
      </c>
      <c r="D196" s="33"/>
      <c r="E196" s="71"/>
      <c r="F196" s="71"/>
      <c r="G196" s="71"/>
      <c r="H196" s="71"/>
      <c r="I196" s="71"/>
      <c r="J196" s="71"/>
      <c r="K196" s="72" t="s">
        <v>38</v>
      </c>
      <c r="L196" s="73">
        <f>L195-L194</f>
        <v>337</v>
      </c>
      <c r="M196" s="74" t="s">
        <v>39</v>
      </c>
      <c r="N196" s="75" t="b">
        <v>0</v>
      </c>
    </row>
    <row r="197" ht="13.5" customHeight="1">
      <c r="A197" s="46" t="s">
        <v>40</v>
      </c>
      <c r="B197" s="52" t="s">
        <v>84</v>
      </c>
      <c r="C197" s="53" t="s">
        <v>27</v>
      </c>
      <c r="D197" s="54"/>
      <c r="E197" s="55">
        <f t="shared" ref="E197:J197" si="53">E195-E198</f>
        <v>0</v>
      </c>
      <c r="F197" s="55">
        <f t="shared" si="53"/>
        <v>3</v>
      </c>
      <c r="G197" s="55">
        <f t="shared" si="53"/>
        <v>3</v>
      </c>
      <c r="H197" s="55">
        <f t="shared" si="53"/>
        <v>0</v>
      </c>
      <c r="I197" s="55">
        <f t="shared" si="53"/>
        <v>2</v>
      </c>
      <c r="J197" s="55">
        <f t="shared" si="53"/>
        <v>3</v>
      </c>
      <c r="K197" s="56"/>
      <c r="L197" s="30"/>
      <c r="M197" s="57" t="s">
        <v>28</v>
      </c>
      <c r="N197" s="58" t="b">
        <v>0</v>
      </c>
    </row>
    <row r="198" ht="13.5" customHeight="1">
      <c r="A198" s="64"/>
      <c r="B198" s="59"/>
      <c r="C198" s="53" t="s">
        <v>30</v>
      </c>
      <c r="D198" s="54"/>
      <c r="E198" s="60"/>
      <c r="F198" s="60"/>
      <c r="G198" s="60"/>
      <c r="H198" s="60"/>
      <c r="I198" s="60"/>
      <c r="J198" s="60"/>
      <c r="K198" s="61" t="s">
        <v>30</v>
      </c>
      <c r="L198" s="62">
        <f>(E198*E191)+(F198*F191)+(G198*G191)+(H198*H191)+(I198*I191)+(J198*J191)</f>
        <v>0</v>
      </c>
      <c r="M198" s="57" t="s">
        <v>31</v>
      </c>
      <c r="N198" s="63" t="b">
        <v>0</v>
      </c>
    </row>
    <row r="199" ht="13.5" customHeight="1">
      <c r="A199" s="68"/>
      <c r="B199" s="65" t="s">
        <v>42</v>
      </c>
      <c r="C199" s="53" t="s">
        <v>34</v>
      </c>
      <c r="D199" s="54"/>
      <c r="E199" s="66"/>
      <c r="F199" s="76">
        <v>2.0</v>
      </c>
      <c r="G199" s="76">
        <v>3.0</v>
      </c>
      <c r="H199" s="76">
        <v>2.0</v>
      </c>
      <c r="I199" s="76">
        <v>2.0</v>
      </c>
      <c r="J199" s="76">
        <v>3.0</v>
      </c>
      <c r="K199" s="67" t="s">
        <v>35</v>
      </c>
      <c r="L199" s="62">
        <f>(E199*E191)+(F199*F191)+(G199*G191)+(H199*H191)+(I199*I191)+(J199*J191)</f>
        <v>364</v>
      </c>
      <c r="M199" s="57" t="s">
        <v>36</v>
      </c>
      <c r="N199" s="63" t="b">
        <v>0</v>
      </c>
    </row>
    <row r="200" ht="15.0" customHeight="1">
      <c r="A200" s="46" t="s">
        <v>43</v>
      </c>
      <c r="B200" s="69">
        <f>IFS(L200=0,"",B200&lt;&gt;"",B200,TRUE,NOW())</f>
        <v>46148.63393</v>
      </c>
      <c r="C200" s="70" t="s">
        <v>37</v>
      </c>
      <c r="D200" s="33"/>
      <c r="E200" s="71"/>
      <c r="F200" s="71"/>
      <c r="G200" s="71"/>
      <c r="H200" s="71"/>
      <c r="I200" s="71"/>
      <c r="J200" s="71"/>
      <c r="K200" s="72" t="s">
        <v>38</v>
      </c>
      <c r="L200" s="73">
        <f>L199-L198</f>
        <v>364</v>
      </c>
      <c r="M200" s="74" t="s">
        <v>39</v>
      </c>
      <c r="N200" s="75" t="b">
        <v>0</v>
      </c>
    </row>
    <row r="201" ht="13.5" customHeight="1">
      <c r="A201" s="64"/>
      <c r="B201" s="52" t="s">
        <v>84</v>
      </c>
      <c r="C201" s="53" t="s">
        <v>27</v>
      </c>
      <c r="D201" s="54"/>
      <c r="E201" s="55">
        <f t="shared" ref="E201:J201" si="54">E199-E202</f>
        <v>0</v>
      </c>
      <c r="F201" s="55">
        <f t="shared" si="54"/>
        <v>2</v>
      </c>
      <c r="G201" s="55">
        <f t="shared" si="54"/>
        <v>3</v>
      </c>
      <c r="H201" s="55">
        <f t="shared" si="54"/>
        <v>2</v>
      </c>
      <c r="I201" s="55">
        <f t="shared" si="54"/>
        <v>2</v>
      </c>
      <c r="J201" s="55">
        <f t="shared" si="54"/>
        <v>3</v>
      </c>
      <c r="K201" s="56"/>
      <c r="L201" s="30"/>
      <c r="M201" s="57" t="s">
        <v>28</v>
      </c>
      <c r="N201" s="58" t="b">
        <v>0</v>
      </c>
    </row>
    <row r="202" ht="13.5" customHeight="1">
      <c r="A202" s="46" t="s">
        <v>45</v>
      </c>
      <c r="B202" s="59"/>
      <c r="C202" s="53" t="s">
        <v>30</v>
      </c>
      <c r="D202" s="54"/>
      <c r="E202" s="60"/>
      <c r="F202" s="60"/>
      <c r="G202" s="60"/>
      <c r="H202" s="60"/>
      <c r="I202" s="60"/>
      <c r="J202" s="60"/>
      <c r="K202" s="61" t="s">
        <v>30</v>
      </c>
      <c r="L202" s="62">
        <f>(E202*E191)+(F202*F191)+(G202*G191)+(H202*H191)+(I202*I191)+(J202*J191)</f>
        <v>0</v>
      </c>
      <c r="M202" s="57" t="s">
        <v>31</v>
      </c>
      <c r="N202" s="63" t="b">
        <v>0</v>
      </c>
    </row>
    <row r="203" ht="13.5" customHeight="1">
      <c r="A203" s="77"/>
      <c r="B203" s="65" t="s">
        <v>47</v>
      </c>
      <c r="C203" s="53" t="s">
        <v>34</v>
      </c>
      <c r="D203" s="54"/>
      <c r="E203" s="66"/>
      <c r="F203" s="76">
        <v>3.0</v>
      </c>
      <c r="G203" s="76">
        <v>3.0</v>
      </c>
      <c r="H203" s="76">
        <v>2.0</v>
      </c>
      <c r="I203" s="76">
        <v>2.0</v>
      </c>
      <c r="J203" s="76">
        <v>3.0</v>
      </c>
      <c r="K203" s="67" t="s">
        <v>35</v>
      </c>
      <c r="L203" s="62">
        <f>(E203*E191)+(F203*F191)+(G203*G191)+(H203*H191)+(I203*I191)+(J203*J191)</f>
        <v>391</v>
      </c>
      <c r="M203" s="57" t="s">
        <v>36</v>
      </c>
      <c r="N203" s="63" t="b">
        <v>0</v>
      </c>
    </row>
    <row r="204" ht="13.5" customHeight="1">
      <c r="A204" s="68"/>
      <c r="B204" s="69">
        <f>IFS(L204=0,"",B204&lt;&gt;"",B204,TRUE,NOW())</f>
        <v>46155.76328</v>
      </c>
      <c r="C204" s="70" t="s">
        <v>37</v>
      </c>
      <c r="D204" s="33"/>
      <c r="E204" s="71"/>
      <c r="F204" s="71"/>
      <c r="G204" s="71"/>
      <c r="H204" s="71"/>
      <c r="I204" s="71"/>
      <c r="J204" s="71"/>
      <c r="K204" s="72" t="s">
        <v>38</v>
      </c>
      <c r="L204" s="73">
        <f>L203-L202</f>
        <v>391</v>
      </c>
      <c r="M204" s="74" t="s">
        <v>39</v>
      </c>
      <c r="N204" s="75" t="b">
        <v>0</v>
      </c>
    </row>
    <row r="205" ht="13.5" customHeight="1">
      <c r="A205" s="78" t="s">
        <v>48</v>
      </c>
      <c r="B205" s="52" t="s">
        <v>84</v>
      </c>
      <c r="C205" s="53" t="s">
        <v>27</v>
      </c>
      <c r="D205" s="54"/>
      <c r="E205" s="55">
        <f t="shared" ref="E205:J205" si="55">E203-E206</f>
        <v>0</v>
      </c>
      <c r="F205" s="55">
        <f t="shared" si="55"/>
        <v>3</v>
      </c>
      <c r="G205" s="55">
        <f t="shared" si="55"/>
        <v>3</v>
      </c>
      <c r="H205" s="55">
        <f t="shared" si="55"/>
        <v>2</v>
      </c>
      <c r="I205" s="55">
        <f t="shared" si="55"/>
        <v>2</v>
      </c>
      <c r="J205" s="55">
        <f t="shared" si="55"/>
        <v>3</v>
      </c>
      <c r="K205" s="56"/>
      <c r="L205" s="30"/>
      <c r="M205" s="57" t="s">
        <v>28</v>
      </c>
      <c r="N205" s="58" t="b">
        <v>0</v>
      </c>
    </row>
    <row r="206" ht="13.5" customHeight="1">
      <c r="A206" s="87"/>
      <c r="B206" s="59"/>
      <c r="C206" s="53" t="s">
        <v>30</v>
      </c>
      <c r="D206" s="54"/>
      <c r="E206" s="60"/>
      <c r="F206" s="60"/>
      <c r="G206" s="60"/>
      <c r="H206" s="60"/>
      <c r="I206" s="60"/>
      <c r="J206" s="60"/>
      <c r="K206" s="61" t="s">
        <v>30</v>
      </c>
      <c r="L206" s="62">
        <f>(E206*E191)+(F206*F191)+(G206*G191)+(H206*H191)+(I206*I191)+(J206*J191)</f>
        <v>0</v>
      </c>
      <c r="M206" s="57" t="s">
        <v>31</v>
      </c>
      <c r="N206" s="63" t="b">
        <v>0</v>
      </c>
    </row>
    <row r="207" ht="18.0" customHeight="1">
      <c r="A207" s="68"/>
      <c r="B207" s="65" t="s">
        <v>49</v>
      </c>
      <c r="C207" s="53" t="s">
        <v>34</v>
      </c>
      <c r="D207" s="54"/>
      <c r="E207" s="66"/>
      <c r="F207" s="66"/>
      <c r="G207" s="66"/>
      <c r="H207" s="66"/>
      <c r="I207" s="66"/>
      <c r="J207" s="66"/>
      <c r="K207" s="67" t="s">
        <v>35</v>
      </c>
      <c r="L207" s="62">
        <f>(E207*E191)+(F207*F191)+(G207*G191)+(H207*H191)+(I207*I191)+(J207*J191)</f>
        <v>0</v>
      </c>
      <c r="M207" s="57" t="s">
        <v>36</v>
      </c>
      <c r="N207" s="63" t="b">
        <v>0</v>
      </c>
    </row>
    <row r="208" ht="13.5" customHeight="1">
      <c r="A208" s="80"/>
      <c r="B208" s="69" t="str">
        <f>IFS(L208=0,"",B208&lt;&gt;"",B208,TRUE,NOW())</f>
        <v/>
      </c>
      <c r="C208" s="53" t="s">
        <v>37</v>
      </c>
      <c r="D208" s="54"/>
      <c r="E208" s="81"/>
      <c r="F208" s="81"/>
      <c r="G208" s="81"/>
      <c r="H208" s="82"/>
      <c r="I208" s="81"/>
      <c r="J208" s="81"/>
      <c r="K208" s="72" t="s">
        <v>38</v>
      </c>
      <c r="L208" s="73">
        <f>L207-L206</f>
        <v>0</v>
      </c>
      <c r="M208" s="74" t="s">
        <v>39</v>
      </c>
      <c r="N208" s="75" t="b">
        <v>0</v>
      </c>
    </row>
    <row r="209" ht="13.5" customHeight="1">
      <c r="A209" s="83" t="s">
        <v>86</v>
      </c>
      <c r="B209" s="42" t="s">
        <v>20</v>
      </c>
      <c r="C209" s="24"/>
      <c r="D209" s="33"/>
      <c r="E209" s="43">
        <f t="shared" ref="E209:J209" si="56">E6</f>
        <v>17</v>
      </c>
      <c r="F209" s="43">
        <f t="shared" si="56"/>
        <v>27</v>
      </c>
      <c r="G209" s="43">
        <f t="shared" si="56"/>
        <v>27</v>
      </c>
      <c r="H209" s="43">
        <f t="shared" si="56"/>
        <v>27</v>
      </c>
      <c r="I209" s="43">
        <f t="shared" si="56"/>
        <v>32</v>
      </c>
      <c r="J209" s="44">
        <f t="shared" si="56"/>
        <v>37</v>
      </c>
      <c r="K209" s="42" t="s">
        <v>21</v>
      </c>
      <c r="L209" s="25"/>
      <c r="M209" s="45" t="s">
        <v>22</v>
      </c>
      <c r="N209" s="25"/>
    </row>
    <row r="210" ht="13.5" customHeight="1">
      <c r="A210" s="46" t="s">
        <v>23</v>
      </c>
      <c r="B210" s="47" t="s">
        <v>24</v>
      </c>
      <c r="C210" s="32" t="s">
        <v>25</v>
      </c>
      <c r="D210" s="33"/>
      <c r="E210" s="48"/>
      <c r="F210" s="48"/>
      <c r="G210" s="48"/>
      <c r="H210" s="48"/>
      <c r="I210" s="48"/>
      <c r="J210" s="48"/>
      <c r="K210" s="49"/>
      <c r="L210" s="25"/>
      <c r="M210" s="50"/>
      <c r="N210" s="10"/>
    </row>
    <row r="211" ht="13.5" customHeight="1">
      <c r="A211" s="92"/>
      <c r="B211" s="52" t="s">
        <v>87</v>
      </c>
      <c r="C211" s="53" t="s">
        <v>27</v>
      </c>
      <c r="D211" s="54"/>
      <c r="E211" s="55">
        <f t="shared" ref="E211:J211" si="57">E210-E212</f>
        <v>0</v>
      </c>
      <c r="F211" s="55">
        <f t="shared" si="57"/>
        <v>0</v>
      </c>
      <c r="G211" s="55">
        <f t="shared" si="57"/>
        <v>0</v>
      </c>
      <c r="H211" s="55">
        <f t="shared" si="57"/>
        <v>0</v>
      </c>
      <c r="I211" s="55">
        <f t="shared" si="57"/>
        <v>0</v>
      </c>
      <c r="J211" s="55">
        <f t="shared" si="57"/>
        <v>0</v>
      </c>
      <c r="K211" s="56"/>
      <c r="L211" s="30"/>
      <c r="M211" s="57" t="s">
        <v>28</v>
      </c>
      <c r="N211" s="58" t="b">
        <v>0</v>
      </c>
    </row>
    <row r="212" ht="18.0" customHeight="1">
      <c r="A212" s="46" t="s">
        <v>29</v>
      </c>
      <c r="B212" s="59"/>
      <c r="C212" s="53" t="s">
        <v>30</v>
      </c>
      <c r="D212" s="54"/>
      <c r="E212" s="60"/>
      <c r="F212" s="60"/>
      <c r="G212" s="60"/>
      <c r="H212" s="60"/>
      <c r="I212" s="60"/>
      <c r="J212" s="60"/>
      <c r="K212" s="61" t="s">
        <v>30</v>
      </c>
      <c r="L212" s="62">
        <f>(E212*E209)+(F212*F209)+(G212*G209)+(H212*H209)+(I212*I209)+(J212*J209)</f>
        <v>0</v>
      </c>
      <c r="M212" s="57" t="s">
        <v>31</v>
      </c>
      <c r="N212" s="63" t="b">
        <v>0</v>
      </c>
    </row>
    <row r="213" ht="13.5" customHeight="1">
      <c r="A213" s="64" t="s">
        <v>174</v>
      </c>
      <c r="B213" s="65" t="s">
        <v>33</v>
      </c>
      <c r="C213" s="53" t="s">
        <v>34</v>
      </c>
      <c r="D213" s="54"/>
      <c r="E213" s="66"/>
      <c r="F213" s="66"/>
      <c r="G213" s="66"/>
      <c r="H213" s="66"/>
      <c r="I213" s="66"/>
      <c r="J213" s="66"/>
      <c r="K213" s="67" t="s">
        <v>35</v>
      </c>
      <c r="L213" s="62">
        <f>(E213*E209)+(F213*F209)+(G213*G209)+(H213*H209)+(I213*I209)+(J213*J209)</f>
        <v>0</v>
      </c>
      <c r="M213" s="57" t="s">
        <v>36</v>
      </c>
      <c r="N213" s="63" t="b">
        <v>0</v>
      </c>
    </row>
    <row r="214" ht="13.5" customHeight="1">
      <c r="A214" s="68"/>
      <c r="B214" s="69" t="str">
        <f>IFS(L214=0,"",B214&lt;&gt;"",B214,TRUE,NOW())</f>
        <v/>
      </c>
      <c r="C214" s="70" t="s">
        <v>37</v>
      </c>
      <c r="D214" s="33"/>
      <c r="E214" s="71"/>
      <c r="F214" s="71"/>
      <c r="G214" s="71"/>
      <c r="H214" s="71"/>
      <c r="I214" s="71"/>
      <c r="J214" s="71"/>
      <c r="K214" s="72" t="s">
        <v>38</v>
      </c>
      <c r="L214" s="73">
        <f>L213-L212</f>
        <v>0</v>
      </c>
      <c r="M214" s="74" t="s">
        <v>39</v>
      </c>
      <c r="N214" s="75" t="b">
        <v>0</v>
      </c>
    </row>
    <row r="215" ht="13.5" customHeight="1">
      <c r="A215" s="46" t="s">
        <v>40</v>
      </c>
      <c r="B215" s="52" t="s">
        <v>87</v>
      </c>
      <c r="C215" s="53" t="s">
        <v>27</v>
      </c>
      <c r="D215" s="54"/>
      <c r="E215" s="55">
        <f t="shared" ref="E215:J215" si="58">E213-E216</f>
        <v>0</v>
      </c>
      <c r="F215" s="55">
        <f t="shared" si="58"/>
        <v>0</v>
      </c>
      <c r="G215" s="55">
        <f t="shared" si="58"/>
        <v>0</v>
      </c>
      <c r="H215" s="55">
        <f t="shared" si="58"/>
        <v>0</v>
      </c>
      <c r="I215" s="55">
        <f t="shared" si="58"/>
        <v>0</v>
      </c>
      <c r="J215" s="55">
        <f t="shared" si="58"/>
        <v>0</v>
      </c>
      <c r="K215" s="56"/>
      <c r="L215" s="30"/>
      <c r="M215" s="57" t="s">
        <v>28</v>
      </c>
      <c r="N215" s="58" t="b">
        <v>0</v>
      </c>
    </row>
    <row r="216" ht="13.5" customHeight="1">
      <c r="A216" s="64"/>
      <c r="B216" s="59"/>
      <c r="C216" s="53" t="s">
        <v>30</v>
      </c>
      <c r="D216" s="54"/>
      <c r="E216" s="60"/>
      <c r="F216" s="60"/>
      <c r="G216" s="60"/>
      <c r="H216" s="60"/>
      <c r="I216" s="60"/>
      <c r="J216" s="60"/>
      <c r="K216" s="61" t="s">
        <v>30</v>
      </c>
      <c r="L216" s="62">
        <f>(E216*E209)+(F216*F209)+(G216*G209)+(H216*H209)+(I216*I209)+(J216*J209)</f>
        <v>0</v>
      </c>
      <c r="M216" s="57" t="s">
        <v>31</v>
      </c>
      <c r="N216" s="63" t="b">
        <v>0</v>
      </c>
    </row>
    <row r="217" ht="15.0" customHeight="1">
      <c r="A217" s="68"/>
      <c r="B217" s="65" t="s">
        <v>42</v>
      </c>
      <c r="C217" s="53" t="s">
        <v>34</v>
      </c>
      <c r="D217" s="54"/>
      <c r="E217" s="66"/>
      <c r="F217" s="66"/>
      <c r="G217" s="66"/>
      <c r="H217" s="66"/>
      <c r="I217" s="66"/>
      <c r="J217" s="66"/>
      <c r="K217" s="67" t="s">
        <v>35</v>
      </c>
      <c r="L217" s="62">
        <f>(E217*E209)+(F217*F209)+(G217*G209)+(H217*H209)+(I217*I209)+(J217*J209)</f>
        <v>0</v>
      </c>
      <c r="M217" s="57" t="s">
        <v>36</v>
      </c>
      <c r="N217" s="63" t="b">
        <v>0</v>
      </c>
    </row>
    <row r="218" ht="13.5" customHeight="1">
      <c r="A218" s="46" t="s">
        <v>43</v>
      </c>
      <c r="B218" s="69" t="str">
        <f>IFS(L218=0,"",B218&lt;&gt;"",B218,TRUE,NOW())</f>
        <v/>
      </c>
      <c r="C218" s="70" t="s">
        <v>37</v>
      </c>
      <c r="D218" s="33"/>
      <c r="E218" s="71"/>
      <c r="F218" s="71"/>
      <c r="G218" s="71"/>
      <c r="H218" s="71"/>
      <c r="I218" s="71"/>
      <c r="J218" s="71"/>
      <c r="K218" s="72" t="s">
        <v>38</v>
      </c>
      <c r="L218" s="73">
        <f>L217-L216</f>
        <v>0</v>
      </c>
      <c r="M218" s="74" t="s">
        <v>39</v>
      </c>
      <c r="N218" s="75" t="b">
        <v>0</v>
      </c>
    </row>
    <row r="219" ht="13.5" customHeight="1">
      <c r="A219" s="64"/>
      <c r="B219" s="52" t="s">
        <v>87</v>
      </c>
      <c r="C219" s="53" t="s">
        <v>27</v>
      </c>
      <c r="D219" s="54"/>
      <c r="E219" s="55">
        <f t="shared" ref="E219:J219" si="59">E217-E220</f>
        <v>0</v>
      </c>
      <c r="F219" s="55">
        <f t="shared" si="59"/>
        <v>0</v>
      </c>
      <c r="G219" s="55">
        <f t="shared" si="59"/>
        <v>0</v>
      </c>
      <c r="H219" s="55">
        <f t="shared" si="59"/>
        <v>0</v>
      </c>
      <c r="I219" s="55">
        <f t="shared" si="59"/>
        <v>0</v>
      </c>
      <c r="J219" s="55">
        <f t="shared" si="59"/>
        <v>0</v>
      </c>
      <c r="K219" s="56"/>
      <c r="L219" s="30"/>
      <c r="M219" s="57" t="s">
        <v>28</v>
      </c>
      <c r="N219" s="58" t="b">
        <v>0</v>
      </c>
    </row>
    <row r="220" ht="13.5" customHeight="1">
      <c r="A220" s="46" t="s">
        <v>45</v>
      </c>
      <c r="B220" s="59"/>
      <c r="C220" s="53" t="s">
        <v>30</v>
      </c>
      <c r="D220" s="54"/>
      <c r="E220" s="60"/>
      <c r="F220" s="60"/>
      <c r="G220" s="60"/>
      <c r="H220" s="60"/>
      <c r="I220" s="60"/>
      <c r="J220" s="60"/>
      <c r="K220" s="61" t="s">
        <v>30</v>
      </c>
      <c r="L220" s="62">
        <f>(E220*E209)+(F220*F209)+(G220*G209)+(H220*H209)+(I220*I209)+(J220*J209)</f>
        <v>0</v>
      </c>
      <c r="M220" s="57" t="s">
        <v>31</v>
      </c>
      <c r="N220" s="63" t="b">
        <v>0</v>
      </c>
    </row>
    <row r="221" ht="13.5" customHeight="1">
      <c r="A221" s="77"/>
      <c r="B221" s="65" t="s">
        <v>47</v>
      </c>
      <c r="C221" s="53" t="s">
        <v>34</v>
      </c>
      <c r="D221" s="54"/>
      <c r="E221" s="66"/>
      <c r="F221" s="66"/>
      <c r="G221" s="66"/>
      <c r="H221" s="66"/>
      <c r="I221" s="66"/>
      <c r="J221" s="66"/>
      <c r="K221" s="67" t="s">
        <v>35</v>
      </c>
      <c r="L221" s="62">
        <f>(E221*E209)+(F221*F209)+(G221*G209)+(H221*H209)+(I221*I209)+(J221*J209)</f>
        <v>0</v>
      </c>
      <c r="M221" s="57" t="s">
        <v>36</v>
      </c>
      <c r="N221" s="63" t="b">
        <v>0</v>
      </c>
    </row>
    <row r="222" ht="15.0" customHeight="1">
      <c r="A222" s="68"/>
      <c r="B222" s="69" t="str">
        <f>IFS(L222=0,"",B222&lt;&gt;"",B222,TRUE,NOW())</f>
        <v/>
      </c>
      <c r="C222" s="70" t="s">
        <v>37</v>
      </c>
      <c r="D222" s="33"/>
      <c r="E222" s="71"/>
      <c r="F222" s="71"/>
      <c r="G222" s="71"/>
      <c r="H222" s="71"/>
      <c r="I222" s="71"/>
      <c r="J222" s="71"/>
      <c r="K222" s="72" t="s">
        <v>38</v>
      </c>
      <c r="L222" s="73">
        <f>L221-L220</f>
        <v>0</v>
      </c>
      <c r="M222" s="74" t="s">
        <v>39</v>
      </c>
      <c r="N222" s="75" t="b">
        <v>0</v>
      </c>
    </row>
    <row r="223" ht="13.5" customHeight="1">
      <c r="A223" s="78" t="s">
        <v>48</v>
      </c>
      <c r="B223" s="52" t="s">
        <v>87</v>
      </c>
      <c r="C223" s="53" t="s">
        <v>27</v>
      </c>
      <c r="D223" s="54"/>
      <c r="E223" s="55">
        <f t="shared" ref="E223:J223" si="60">E221-E224</f>
        <v>0</v>
      </c>
      <c r="F223" s="55">
        <f t="shared" si="60"/>
        <v>0</v>
      </c>
      <c r="G223" s="55">
        <f t="shared" si="60"/>
        <v>0</v>
      </c>
      <c r="H223" s="55">
        <f t="shared" si="60"/>
        <v>0</v>
      </c>
      <c r="I223" s="55">
        <f t="shared" si="60"/>
        <v>0</v>
      </c>
      <c r="J223" s="55">
        <f t="shared" si="60"/>
        <v>0</v>
      </c>
      <c r="K223" s="56"/>
      <c r="L223" s="30"/>
      <c r="M223" s="57" t="s">
        <v>28</v>
      </c>
      <c r="N223" s="58" t="b">
        <v>0</v>
      </c>
    </row>
    <row r="224" ht="13.5" customHeight="1">
      <c r="A224" s="87"/>
      <c r="B224" s="59"/>
      <c r="C224" s="53" t="s">
        <v>30</v>
      </c>
      <c r="D224" s="54"/>
      <c r="E224" s="60"/>
      <c r="F224" s="60"/>
      <c r="G224" s="60"/>
      <c r="H224" s="60"/>
      <c r="I224" s="60"/>
      <c r="J224" s="60"/>
      <c r="K224" s="61" t="s">
        <v>30</v>
      </c>
      <c r="L224" s="62">
        <f>(E224*E209)+(F224*F209)+(G224*G209)+(H224*H209)+(I224*I209)+(J224*J209)</f>
        <v>0</v>
      </c>
      <c r="M224" s="57" t="s">
        <v>31</v>
      </c>
      <c r="N224" s="63" t="b">
        <v>0</v>
      </c>
    </row>
    <row r="225" ht="13.5" customHeight="1">
      <c r="A225" s="68"/>
      <c r="B225" s="65" t="s">
        <v>49</v>
      </c>
      <c r="C225" s="53" t="s">
        <v>34</v>
      </c>
      <c r="D225" s="54"/>
      <c r="E225" s="66"/>
      <c r="F225" s="66"/>
      <c r="G225" s="66"/>
      <c r="H225" s="66"/>
      <c r="I225" s="66"/>
      <c r="J225" s="66"/>
      <c r="K225" s="67" t="s">
        <v>35</v>
      </c>
      <c r="L225" s="62">
        <f>(E225*E209)+(F225*F209)+(G225*G209)+(H225*H209)+(I225*I209)+(J225*J209)</f>
        <v>0</v>
      </c>
      <c r="M225" s="57" t="s">
        <v>36</v>
      </c>
      <c r="N225" s="63" t="b">
        <v>0</v>
      </c>
    </row>
    <row r="226" ht="13.5" customHeight="1">
      <c r="A226" s="80"/>
      <c r="B226" s="69" t="str">
        <f>IFS(L226=0,"",B226&lt;&gt;"",B226,TRUE,NOW())</f>
        <v/>
      </c>
      <c r="C226" s="53" t="s">
        <v>37</v>
      </c>
      <c r="D226" s="54"/>
      <c r="E226" s="81"/>
      <c r="F226" s="81"/>
      <c r="G226" s="81"/>
      <c r="H226" s="82"/>
      <c r="I226" s="81"/>
      <c r="J226" s="81"/>
      <c r="K226" s="72" t="s">
        <v>38</v>
      </c>
      <c r="L226" s="73">
        <f>L225-L224</f>
        <v>0</v>
      </c>
      <c r="M226" s="74" t="s">
        <v>39</v>
      </c>
      <c r="N226" s="75" t="b">
        <v>0</v>
      </c>
    </row>
    <row r="227" ht="13.5" customHeight="1">
      <c r="A227" s="83" t="s">
        <v>89</v>
      </c>
      <c r="B227" s="42" t="s">
        <v>20</v>
      </c>
      <c r="C227" s="24"/>
      <c r="D227" s="33"/>
      <c r="E227" s="43">
        <f t="shared" ref="E227:J227" si="61">E6</f>
        <v>17</v>
      </c>
      <c r="F227" s="43">
        <f t="shared" si="61"/>
        <v>27</v>
      </c>
      <c r="G227" s="43">
        <f t="shared" si="61"/>
        <v>27</v>
      </c>
      <c r="H227" s="43">
        <f t="shared" si="61"/>
        <v>27</v>
      </c>
      <c r="I227" s="43">
        <f t="shared" si="61"/>
        <v>32</v>
      </c>
      <c r="J227" s="44">
        <f t="shared" si="61"/>
        <v>37</v>
      </c>
      <c r="K227" s="42" t="s">
        <v>21</v>
      </c>
      <c r="L227" s="25"/>
      <c r="M227" s="45" t="s">
        <v>22</v>
      </c>
      <c r="N227" s="25"/>
    </row>
    <row r="228" ht="13.5" customHeight="1">
      <c r="A228" s="46" t="s">
        <v>23</v>
      </c>
      <c r="B228" s="47" t="s">
        <v>24</v>
      </c>
      <c r="C228" s="32" t="s">
        <v>25</v>
      </c>
      <c r="D228" s="33"/>
      <c r="E228" s="48"/>
      <c r="F228" s="48"/>
      <c r="G228" s="48"/>
      <c r="H228" s="48"/>
      <c r="I228" s="48"/>
      <c r="J228" s="48"/>
      <c r="K228" s="49"/>
      <c r="L228" s="25"/>
      <c r="M228" s="50"/>
      <c r="N228" s="10"/>
    </row>
    <row r="229" ht="15.0" customHeight="1">
      <c r="A229" s="92"/>
      <c r="B229" s="52" t="s">
        <v>90</v>
      </c>
      <c r="C229" s="53" t="s">
        <v>27</v>
      </c>
      <c r="D229" s="54"/>
      <c r="E229" s="55">
        <f t="shared" ref="E229:J229" si="62">E228-E230</f>
        <v>0</v>
      </c>
      <c r="F229" s="55">
        <f t="shared" si="62"/>
        <v>0</v>
      </c>
      <c r="G229" s="55">
        <f t="shared" si="62"/>
        <v>0</v>
      </c>
      <c r="H229" s="55">
        <f t="shared" si="62"/>
        <v>0</v>
      </c>
      <c r="I229" s="55">
        <f t="shared" si="62"/>
        <v>0</v>
      </c>
      <c r="J229" s="55">
        <f t="shared" si="62"/>
        <v>0</v>
      </c>
      <c r="K229" s="56"/>
      <c r="L229" s="30"/>
      <c r="M229" s="57" t="s">
        <v>28</v>
      </c>
      <c r="N229" s="58" t="b">
        <v>0</v>
      </c>
    </row>
    <row r="230" ht="13.5" customHeight="1">
      <c r="A230" s="46" t="s">
        <v>29</v>
      </c>
      <c r="B230" s="59"/>
      <c r="C230" s="53" t="s">
        <v>30</v>
      </c>
      <c r="D230" s="54"/>
      <c r="E230" s="60"/>
      <c r="F230" s="60"/>
      <c r="G230" s="60"/>
      <c r="H230" s="60"/>
      <c r="I230" s="60"/>
      <c r="J230" s="60"/>
      <c r="K230" s="61" t="s">
        <v>30</v>
      </c>
      <c r="L230" s="62">
        <f>(E230*E227)+(F230*F227)+(G230*G227)+(H230*H227)+(I230*I227)+(J230*J227)</f>
        <v>0</v>
      </c>
      <c r="M230" s="57" t="s">
        <v>31</v>
      </c>
      <c r="N230" s="63" t="b">
        <v>0</v>
      </c>
    </row>
    <row r="231" ht="13.5" customHeight="1">
      <c r="A231" s="64"/>
      <c r="B231" s="65" t="s">
        <v>33</v>
      </c>
      <c r="C231" s="53" t="s">
        <v>34</v>
      </c>
      <c r="D231" s="54"/>
      <c r="E231" s="66"/>
      <c r="F231" s="66"/>
      <c r="G231" s="66"/>
      <c r="H231" s="66"/>
      <c r="I231" s="66"/>
      <c r="J231" s="66"/>
      <c r="K231" s="67" t="s">
        <v>35</v>
      </c>
      <c r="L231" s="62">
        <f>(E231*E227)+(F231*F227)+(G231*G227)+(H231*H227)+(I231*I227)+(J231*J227)</f>
        <v>0</v>
      </c>
      <c r="M231" s="57" t="s">
        <v>36</v>
      </c>
      <c r="N231" s="63" t="b">
        <v>0</v>
      </c>
    </row>
    <row r="232" ht="13.5" customHeight="1">
      <c r="A232" s="68"/>
      <c r="B232" s="69" t="str">
        <f>IFS(L232=0,"",B232&lt;&gt;"",B232,TRUE,NOW())</f>
        <v/>
      </c>
      <c r="C232" s="70" t="s">
        <v>37</v>
      </c>
      <c r="D232" s="33"/>
      <c r="E232" s="71"/>
      <c r="F232" s="71"/>
      <c r="G232" s="71"/>
      <c r="H232" s="71"/>
      <c r="I232" s="71"/>
      <c r="J232" s="71"/>
      <c r="K232" s="72" t="s">
        <v>38</v>
      </c>
      <c r="L232" s="73">
        <f>L231-L230</f>
        <v>0</v>
      </c>
      <c r="M232" s="74" t="s">
        <v>39</v>
      </c>
      <c r="N232" s="75" t="b">
        <v>0</v>
      </c>
    </row>
    <row r="233" ht="13.5" customHeight="1">
      <c r="A233" s="46" t="s">
        <v>40</v>
      </c>
      <c r="B233" s="52" t="s">
        <v>90</v>
      </c>
      <c r="C233" s="53" t="s">
        <v>27</v>
      </c>
      <c r="D233" s="54"/>
      <c r="E233" s="55">
        <f t="shared" ref="E233:J233" si="63">E231-E234</f>
        <v>0</v>
      </c>
      <c r="F233" s="55">
        <f t="shared" si="63"/>
        <v>0</v>
      </c>
      <c r="G233" s="55">
        <f t="shared" si="63"/>
        <v>0</v>
      </c>
      <c r="H233" s="55">
        <f t="shared" si="63"/>
        <v>0</v>
      </c>
      <c r="I233" s="55">
        <f t="shared" si="63"/>
        <v>0</v>
      </c>
      <c r="J233" s="55">
        <f t="shared" si="63"/>
        <v>0</v>
      </c>
      <c r="K233" s="56"/>
      <c r="L233" s="30"/>
      <c r="M233" s="57" t="s">
        <v>28</v>
      </c>
      <c r="N233" s="58" t="b">
        <v>0</v>
      </c>
    </row>
    <row r="234" ht="15.0" customHeight="1">
      <c r="A234" s="64"/>
      <c r="B234" s="59"/>
      <c r="C234" s="53" t="s">
        <v>30</v>
      </c>
      <c r="D234" s="54"/>
      <c r="E234" s="60"/>
      <c r="F234" s="60"/>
      <c r="G234" s="60"/>
      <c r="H234" s="60"/>
      <c r="I234" s="60"/>
      <c r="J234" s="60"/>
      <c r="K234" s="61" t="s">
        <v>30</v>
      </c>
      <c r="L234" s="62">
        <f>(E234*E227)+(F234*F227)+(G234*G227)+(H234*H227)+(I234*I227)+(J234*J227)</f>
        <v>0</v>
      </c>
      <c r="M234" s="57" t="s">
        <v>31</v>
      </c>
      <c r="N234" s="63" t="b">
        <v>0</v>
      </c>
    </row>
    <row r="235" ht="13.5" customHeight="1">
      <c r="A235" s="68"/>
      <c r="B235" s="65" t="s">
        <v>42</v>
      </c>
      <c r="C235" s="53" t="s">
        <v>34</v>
      </c>
      <c r="D235" s="54"/>
      <c r="E235" s="66"/>
      <c r="F235" s="66"/>
      <c r="G235" s="66"/>
      <c r="H235" s="66"/>
      <c r="I235" s="66"/>
      <c r="J235" s="66"/>
      <c r="K235" s="67" t="s">
        <v>35</v>
      </c>
      <c r="L235" s="62">
        <f>(E235*E227)+(F235*F227)+(G235*G227)+(H235*H227)+(I235*I227)+(J235*J227)</f>
        <v>0</v>
      </c>
      <c r="M235" s="57" t="s">
        <v>36</v>
      </c>
      <c r="N235" s="63" t="b">
        <v>0</v>
      </c>
    </row>
    <row r="236" ht="13.5" customHeight="1">
      <c r="A236" s="46" t="s">
        <v>43</v>
      </c>
      <c r="B236" s="69" t="str">
        <f>IFS(L236=0,"",B236&lt;&gt;"",B236,TRUE,NOW())</f>
        <v/>
      </c>
      <c r="C236" s="70" t="s">
        <v>37</v>
      </c>
      <c r="D236" s="33"/>
      <c r="E236" s="71"/>
      <c r="F236" s="71"/>
      <c r="G236" s="71"/>
      <c r="H236" s="71"/>
      <c r="I236" s="71"/>
      <c r="J236" s="71"/>
      <c r="K236" s="72" t="s">
        <v>38</v>
      </c>
      <c r="L236" s="73">
        <f>L235-L234</f>
        <v>0</v>
      </c>
      <c r="M236" s="74" t="s">
        <v>39</v>
      </c>
      <c r="N236" s="75" t="b">
        <v>0</v>
      </c>
    </row>
    <row r="237" ht="13.5" customHeight="1">
      <c r="A237" s="64"/>
      <c r="B237" s="52" t="s">
        <v>90</v>
      </c>
      <c r="C237" s="53" t="s">
        <v>27</v>
      </c>
      <c r="D237" s="54"/>
      <c r="E237" s="55">
        <f t="shared" ref="E237:J237" si="64">E235-E238</f>
        <v>0</v>
      </c>
      <c r="F237" s="55">
        <f t="shared" si="64"/>
        <v>0</v>
      </c>
      <c r="G237" s="55">
        <f t="shared" si="64"/>
        <v>0</v>
      </c>
      <c r="H237" s="55">
        <f t="shared" si="64"/>
        <v>0</v>
      </c>
      <c r="I237" s="55">
        <f t="shared" si="64"/>
        <v>0</v>
      </c>
      <c r="J237" s="55">
        <f t="shared" si="64"/>
        <v>0</v>
      </c>
      <c r="K237" s="56"/>
      <c r="L237" s="30"/>
      <c r="M237" s="57" t="s">
        <v>28</v>
      </c>
      <c r="N237" s="58" t="b">
        <v>0</v>
      </c>
    </row>
    <row r="238" ht="13.5" customHeight="1">
      <c r="A238" s="46" t="s">
        <v>45</v>
      </c>
      <c r="B238" s="59"/>
      <c r="C238" s="53" t="s">
        <v>30</v>
      </c>
      <c r="D238" s="54"/>
      <c r="E238" s="60"/>
      <c r="F238" s="60"/>
      <c r="G238" s="60"/>
      <c r="H238" s="60"/>
      <c r="I238" s="60"/>
      <c r="J238" s="60"/>
      <c r="K238" s="61" t="s">
        <v>30</v>
      </c>
      <c r="L238" s="62">
        <f>(E238*E227)+(F238*F227)+(G238*G227)+(H238*H227)+(I238*I227)+(J238*J227)</f>
        <v>0</v>
      </c>
      <c r="M238" s="57" t="s">
        <v>31</v>
      </c>
      <c r="N238" s="63" t="b">
        <v>0</v>
      </c>
    </row>
    <row r="239" ht="15.0" customHeight="1">
      <c r="A239" s="77"/>
      <c r="B239" s="65" t="s">
        <v>47</v>
      </c>
      <c r="C239" s="53" t="s">
        <v>34</v>
      </c>
      <c r="D239" s="54"/>
      <c r="E239" s="66"/>
      <c r="F239" s="66"/>
      <c r="G239" s="66"/>
      <c r="H239" s="66"/>
      <c r="I239" s="66"/>
      <c r="J239" s="66"/>
      <c r="K239" s="67" t="s">
        <v>35</v>
      </c>
      <c r="L239" s="62">
        <f>(E239*E227)+(F239*F227)+(G239*G227)+(H239*H227)+(I239*I227)+(J239*J227)</f>
        <v>0</v>
      </c>
      <c r="M239" s="57" t="s">
        <v>36</v>
      </c>
      <c r="N239" s="63" t="b">
        <v>0</v>
      </c>
    </row>
    <row r="240" ht="13.5" customHeight="1">
      <c r="A240" s="68"/>
      <c r="B240" s="69" t="str">
        <f>IFS(L240=0,"",B240&lt;&gt;"",B240,TRUE,NOW())</f>
        <v/>
      </c>
      <c r="C240" s="70" t="s">
        <v>37</v>
      </c>
      <c r="D240" s="33"/>
      <c r="E240" s="71"/>
      <c r="F240" s="71"/>
      <c r="G240" s="71"/>
      <c r="H240" s="71"/>
      <c r="I240" s="71"/>
      <c r="J240" s="71"/>
      <c r="K240" s="72" t="s">
        <v>38</v>
      </c>
      <c r="L240" s="73">
        <f>L239-L238</f>
        <v>0</v>
      </c>
      <c r="M240" s="74" t="s">
        <v>39</v>
      </c>
      <c r="N240" s="75" t="b">
        <v>0</v>
      </c>
    </row>
    <row r="241" ht="13.5" customHeight="1">
      <c r="A241" s="78" t="s">
        <v>48</v>
      </c>
      <c r="B241" s="52" t="s">
        <v>90</v>
      </c>
      <c r="C241" s="53" t="s">
        <v>27</v>
      </c>
      <c r="D241" s="54"/>
      <c r="E241" s="55">
        <f t="shared" ref="E241:J241" si="65">E239-E242</f>
        <v>0</v>
      </c>
      <c r="F241" s="55">
        <f t="shared" si="65"/>
        <v>0</v>
      </c>
      <c r="G241" s="55">
        <f t="shared" si="65"/>
        <v>0</v>
      </c>
      <c r="H241" s="55">
        <f t="shared" si="65"/>
        <v>0</v>
      </c>
      <c r="I241" s="55">
        <f t="shared" si="65"/>
        <v>0</v>
      </c>
      <c r="J241" s="55">
        <f t="shared" si="65"/>
        <v>0</v>
      </c>
      <c r="K241" s="56"/>
      <c r="L241" s="30"/>
      <c r="M241" s="57" t="s">
        <v>28</v>
      </c>
      <c r="N241" s="58" t="b">
        <v>0</v>
      </c>
    </row>
    <row r="242" ht="13.5" customHeight="1">
      <c r="A242" s="87"/>
      <c r="B242" s="59"/>
      <c r="C242" s="53" t="s">
        <v>30</v>
      </c>
      <c r="D242" s="54"/>
      <c r="E242" s="60"/>
      <c r="F242" s="60"/>
      <c r="G242" s="60"/>
      <c r="H242" s="60"/>
      <c r="I242" s="60"/>
      <c r="J242" s="60"/>
      <c r="K242" s="61" t="s">
        <v>30</v>
      </c>
      <c r="L242" s="62">
        <f>(E242*E227)+(F242*F227)+(G242*G227)+(H242*H227)+(I242*I227)+(J242*J227)</f>
        <v>0</v>
      </c>
      <c r="M242" s="57" t="s">
        <v>31</v>
      </c>
      <c r="N242" s="63" t="b">
        <v>0</v>
      </c>
    </row>
    <row r="243" ht="13.5" customHeight="1">
      <c r="A243" s="68"/>
      <c r="B243" s="65" t="s">
        <v>49</v>
      </c>
      <c r="C243" s="53" t="s">
        <v>34</v>
      </c>
      <c r="D243" s="54"/>
      <c r="E243" s="66"/>
      <c r="F243" s="66"/>
      <c r="G243" s="66"/>
      <c r="H243" s="66"/>
      <c r="I243" s="66"/>
      <c r="J243" s="66"/>
      <c r="K243" s="67" t="s">
        <v>35</v>
      </c>
      <c r="L243" s="62">
        <f>(E243*E227)+(F243*F227)+(G243*G227)+(H243*H227)+(I243*I227)+(J243*J227)</f>
        <v>0</v>
      </c>
      <c r="M243" s="57" t="s">
        <v>36</v>
      </c>
      <c r="N243" s="63" t="b">
        <v>0</v>
      </c>
    </row>
    <row r="244" ht="15.0" customHeight="1">
      <c r="A244" s="80"/>
      <c r="B244" s="69" t="str">
        <f>IFS(L244=0,"",B244&lt;&gt;"",B244,TRUE,NOW())</f>
        <v/>
      </c>
      <c r="C244" s="53" t="s">
        <v>37</v>
      </c>
      <c r="D244" s="54"/>
      <c r="E244" s="81"/>
      <c r="F244" s="81"/>
      <c r="G244" s="81"/>
      <c r="H244" s="82"/>
      <c r="I244" s="81"/>
      <c r="J244" s="81"/>
      <c r="K244" s="72" t="s">
        <v>38</v>
      </c>
      <c r="L244" s="73">
        <f>L243-L242</f>
        <v>0</v>
      </c>
      <c r="M244" s="74" t="s">
        <v>39</v>
      </c>
      <c r="N244" s="75" t="b">
        <v>0</v>
      </c>
    </row>
    <row r="245" ht="13.5" customHeight="1">
      <c r="A245" s="83" t="s">
        <v>92</v>
      </c>
      <c r="B245" s="42" t="s">
        <v>20</v>
      </c>
      <c r="C245" s="24"/>
      <c r="D245" s="33"/>
      <c r="E245" s="43">
        <f t="shared" ref="E245:J245" si="66">E6</f>
        <v>17</v>
      </c>
      <c r="F245" s="43">
        <f t="shared" si="66"/>
        <v>27</v>
      </c>
      <c r="G245" s="43">
        <f t="shared" si="66"/>
        <v>27</v>
      </c>
      <c r="H245" s="43">
        <f t="shared" si="66"/>
        <v>27</v>
      </c>
      <c r="I245" s="43">
        <f t="shared" si="66"/>
        <v>32</v>
      </c>
      <c r="J245" s="44">
        <f t="shared" si="66"/>
        <v>37</v>
      </c>
      <c r="K245" s="42" t="s">
        <v>21</v>
      </c>
      <c r="L245" s="25"/>
      <c r="M245" s="45" t="s">
        <v>22</v>
      </c>
      <c r="N245" s="25"/>
    </row>
    <row r="246" ht="13.5" customHeight="1">
      <c r="A246" s="46" t="s">
        <v>23</v>
      </c>
      <c r="B246" s="47" t="s">
        <v>24</v>
      </c>
      <c r="C246" s="32" t="s">
        <v>25</v>
      </c>
      <c r="D246" s="33"/>
      <c r="E246" s="48"/>
      <c r="F246" s="48"/>
      <c r="G246" s="48"/>
      <c r="H246" s="48"/>
      <c r="I246" s="48"/>
      <c r="J246" s="48"/>
      <c r="K246" s="49"/>
      <c r="L246" s="25"/>
      <c r="M246" s="50"/>
      <c r="N246" s="10"/>
    </row>
    <row r="247" ht="13.5" customHeight="1">
      <c r="A247" s="92"/>
      <c r="B247" s="52" t="s">
        <v>93</v>
      </c>
      <c r="C247" s="53" t="s">
        <v>27</v>
      </c>
      <c r="D247" s="54"/>
      <c r="E247" s="55">
        <f t="shared" ref="E247:J247" si="67">E246-E248</f>
        <v>0</v>
      </c>
      <c r="F247" s="55">
        <f t="shared" si="67"/>
        <v>0</v>
      </c>
      <c r="G247" s="55">
        <f t="shared" si="67"/>
        <v>0</v>
      </c>
      <c r="H247" s="55">
        <f t="shared" si="67"/>
        <v>0</v>
      </c>
      <c r="I247" s="55">
        <f t="shared" si="67"/>
        <v>0</v>
      </c>
      <c r="J247" s="55">
        <f t="shared" si="67"/>
        <v>0</v>
      </c>
      <c r="K247" s="56"/>
      <c r="L247" s="30"/>
      <c r="M247" s="57" t="s">
        <v>28</v>
      </c>
      <c r="N247" s="58" t="b">
        <v>0</v>
      </c>
    </row>
    <row r="248" ht="13.5" customHeight="1">
      <c r="A248" s="46" t="s">
        <v>29</v>
      </c>
      <c r="B248" s="59"/>
      <c r="C248" s="53" t="s">
        <v>30</v>
      </c>
      <c r="D248" s="54"/>
      <c r="E248" s="60"/>
      <c r="F248" s="60"/>
      <c r="G248" s="60"/>
      <c r="H248" s="60"/>
      <c r="I248" s="60"/>
      <c r="J248" s="60"/>
      <c r="K248" s="61" t="s">
        <v>30</v>
      </c>
      <c r="L248" s="62">
        <f>(E248*E245)+(F248*F245)+(G248*G245)+(H248*H245)+(I248*I245)+(J248*J245)</f>
        <v>0</v>
      </c>
      <c r="M248" s="57" t="s">
        <v>31</v>
      </c>
      <c r="N248" s="63" t="b">
        <v>0</v>
      </c>
    </row>
    <row r="249" ht="13.5" customHeight="1">
      <c r="A249" s="64"/>
      <c r="B249" s="65" t="s">
        <v>33</v>
      </c>
      <c r="C249" s="53" t="s">
        <v>34</v>
      </c>
      <c r="D249" s="54"/>
      <c r="E249" s="66"/>
      <c r="F249" s="66"/>
      <c r="G249" s="66"/>
      <c r="H249" s="66"/>
      <c r="I249" s="66"/>
      <c r="J249" s="66"/>
      <c r="K249" s="67" t="s">
        <v>35</v>
      </c>
      <c r="L249" s="62">
        <f>(E249*E245)+(F249*F245)+(G249*G245)+(H249*H245)+(I249*I245)+(J249*J245)</f>
        <v>0</v>
      </c>
      <c r="M249" s="57" t="s">
        <v>36</v>
      </c>
      <c r="N249" s="63" t="b">
        <v>0</v>
      </c>
    </row>
    <row r="250" ht="13.5" customHeight="1">
      <c r="A250" s="68"/>
      <c r="B250" s="69" t="str">
        <f>IFS(L250=0,"",B250&lt;&gt;"",B250,TRUE,NOW())</f>
        <v/>
      </c>
      <c r="C250" s="70" t="s">
        <v>37</v>
      </c>
      <c r="D250" s="33"/>
      <c r="E250" s="71"/>
      <c r="F250" s="71"/>
      <c r="G250" s="71"/>
      <c r="H250" s="71"/>
      <c r="I250" s="71"/>
      <c r="J250" s="71"/>
      <c r="K250" s="72" t="s">
        <v>38</v>
      </c>
      <c r="L250" s="73">
        <f>L249-L248</f>
        <v>0</v>
      </c>
      <c r="M250" s="74" t="s">
        <v>39</v>
      </c>
      <c r="N250" s="75" t="b">
        <v>0</v>
      </c>
    </row>
    <row r="251" ht="15.0" customHeight="1">
      <c r="A251" s="46" t="s">
        <v>40</v>
      </c>
      <c r="B251" s="52" t="s">
        <v>93</v>
      </c>
      <c r="C251" s="53" t="s">
        <v>27</v>
      </c>
      <c r="D251" s="54"/>
      <c r="E251" s="55">
        <f t="shared" ref="E251:J251" si="68">E249-E252</f>
        <v>0</v>
      </c>
      <c r="F251" s="55">
        <f t="shared" si="68"/>
        <v>0</v>
      </c>
      <c r="G251" s="55">
        <f t="shared" si="68"/>
        <v>0</v>
      </c>
      <c r="H251" s="55">
        <f t="shared" si="68"/>
        <v>0</v>
      </c>
      <c r="I251" s="55">
        <f t="shared" si="68"/>
        <v>0</v>
      </c>
      <c r="J251" s="55">
        <f t="shared" si="68"/>
        <v>0</v>
      </c>
      <c r="K251" s="56"/>
      <c r="L251" s="30"/>
      <c r="M251" s="57" t="s">
        <v>28</v>
      </c>
      <c r="N251" s="58" t="b">
        <v>0</v>
      </c>
    </row>
    <row r="252" ht="13.5" customHeight="1">
      <c r="A252" s="64"/>
      <c r="B252" s="59"/>
      <c r="C252" s="53" t="s">
        <v>30</v>
      </c>
      <c r="D252" s="54"/>
      <c r="E252" s="60"/>
      <c r="F252" s="60"/>
      <c r="G252" s="60"/>
      <c r="H252" s="60"/>
      <c r="I252" s="60"/>
      <c r="J252" s="60"/>
      <c r="K252" s="61" t="s">
        <v>30</v>
      </c>
      <c r="L252" s="62">
        <f>(E252*E245)+(F252*F245)+(G252*G245)+(H252*H245)+(I252*I245)+(J252*J245)</f>
        <v>0</v>
      </c>
      <c r="M252" s="57" t="s">
        <v>31</v>
      </c>
      <c r="N252" s="63" t="b">
        <v>0</v>
      </c>
    </row>
    <row r="253" ht="13.5" customHeight="1">
      <c r="A253" s="68"/>
      <c r="B253" s="65" t="s">
        <v>42</v>
      </c>
      <c r="C253" s="53" t="s">
        <v>34</v>
      </c>
      <c r="D253" s="54"/>
      <c r="E253" s="66"/>
      <c r="F253" s="76"/>
      <c r="G253" s="76"/>
      <c r="H253" s="76"/>
      <c r="I253" s="76"/>
      <c r="J253" s="76"/>
      <c r="K253" s="67" t="s">
        <v>35</v>
      </c>
      <c r="L253" s="62">
        <f>(E253*E245)+(F253*F245)+(G253*G245)+(H253*H245)+(I253*I245)+(J253*J245)</f>
        <v>0</v>
      </c>
      <c r="M253" s="57" t="s">
        <v>36</v>
      </c>
      <c r="N253" s="63" t="b">
        <v>0</v>
      </c>
    </row>
    <row r="254" ht="13.5" customHeight="1">
      <c r="A254" s="46" t="s">
        <v>43</v>
      </c>
      <c r="B254" s="69" t="str">
        <f>IFS(L254=0,"",B254&lt;&gt;"",B254,TRUE,NOW())</f>
        <v/>
      </c>
      <c r="C254" s="70" t="s">
        <v>37</v>
      </c>
      <c r="D254" s="33"/>
      <c r="E254" s="71"/>
      <c r="F254" s="71"/>
      <c r="G254" s="71"/>
      <c r="H254" s="71"/>
      <c r="I254" s="71"/>
      <c r="J254" s="71"/>
      <c r="K254" s="72" t="s">
        <v>38</v>
      </c>
      <c r="L254" s="73">
        <f>L253-L252</f>
        <v>0</v>
      </c>
      <c r="M254" s="74" t="s">
        <v>39</v>
      </c>
      <c r="N254" s="75" t="b">
        <v>0</v>
      </c>
    </row>
    <row r="255" ht="13.5" customHeight="1">
      <c r="A255" s="64"/>
      <c r="B255" s="52" t="s">
        <v>93</v>
      </c>
      <c r="C255" s="53" t="s">
        <v>27</v>
      </c>
      <c r="D255" s="54"/>
      <c r="E255" s="55">
        <f t="shared" ref="E255:J255" si="69">E253-E256</f>
        <v>0</v>
      </c>
      <c r="F255" s="55">
        <f t="shared" si="69"/>
        <v>0</v>
      </c>
      <c r="G255" s="55">
        <f t="shared" si="69"/>
        <v>0</v>
      </c>
      <c r="H255" s="55">
        <f t="shared" si="69"/>
        <v>0</v>
      </c>
      <c r="I255" s="55">
        <f t="shared" si="69"/>
        <v>0</v>
      </c>
      <c r="J255" s="55">
        <f t="shared" si="69"/>
        <v>0</v>
      </c>
      <c r="K255" s="56"/>
      <c r="L255" s="30"/>
      <c r="M255" s="57" t="s">
        <v>28</v>
      </c>
      <c r="N255" s="58" t="b">
        <v>0</v>
      </c>
    </row>
    <row r="256" ht="15.0" customHeight="1">
      <c r="A256" s="46" t="s">
        <v>45</v>
      </c>
      <c r="B256" s="59"/>
      <c r="C256" s="53" t="s">
        <v>30</v>
      </c>
      <c r="D256" s="54"/>
      <c r="E256" s="60"/>
      <c r="F256" s="60"/>
      <c r="G256" s="60"/>
      <c r="H256" s="60"/>
      <c r="I256" s="60"/>
      <c r="J256" s="60"/>
      <c r="K256" s="61" t="s">
        <v>30</v>
      </c>
      <c r="L256" s="62">
        <f>(E256*E245)+(F256*F245)+(G256*G245)+(H256*H245)+(I256*I245)+(J256*J245)</f>
        <v>0</v>
      </c>
      <c r="M256" s="57" t="s">
        <v>31</v>
      </c>
      <c r="N256" s="63" t="b">
        <v>0</v>
      </c>
    </row>
    <row r="257" ht="13.5" customHeight="1">
      <c r="A257" s="77"/>
      <c r="B257" s="65" t="s">
        <v>47</v>
      </c>
      <c r="C257" s="53" t="s">
        <v>34</v>
      </c>
      <c r="D257" s="54"/>
      <c r="E257" s="66"/>
      <c r="F257" s="66"/>
      <c r="G257" s="66"/>
      <c r="H257" s="66"/>
      <c r="I257" s="66"/>
      <c r="J257" s="66"/>
      <c r="K257" s="67" t="s">
        <v>35</v>
      </c>
      <c r="L257" s="62">
        <f>(E257*E245)+(F257*F245)+(G257*G245)+(H257*H245)+(I257*I245)+(J257*J245)</f>
        <v>0</v>
      </c>
      <c r="M257" s="57" t="s">
        <v>36</v>
      </c>
      <c r="N257" s="63" t="b">
        <v>0</v>
      </c>
    </row>
    <row r="258" ht="13.5" customHeight="1">
      <c r="A258" s="68"/>
      <c r="B258" s="69" t="str">
        <f>IFS(L258=0,"",B258&lt;&gt;"",B258,TRUE,NOW())</f>
        <v/>
      </c>
      <c r="C258" s="70" t="s">
        <v>37</v>
      </c>
      <c r="D258" s="33"/>
      <c r="E258" s="71"/>
      <c r="F258" s="71"/>
      <c r="G258" s="71"/>
      <c r="H258" s="71"/>
      <c r="I258" s="71"/>
      <c r="J258" s="71"/>
      <c r="K258" s="72" t="s">
        <v>38</v>
      </c>
      <c r="L258" s="73">
        <f>L257-L256</f>
        <v>0</v>
      </c>
      <c r="M258" s="74" t="s">
        <v>39</v>
      </c>
      <c r="N258" s="75" t="b">
        <v>0</v>
      </c>
    </row>
    <row r="259" ht="13.5" customHeight="1">
      <c r="A259" s="78" t="s">
        <v>48</v>
      </c>
      <c r="B259" s="52" t="s">
        <v>93</v>
      </c>
      <c r="C259" s="53" t="s">
        <v>27</v>
      </c>
      <c r="D259" s="54"/>
      <c r="E259" s="55">
        <f t="shared" ref="E259:J259" si="70">E257-E260</f>
        <v>0</v>
      </c>
      <c r="F259" s="55">
        <f t="shared" si="70"/>
        <v>0</v>
      </c>
      <c r="G259" s="55">
        <f t="shared" si="70"/>
        <v>0</v>
      </c>
      <c r="H259" s="55">
        <f t="shared" si="70"/>
        <v>0</v>
      </c>
      <c r="I259" s="55">
        <f t="shared" si="70"/>
        <v>0</v>
      </c>
      <c r="J259" s="55">
        <f t="shared" si="70"/>
        <v>0</v>
      </c>
      <c r="K259" s="56"/>
      <c r="L259" s="30"/>
      <c r="M259" s="57" t="s">
        <v>28</v>
      </c>
      <c r="N259" s="58" t="b">
        <v>0</v>
      </c>
    </row>
    <row r="260" ht="13.5" customHeight="1">
      <c r="A260" s="87"/>
      <c r="B260" s="59"/>
      <c r="C260" s="53" t="s">
        <v>30</v>
      </c>
      <c r="D260" s="54"/>
      <c r="E260" s="60"/>
      <c r="F260" s="60"/>
      <c r="G260" s="60"/>
      <c r="H260" s="60"/>
      <c r="I260" s="60"/>
      <c r="J260" s="60"/>
      <c r="K260" s="61" t="s">
        <v>30</v>
      </c>
      <c r="L260" s="62">
        <f>(E260*E245)+(F260*F245)+(G260*G245)+(H260*H245)+(I260*I245)+(J260*J245)</f>
        <v>0</v>
      </c>
      <c r="M260" s="57" t="s">
        <v>31</v>
      </c>
      <c r="N260" s="63" t="b">
        <v>0</v>
      </c>
    </row>
    <row r="261" ht="15.0" customHeight="1">
      <c r="A261" s="68"/>
      <c r="B261" s="65" t="s">
        <v>49</v>
      </c>
      <c r="C261" s="53" t="s">
        <v>34</v>
      </c>
      <c r="D261" s="54"/>
      <c r="E261" s="66"/>
      <c r="F261" s="66"/>
      <c r="G261" s="66"/>
      <c r="H261" s="66"/>
      <c r="I261" s="66"/>
      <c r="J261" s="66"/>
      <c r="K261" s="67" t="s">
        <v>35</v>
      </c>
      <c r="L261" s="62">
        <f>(E261*E245)+(F261*F245)+(G261*G245)+(H261*H245)+(I261*I245)+(J261*J245)</f>
        <v>0</v>
      </c>
      <c r="M261" s="57" t="s">
        <v>36</v>
      </c>
      <c r="N261" s="63" t="b">
        <v>0</v>
      </c>
    </row>
    <row r="262" ht="13.5" customHeight="1">
      <c r="A262" s="80"/>
      <c r="B262" s="69" t="str">
        <f>IFS(L262=0,"",B262&lt;&gt;"",B262,TRUE,NOW())</f>
        <v/>
      </c>
      <c r="C262" s="86" t="s">
        <v>37</v>
      </c>
      <c r="D262" s="59"/>
      <c r="E262" s="81"/>
      <c r="F262" s="81"/>
      <c r="G262" s="81"/>
      <c r="H262" s="82"/>
      <c r="I262" s="81"/>
      <c r="J262" s="81"/>
      <c r="K262" s="72" t="s">
        <v>38</v>
      </c>
      <c r="L262" s="73">
        <f>L261-L260</f>
        <v>0</v>
      </c>
      <c r="M262" s="74" t="s">
        <v>39</v>
      </c>
      <c r="N262" s="75" t="b">
        <v>0</v>
      </c>
    </row>
    <row r="263" ht="13.5" customHeight="1">
      <c r="A263" s="83" t="s">
        <v>95</v>
      </c>
      <c r="B263" s="42" t="s">
        <v>20</v>
      </c>
      <c r="C263" s="24"/>
      <c r="D263" s="33"/>
      <c r="E263" s="43">
        <f t="shared" ref="E263:J263" si="71">E6</f>
        <v>17</v>
      </c>
      <c r="F263" s="43">
        <f t="shared" si="71"/>
        <v>27</v>
      </c>
      <c r="G263" s="43">
        <f t="shared" si="71"/>
        <v>27</v>
      </c>
      <c r="H263" s="43">
        <f t="shared" si="71"/>
        <v>27</v>
      </c>
      <c r="I263" s="43">
        <f t="shared" si="71"/>
        <v>32</v>
      </c>
      <c r="J263" s="44">
        <f t="shared" si="71"/>
        <v>37</v>
      </c>
      <c r="K263" s="42" t="s">
        <v>21</v>
      </c>
      <c r="L263" s="25"/>
      <c r="M263" s="45" t="s">
        <v>22</v>
      </c>
      <c r="N263" s="25"/>
    </row>
    <row r="264" ht="13.5" customHeight="1">
      <c r="A264" s="46" t="s">
        <v>23</v>
      </c>
      <c r="B264" s="47" t="s">
        <v>24</v>
      </c>
      <c r="C264" s="32" t="s">
        <v>25</v>
      </c>
      <c r="D264" s="33"/>
      <c r="E264" s="48"/>
      <c r="F264" s="48"/>
      <c r="G264" s="48"/>
      <c r="H264" s="48"/>
      <c r="I264" s="48"/>
      <c r="J264" s="48"/>
      <c r="K264" s="49"/>
      <c r="L264" s="25"/>
      <c r="M264" s="50"/>
      <c r="N264" s="10"/>
    </row>
    <row r="265" ht="13.5" customHeight="1">
      <c r="A265" s="92"/>
      <c r="B265" s="52" t="s">
        <v>96</v>
      </c>
      <c r="C265" s="53" t="s">
        <v>27</v>
      </c>
      <c r="D265" s="54"/>
      <c r="E265" s="55">
        <f t="shared" ref="E265:J265" si="72">E264-E266</f>
        <v>0</v>
      </c>
      <c r="F265" s="55">
        <f t="shared" si="72"/>
        <v>0</v>
      </c>
      <c r="G265" s="55">
        <f t="shared" si="72"/>
        <v>0</v>
      </c>
      <c r="H265" s="55">
        <f t="shared" si="72"/>
        <v>0</v>
      </c>
      <c r="I265" s="55">
        <f t="shared" si="72"/>
        <v>0</v>
      </c>
      <c r="J265" s="55">
        <f t="shared" si="72"/>
        <v>0</v>
      </c>
      <c r="K265" s="56"/>
      <c r="L265" s="30"/>
      <c r="M265" s="57" t="s">
        <v>28</v>
      </c>
      <c r="N265" s="58" t="b">
        <v>0</v>
      </c>
    </row>
    <row r="266" ht="15.0" customHeight="1">
      <c r="A266" s="46" t="s">
        <v>29</v>
      </c>
      <c r="B266" s="59"/>
      <c r="C266" s="53" t="s">
        <v>30</v>
      </c>
      <c r="D266" s="54"/>
      <c r="E266" s="60"/>
      <c r="F266" s="60"/>
      <c r="G266" s="60"/>
      <c r="H266" s="60"/>
      <c r="I266" s="60"/>
      <c r="J266" s="60"/>
      <c r="K266" s="61" t="s">
        <v>30</v>
      </c>
      <c r="L266" s="62">
        <f>(E266*E263)+(F266*F263)+(G266*G263)+(H266*H263)+(I266*I263)+(J266*J263)</f>
        <v>0</v>
      </c>
      <c r="M266" s="57" t="s">
        <v>31</v>
      </c>
      <c r="N266" s="63" t="b">
        <v>0</v>
      </c>
    </row>
    <row r="267" ht="13.5" customHeight="1">
      <c r="A267" s="64"/>
      <c r="B267" s="65" t="s">
        <v>33</v>
      </c>
      <c r="C267" s="53" t="s">
        <v>34</v>
      </c>
      <c r="D267" s="54"/>
      <c r="E267" s="66"/>
      <c r="F267" s="66"/>
      <c r="G267" s="66"/>
      <c r="H267" s="66"/>
      <c r="I267" s="66"/>
      <c r="J267" s="66"/>
      <c r="K267" s="67" t="s">
        <v>35</v>
      </c>
      <c r="L267" s="62">
        <f>(E267*E263)+(F267*F263)+(G267*G263)+(H267*H263)+(I267*I263)+(J267*J263)</f>
        <v>0</v>
      </c>
      <c r="M267" s="57" t="s">
        <v>36</v>
      </c>
      <c r="N267" s="63" t="b">
        <v>0</v>
      </c>
    </row>
    <row r="268" ht="13.5" customHeight="1">
      <c r="A268" s="68"/>
      <c r="B268" s="69" t="str">
        <f>IFS(L268=0,"",B268&lt;&gt;"",B268,TRUE,NOW())</f>
        <v/>
      </c>
      <c r="C268" s="70" t="s">
        <v>37</v>
      </c>
      <c r="D268" s="33"/>
      <c r="E268" s="71"/>
      <c r="F268" s="71"/>
      <c r="G268" s="71"/>
      <c r="H268" s="71"/>
      <c r="I268" s="71"/>
      <c r="J268" s="71"/>
      <c r="K268" s="72" t="s">
        <v>38</v>
      </c>
      <c r="L268" s="73">
        <f>L267-L266</f>
        <v>0</v>
      </c>
      <c r="M268" s="74" t="s">
        <v>39</v>
      </c>
      <c r="N268" s="75" t="b">
        <v>0</v>
      </c>
    </row>
    <row r="269" ht="13.5" customHeight="1">
      <c r="A269" s="46" t="s">
        <v>40</v>
      </c>
      <c r="B269" s="52" t="s">
        <v>96</v>
      </c>
      <c r="C269" s="53" t="s">
        <v>27</v>
      </c>
      <c r="D269" s="54"/>
      <c r="E269" s="55">
        <f t="shared" ref="E269:J269" si="73">E267-E270</f>
        <v>0</v>
      </c>
      <c r="F269" s="55">
        <f t="shared" si="73"/>
        <v>0</v>
      </c>
      <c r="G269" s="55">
        <f t="shared" si="73"/>
        <v>0</v>
      </c>
      <c r="H269" s="55">
        <f t="shared" si="73"/>
        <v>0</v>
      </c>
      <c r="I269" s="55">
        <f t="shared" si="73"/>
        <v>0</v>
      </c>
      <c r="J269" s="55">
        <f t="shared" si="73"/>
        <v>0</v>
      </c>
      <c r="K269" s="56"/>
      <c r="L269" s="30"/>
      <c r="M269" s="57" t="s">
        <v>28</v>
      </c>
      <c r="N269" s="58" t="b">
        <v>0</v>
      </c>
    </row>
    <row r="270" ht="13.5" customHeight="1">
      <c r="A270" s="64"/>
      <c r="B270" s="59"/>
      <c r="C270" s="53" t="s">
        <v>30</v>
      </c>
      <c r="D270" s="54"/>
      <c r="E270" s="60"/>
      <c r="F270" s="60"/>
      <c r="G270" s="60"/>
      <c r="H270" s="60"/>
      <c r="I270" s="60"/>
      <c r="J270" s="60"/>
      <c r="K270" s="61" t="s">
        <v>30</v>
      </c>
      <c r="L270" s="62">
        <f>(E270*E263)+(F270*F263)+(G270*G263)+(H270*H263)+(I270*I263)+(J270*J263)</f>
        <v>0</v>
      </c>
      <c r="M270" s="57" t="s">
        <v>31</v>
      </c>
      <c r="N270" s="63" t="b">
        <v>0</v>
      </c>
    </row>
    <row r="271" ht="13.5" customHeight="1">
      <c r="A271" s="68"/>
      <c r="B271" s="65" t="s">
        <v>42</v>
      </c>
      <c r="C271" s="53" t="s">
        <v>34</v>
      </c>
      <c r="D271" s="54"/>
      <c r="E271" s="66"/>
      <c r="F271" s="76"/>
      <c r="G271" s="76"/>
      <c r="H271" s="76"/>
      <c r="I271" s="76"/>
      <c r="J271" s="76"/>
      <c r="K271" s="67" t="s">
        <v>35</v>
      </c>
      <c r="L271" s="62">
        <f>(E271*E263)+(F271*F263)+(G271*G263)+(H271*H263)+(I271*I263)+(J271*J263)</f>
        <v>0</v>
      </c>
      <c r="M271" s="57" t="s">
        <v>36</v>
      </c>
      <c r="N271" s="63" t="b">
        <v>0</v>
      </c>
    </row>
    <row r="272" ht="13.5" customHeight="1">
      <c r="A272" s="46" t="s">
        <v>43</v>
      </c>
      <c r="B272" s="69" t="str">
        <f>IFS(L272=0,"",B272&lt;&gt;"",B272,TRUE,NOW())</f>
        <v/>
      </c>
      <c r="C272" s="70" t="s">
        <v>37</v>
      </c>
      <c r="D272" s="33"/>
      <c r="E272" s="71"/>
      <c r="F272" s="71"/>
      <c r="G272" s="71"/>
      <c r="H272" s="71"/>
      <c r="I272" s="71"/>
      <c r="J272" s="71"/>
      <c r="K272" s="72" t="s">
        <v>38</v>
      </c>
      <c r="L272" s="73">
        <f>L271-L270</f>
        <v>0</v>
      </c>
      <c r="M272" s="74" t="s">
        <v>39</v>
      </c>
      <c r="N272" s="75" t="b">
        <v>0</v>
      </c>
    </row>
    <row r="273" ht="18.0" customHeight="1">
      <c r="A273" s="64"/>
      <c r="B273" s="52" t="s">
        <v>96</v>
      </c>
      <c r="C273" s="53" t="s">
        <v>27</v>
      </c>
      <c r="D273" s="54"/>
      <c r="E273" s="55">
        <f t="shared" ref="E273:J273" si="74">E271-E274</f>
        <v>0</v>
      </c>
      <c r="F273" s="55">
        <f t="shared" si="74"/>
        <v>0</v>
      </c>
      <c r="G273" s="55">
        <f t="shared" si="74"/>
        <v>0</v>
      </c>
      <c r="H273" s="55">
        <f t="shared" si="74"/>
        <v>0</v>
      </c>
      <c r="I273" s="55">
        <f t="shared" si="74"/>
        <v>0</v>
      </c>
      <c r="J273" s="55">
        <f t="shared" si="74"/>
        <v>0</v>
      </c>
      <c r="K273" s="56"/>
      <c r="L273" s="30"/>
      <c r="M273" s="57" t="s">
        <v>28</v>
      </c>
      <c r="N273" s="58" t="b">
        <v>0</v>
      </c>
    </row>
    <row r="274" ht="13.5" customHeight="1">
      <c r="A274" s="46" t="s">
        <v>45</v>
      </c>
      <c r="B274" s="59"/>
      <c r="C274" s="53" t="s">
        <v>30</v>
      </c>
      <c r="D274" s="54"/>
      <c r="E274" s="60"/>
      <c r="F274" s="60"/>
      <c r="G274" s="60"/>
      <c r="H274" s="60"/>
      <c r="I274" s="60"/>
      <c r="J274" s="60"/>
      <c r="K274" s="61" t="s">
        <v>30</v>
      </c>
      <c r="L274" s="62">
        <f>(E274*E263)+(F274*F263)+(G274*G263)+(H274*H263)+(I274*I263)+(J274*J263)</f>
        <v>0</v>
      </c>
      <c r="M274" s="57" t="s">
        <v>31</v>
      </c>
      <c r="N274" s="63" t="b">
        <v>0</v>
      </c>
    </row>
    <row r="275" ht="13.5" customHeight="1">
      <c r="A275" s="77"/>
      <c r="B275" s="65" t="s">
        <v>47</v>
      </c>
      <c r="C275" s="53" t="s">
        <v>34</v>
      </c>
      <c r="D275" s="54"/>
      <c r="E275" s="66"/>
      <c r="F275" s="66"/>
      <c r="G275" s="66"/>
      <c r="H275" s="66"/>
      <c r="I275" s="66"/>
      <c r="J275" s="66"/>
      <c r="K275" s="67" t="s">
        <v>35</v>
      </c>
      <c r="L275" s="62">
        <f>(E275*E263)+(F275*F263)+(G275*G263)+(H275*H263)+(I275*I263)+(J275*J263)</f>
        <v>0</v>
      </c>
      <c r="M275" s="57" t="s">
        <v>36</v>
      </c>
      <c r="N275" s="63" t="b">
        <v>0</v>
      </c>
    </row>
    <row r="276" ht="13.5" customHeight="1">
      <c r="A276" s="68"/>
      <c r="B276" s="69" t="str">
        <f>IFS(L276=0,"",B276&lt;&gt;"",B276,TRUE,NOW())</f>
        <v/>
      </c>
      <c r="C276" s="70" t="s">
        <v>37</v>
      </c>
      <c r="D276" s="33"/>
      <c r="E276" s="71"/>
      <c r="F276" s="71"/>
      <c r="G276" s="71"/>
      <c r="H276" s="71"/>
      <c r="I276" s="71"/>
      <c r="J276" s="71"/>
      <c r="K276" s="72" t="s">
        <v>38</v>
      </c>
      <c r="L276" s="73">
        <f>L275-L274</f>
        <v>0</v>
      </c>
      <c r="M276" s="74" t="s">
        <v>39</v>
      </c>
      <c r="N276" s="75" t="b">
        <v>0</v>
      </c>
    </row>
    <row r="277" ht="13.5" customHeight="1">
      <c r="A277" s="78" t="s">
        <v>48</v>
      </c>
      <c r="B277" s="52" t="s">
        <v>96</v>
      </c>
      <c r="C277" s="53" t="s">
        <v>27</v>
      </c>
      <c r="D277" s="54"/>
      <c r="E277" s="55">
        <f t="shared" ref="E277:J277" si="75">E275-E278</f>
        <v>0</v>
      </c>
      <c r="F277" s="55">
        <f t="shared" si="75"/>
        <v>0</v>
      </c>
      <c r="G277" s="55">
        <f t="shared" si="75"/>
        <v>0</v>
      </c>
      <c r="H277" s="55">
        <f t="shared" si="75"/>
        <v>0</v>
      </c>
      <c r="I277" s="55">
        <f t="shared" si="75"/>
        <v>0</v>
      </c>
      <c r="J277" s="55">
        <f t="shared" si="75"/>
        <v>0</v>
      </c>
      <c r="K277" s="56"/>
      <c r="L277" s="30"/>
      <c r="M277" s="57" t="s">
        <v>28</v>
      </c>
      <c r="N277" s="58" t="b">
        <v>0</v>
      </c>
    </row>
    <row r="278" ht="15.0" customHeight="1">
      <c r="A278" s="87"/>
      <c r="B278" s="59"/>
      <c r="C278" s="53" t="s">
        <v>30</v>
      </c>
      <c r="D278" s="54"/>
      <c r="E278" s="60"/>
      <c r="F278" s="60"/>
      <c r="G278" s="60"/>
      <c r="H278" s="60"/>
      <c r="I278" s="60"/>
      <c r="J278" s="60"/>
      <c r="K278" s="61" t="s">
        <v>30</v>
      </c>
      <c r="L278" s="62">
        <f>(E278*E263)+(F278*F263)+(G278*G263)+(H278*H263)+(I278*I263)+(J278*J263)</f>
        <v>0</v>
      </c>
      <c r="M278" s="57" t="s">
        <v>31</v>
      </c>
      <c r="N278" s="63" t="b">
        <v>0</v>
      </c>
    </row>
    <row r="279" ht="13.5" customHeight="1">
      <c r="A279" s="68"/>
      <c r="B279" s="65" t="s">
        <v>49</v>
      </c>
      <c r="C279" s="53" t="s">
        <v>34</v>
      </c>
      <c r="D279" s="54"/>
      <c r="E279" s="66"/>
      <c r="F279" s="66"/>
      <c r="G279" s="66"/>
      <c r="H279" s="66"/>
      <c r="I279" s="66"/>
      <c r="J279" s="66"/>
      <c r="K279" s="67" t="s">
        <v>35</v>
      </c>
      <c r="L279" s="62">
        <f>(E279*E263)+(F279*F263)+(G279*G263)+(H279*H263)+(I279*I263)+(J279*J263)</f>
        <v>0</v>
      </c>
      <c r="M279" s="57" t="s">
        <v>36</v>
      </c>
      <c r="N279" s="63" t="b">
        <v>0</v>
      </c>
    </row>
    <row r="280" ht="13.5" customHeight="1">
      <c r="A280" s="80"/>
      <c r="B280" s="69" t="str">
        <f>IFS(L280=0,"",B280&lt;&gt;"",B280,TRUE,NOW())</f>
        <v/>
      </c>
      <c r="C280" s="86" t="s">
        <v>37</v>
      </c>
      <c r="D280" s="59"/>
      <c r="E280" s="81"/>
      <c r="F280" s="81"/>
      <c r="G280" s="81"/>
      <c r="H280" s="82"/>
      <c r="I280" s="81"/>
      <c r="J280" s="81"/>
      <c r="K280" s="72" t="s">
        <v>38</v>
      </c>
      <c r="L280" s="73">
        <f>L279-L278</f>
        <v>0</v>
      </c>
      <c r="M280" s="74" t="s">
        <v>39</v>
      </c>
      <c r="N280" s="75" t="b">
        <v>0</v>
      </c>
    </row>
    <row r="281" ht="13.5" customHeight="1">
      <c r="A281" s="83" t="s">
        <v>97</v>
      </c>
      <c r="B281" s="42" t="s">
        <v>20</v>
      </c>
      <c r="C281" s="24"/>
      <c r="D281" s="33"/>
      <c r="E281" s="43">
        <f t="shared" ref="E281:J281" si="76">E6</f>
        <v>17</v>
      </c>
      <c r="F281" s="43">
        <f t="shared" si="76"/>
        <v>27</v>
      </c>
      <c r="G281" s="43">
        <f t="shared" si="76"/>
        <v>27</v>
      </c>
      <c r="H281" s="43">
        <f t="shared" si="76"/>
        <v>27</v>
      </c>
      <c r="I281" s="43">
        <f t="shared" si="76"/>
        <v>32</v>
      </c>
      <c r="J281" s="44">
        <f t="shared" si="76"/>
        <v>37</v>
      </c>
      <c r="K281" s="42" t="s">
        <v>21</v>
      </c>
      <c r="L281" s="25"/>
      <c r="M281" s="45" t="s">
        <v>22</v>
      </c>
      <c r="N281" s="25"/>
    </row>
    <row r="282" ht="13.5" customHeight="1">
      <c r="A282" s="46" t="s">
        <v>23</v>
      </c>
      <c r="B282" s="47" t="s">
        <v>24</v>
      </c>
      <c r="C282" s="32" t="s">
        <v>25</v>
      </c>
      <c r="D282" s="33"/>
      <c r="E282" s="48"/>
      <c r="F282" s="48"/>
      <c r="G282" s="48"/>
      <c r="H282" s="48"/>
      <c r="I282" s="48"/>
      <c r="J282" s="48"/>
      <c r="K282" s="49"/>
      <c r="L282" s="25"/>
      <c r="M282" s="50"/>
      <c r="N282" s="10"/>
    </row>
    <row r="283" ht="15.0" customHeight="1">
      <c r="A283" s="92"/>
      <c r="B283" s="52" t="s">
        <v>98</v>
      </c>
      <c r="C283" s="53" t="s">
        <v>27</v>
      </c>
      <c r="D283" s="54"/>
      <c r="E283" s="55">
        <f t="shared" ref="E283:J283" si="77">E282-E284</f>
        <v>0</v>
      </c>
      <c r="F283" s="55">
        <f t="shared" si="77"/>
        <v>0</v>
      </c>
      <c r="G283" s="55">
        <f t="shared" si="77"/>
        <v>0</v>
      </c>
      <c r="H283" s="55">
        <f t="shared" si="77"/>
        <v>0</v>
      </c>
      <c r="I283" s="55">
        <f t="shared" si="77"/>
        <v>0</v>
      </c>
      <c r="J283" s="55">
        <f t="shared" si="77"/>
        <v>0</v>
      </c>
      <c r="K283" s="56"/>
      <c r="L283" s="30"/>
      <c r="M283" s="57" t="s">
        <v>28</v>
      </c>
      <c r="N283" s="58" t="b">
        <v>0</v>
      </c>
    </row>
    <row r="284" ht="13.5" customHeight="1">
      <c r="A284" s="46" t="s">
        <v>29</v>
      </c>
      <c r="B284" s="59"/>
      <c r="C284" s="53" t="s">
        <v>30</v>
      </c>
      <c r="D284" s="54"/>
      <c r="E284" s="60"/>
      <c r="F284" s="60"/>
      <c r="G284" s="60"/>
      <c r="H284" s="60"/>
      <c r="I284" s="60"/>
      <c r="J284" s="60"/>
      <c r="K284" s="61" t="s">
        <v>30</v>
      </c>
      <c r="L284" s="62">
        <f>(E284*E281)+(F284*F281)+(G284*G281)+(H284*H281)+(I284*I281)+(J284*J281)</f>
        <v>0</v>
      </c>
      <c r="M284" s="57" t="s">
        <v>31</v>
      </c>
      <c r="N284" s="63" t="b">
        <v>0</v>
      </c>
    </row>
    <row r="285" ht="13.5" customHeight="1">
      <c r="A285" s="64"/>
      <c r="B285" s="65" t="s">
        <v>33</v>
      </c>
      <c r="C285" s="53" t="s">
        <v>34</v>
      </c>
      <c r="D285" s="54"/>
      <c r="E285" s="66"/>
      <c r="F285" s="66"/>
      <c r="G285" s="66"/>
      <c r="H285" s="66"/>
      <c r="I285" s="66"/>
      <c r="J285" s="66"/>
      <c r="K285" s="67" t="s">
        <v>35</v>
      </c>
      <c r="L285" s="62">
        <f>(E285*E281)+(F285*F281)+(G285*G281)+(H285*H281)+(I285*I281)+(J285*J281)</f>
        <v>0</v>
      </c>
      <c r="M285" s="57" t="s">
        <v>36</v>
      </c>
      <c r="N285" s="63" t="b">
        <v>0</v>
      </c>
    </row>
    <row r="286" ht="13.5" customHeight="1">
      <c r="A286" s="68"/>
      <c r="B286" s="69" t="str">
        <f>IFS(L286=0,"",B286&lt;&gt;"",B286,TRUE,NOW())</f>
        <v/>
      </c>
      <c r="C286" s="70" t="s">
        <v>37</v>
      </c>
      <c r="D286" s="33"/>
      <c r="E286" s="71"/>
      <c r="F286" s="71"/>
      <c r="G286" s="71"/>
      <c r="H286" s="71"/>
      <c r="I286" s="71"/>
      <c r="J286" s="71"/>
      <c r="K286" s="72" t="s">
        <v>38</v>
      </c>
      <c r="L286" s="73">
        <f>L285-L284</f>
        <v>0</v>
      </c>
      <c r="M286" s="74" t="s">
        <v>39</v>
      </c>
      <c r="N286" s="75" t="b">
        <v>0</v>
      </c>
    </row>
    <row r="287" ht="13.5" customHeight="1">
      <c r="A287" s="46" t="s">
        <v>40</v>
      </c>
      <c r="B287" s="52" t="s">
        <v>98</v>
      </c>
      <c r="C287" s="53" t="s">
        <v>27</v>
      </c>
      <c r="D287" s="54"/>
      <c r="E287" s="55">
        <f t="shared" ref="E287:J287" si="78">E285-E288</f>
        <v>0</v>
      </c>
      <c r="F287" s="55">
        <f t="shared" si="78"/>
        <v>0</v>
      </c>
      <c r="G287" s="55">
        <f t="shared" si="78"/>
        <v>0</v>
      </c>
      <c r="H287" s="55">
        <f t="shared" si="78"/>
        <v>0</v>
      </c>
      <c r="I287" s="55">
        <f t="shared" si="78"/>
        <v>0</v>
      </c>
      <c r="J287" s="55">
        <f t="shared" si="78"/>
        <v>0</v>
      </c>
      <c r="K287" s="56"/>
      <c r="L287" s="30"/>
      <c r="M287" s="57" t="s">
        <v>28</v>
      </c>
      <c r="N287" s="58" t="b">
        <v>0</v>
      </c>
    </row>
    <row r="288" ht="15.0" customHeight="1">
      <c r="A288" s="64"/>
      <c r="B288" s="59"/>
      <c r="C288" s="53" t="s">
        <v>30</v>
      </c>
      <c r="D288" s="54"/>
      <c r="E288" s="60"/>
      <c r="F288" s="60"/>
      <c r="G288" s="60"/>
      <c r="H288" s="60"/>
      <c r="I288" s="60"/>
      <c r="J288" s="60"/>
      <c r="K288" s="61" t="s">
        <v>30</v>
      </c>
      <c r="L288" s="62">
        <f>(E288*E281)+(F288*F281)+(G288*G281)+(H288*H281)+(I288*I281)+(J288*J281)</f>
        <v>0</v>
      </c>
      <c r="M288" s="57" t="s">
        <v>31</v>
      </c>
      <c r="N288" s="63" t="b">
        <v>0</v>
      </c>
    </row>
    <row r="289" ht="13.5" customHeight="1">
      <c r="A289" s="68"/>
      <c r="B289" s="65" t="s">
        <v>42</v>
      </c>
      <c r="C289" s="53" t="s">
        <v>34</v>
      </c>
      <c r="D289" s="54"/>
      <c r="E289" s="66"/>
      <c r="F289" s="66"/>
      <c r="G289" s="66"/>
      <c r="H289" s="66"/>
      <c r="I289" s="66"/>
      <c r="J289" s="66"/>
      <c r="K289" s="67" t="s">
        <v>35</v>
      </c>
      <c r="L289" s="62">
        <f>(E289*E281)+(F289*F281)+(G289*G281)+(H289*H281)+(I289*I281)+(J289*J281)</f>
        <v>0</v>
      </c>
      <c r="M289" s="57" t="s">
        <v>36</v>
      </c>
      <c r="N289" s="63" t="b">
        <v>0</v>
      </c>
    </row>
    <row r="290" ht="13.5" customHeight="1">
      <c r="A290" s="46" t="s">
        <v>43</v>
      </c>
      <c r="B290" s="69" t="str">
        <f>IFS(L290=0,"",B290&lt;&gt;"",B290,TRUE,NOW())</f>
        <v/>
      </c>
      <c r="C290" s="70" t="s">
        <v>37</v>
      </c>
      <c r="D290" s="33"/>
      <c r="E290" s="71"/>
      <c r="F290" s="71"/>
      <c r="G290" s="71"/>
      <c r="H290" s="71"/>
      <c r="I290" s="71"/>
      <c r="J290" s="71"/>
      <c r="K290" s="72" t="s">
        <v>38</v>
      </c>
      <c r="L290" s="73">
        <f>L289-L288</f>
        <v>0</v>
      </c>
      <c r="M290" s="74" t="s">
        <v>39</v>
      </c>
      <c r="N290" s="75" t="b">
        <v>0</v>
      </c>
    </row>
    <row r="291" ht="13.5" customHeight="1">
      <c r="A291" s="64"/>
      <c r="B291" s="52" t="s">
        <v>98</v>
      </c>
      <c r="C291" s="53" t="s">
        <v>27</v>
      </c>
      <c r="D291" s="54"/>
      <c r="E291" s="55">
        <f t="shared" ref="E291:J291" si="79">E289-E292</f>
        <v>0</v>
      </c>
      <c r="F291" s="55">
        <f t="shared" si="79"/>
        <v>0</v>
      </c>
      <c r="G291" s="55">
        <f t="shared" si="79"/>
        <v>0</v>
      </c>
      <c r="H291" s="55">
        <f t="shared" si="79"/>
        <v>0</v>
      </c>
      <c r="I291" s="55">
        <f t="shared" si="79"/>
        <v>0</v>
      </c>
      <c r="J291" s="55">
        <f t="shared" si="79"/>
        <v>0</v>
      </c>
      <c r="K291" s="56"/>
      <c r="L291" s="30"/>
      <c r="M291" s="57" t="s">
        <v>28</v>
      </c>
      <c r="N291" s="58" t="b">
        <v>0</v>
      </c>
    </row>
    <row r="292" ht="13.5" customHeight="1">
      <c r="A292" s="46" t="s">
        <v>45</v>
      </c>
      <c r="B292" s="59"/>
      <c r="C292" s="53" t="s">
        <v>30</v>
      </c>
      <c r="D292" s="54"/>
      <c r="E292" s="60"/>
      <c r="F292" s="60"/>
      <c r="G292" s="60"/>
      <c r="H292" s="60"/>
      <c r="I292" s="60"/>
      <c r="J292" s="60"/>
      <c r="K292" s="61" t="s">
        <v>30</v>
      </c>
      <c r="L292" s="62">
        <f>(E292*E281)+(F292*F281)+(G292*G281)+(H292*H281)+(I292*I281)+(J292*J281)</f>
        <v>0</v>
      </c>
      <c r="M292" s="57" t="s">
        <v>31</v>
      </c>
      <c r="N292" s="63" t="b">
        <v>0</v>
      </c>
    </row>
    <row r="293" ht="13.5" customHeight="1">
      <c r="A293" s="77"/>
      <c r="B293" s="65" t="s">
        <v>47</v>
      </c>
      <c r="C293" s="53" t="s">
        <v>34</v>
      </c>
      <c r="D293" s="54"/>
      <c r="E293" s="66"/>
      <c r="F293" s="66"/>
      <c r="G293" s="66"/>
      <c r="H293" s="66"/>
      <c r="I293" s="66"/>
      <c r="J293" s="66"/>
      <c r="K293" s="67" t="s">
        <v>35</v>
      </c>
      <c r="L293" s="62">
        <f>(E293*E281)+(F293*F281)+(G293*G281)+(H293*H281)+(I293*I281)+(J293*J281)</f>
        <v>0</v>
      </c>
      <c r="M293" s="57" t="s">
        <v>36</v>
      </c>
      <c r="N293" s="63" t="b">
        <v>0</v>
      </c>
    </row>
    <row r="294" ht="13.5" customHeight="1">
      <c r="A294" s="68"/>
      <c r="B294" s="69" t="str">
        <f>IFS(L294=0,"",B294&lt;&gt;"",B294,TRUE,NOW())</f>
        <v/>
      </c>
      <c r="C294" s="70" t="s">
        <v>37</v>
      </c>
      <c r="D294" s="33"/>
      <c r="E294" s="71"/>
      <c r="F294" s="71"/>
      <c r="G294" s="71"/>
      <c r="H294" s="71"/>
      <c r="I294" s="71"/>
      <c r="J294" s="71"/>
      <c r="K294" s="72" t="s">
        <v>38</v>
      </c>
      <c r="L294" s="73">
        <f>L293-L292</f>
        <v>0</v>
      </c>
      <c r="M294" s="74" t="s">
        <v>39</v>
      </c>
      <c r="N294" s="75" t="b">
        <v>0</v>
      </c>
    </row>
    <row r="295" ht="15.0" customHeight="1">
      <c r="A295" s="78" t="s">
        <v>48</v>
      </c>
      <c r="B295" s="52" t="s">
        <v>98</v>
      </c>
      <c r="C295" s="53" t="s">
        <v>27</v>
      </c>
      <c r="D295" s="54"/>
      <c r="E295" s="55">
        <f t="shared" ref="E295:J295" si="80">E293-E296</f>
        <v>0</v>
      </c>
      <c r="F295" s="55">
        <f t="shared" si="80"/>
        <v>0</v>
      </c>
      <c r="G295" s="55">
        <f t="shared" si="80"/>
        <v>0</v>
      </c>
      <c r="H295" s="55">
        <f t="shared" si="80"/>
        <v>0</v>
      </c>
      <c r="I295" s="55">
        <f t="shared" si="80"/>
        <v>0</v>
      </c>
      <c r="J295" s="55">
        <f t="shared" si="80"/>
        <v>0</v>
      </c>
      <c r="K295" s="56"/>
      <c r="L295" s="30"/>
      <c r="M295" s="57" t="s">
        <v>28</v>
      </c>
      <c r="N295" s="58" t="b">
        <v>0</v>
      </c>
    </row>
    <row r="296" ht="13.5" customHeight="1">
      <c r="A296" s="87"/>
      <c r="B296" s="59"/>
      <c r="C296" s="53" t="s">
        <v>30</v>
      </c>
      <c r="D296" s="54"/>
      <c r="E296" s="60"/>
      <c r="F296" s="60"/>
      <c r="G296" s="60"/>
      <c r="H296" s="60"/>
      <c r="I296" s="60"/>
      <c r="J296" s="60"/>
      <c r="K296" s="61" t="s">
        <v>30</v>
      </c>
      <c r="L296" s="62">
        <f>(E296*E281)+(F296*F281)+(G296*G281)+(H296*H281)+(I296*I281)+(J296*J281)</f>
        <v>0</v>
      </c>
      <c r="M296" s="57" t="s">
        <v>31</v>
      </c>
      <c r="N296" s="63" t="b">
        <v>0</v>
      </c>
    </row>
    <row r="297" ht="13.5" customHeight="1">
      <c r="A297" s="68"/>
      <c r="B297" s="65" t="s">
        <v>49</v>
      </c>
      <c r="C297" s="53" t="s">
        <v>34</v>
      </c>
      <c r="D297" s="54"/>
      <c r="E297" s="66"/>
      <c r="F297" s="66"/>
      <c r="G297" s="66"/>
      <c r="H297" s="66"/>
      <c r="I297" s="66"/>
      <c r="J297" s="66"/>
      <c r="K297" s="67" t="s">
        <v>35</v>
      </c>
      <c r="L297" s="62">
        <f>(E297*E281)+(F297*F281)+(G297*G281)+(H297*H281)+(I297*I281)+(J297*J281)</f>
        <v>0</v>
      </c>
      <c r="M297" s="57" t="s">
        <v>36</v>
      </c>
      <c r="N297" s="63" t="b">
        <v>0</v>
      </c>
    </row>
    <row r="298" ht="13.5" customHeight="1">
      <c r="A298" s="80"/>
      <c r="B298" s="69" t="str">
        <f>IFS(L298=0,"",B298&lt;&gt;"",B298,TRUE,NOW())</f>
        <v/>
      </c>
      <c r="C298" s="53" t="s">
        <v>37</v>
      </c>
      <c r="D298" s="54"/>
      <c r="E298" s="81"/>
      <c r="F298" s="81"/>
      <c r="G298" s="81"/>
      <c r="H298" s="82"/>
      <c r="I298" s="81"/>
      <c r="J298" s="81"/>
      <c r="K298" s="72" t="s">
        <v>38</v>
      </c>
      <c r="L298" s="73">
        <f>L297-L296</f>
        <v>0</v>
      </c>
      <c r="M298" s="74" t="s">
        <v>39</v>
      </c>
      <c r="N298" s="75" t="b">
        <v>0</v>
      </c>
    </row>
    <row r="299" ht="13.5" customHeight="1">
      <c r="A299" s="83" t="s">
        <v>99</v>
      </c>
      <c r="B299" s="42" t="s">
        <v>20</v>
      </c>
      <c r="C299" s="24"/>
      <c r="D299" s="33"/>
      <c r="E299" s="43">
        <f t="shared" ref="E299:J299" si="81">E6</f>
        <v>17</v>
      </c>
      <c r="F299" s="43">
        <f t="shared" si="81"/>
        <v>27</v>
      </c>
      <c r="G299" s="43">
        <f t="shared" si="81"/>
        <v>27</v>
      </c>
      <c r="H299" s="43">
        <f t="shared" si="81"/>
        <v>27</v>
      </c>
      <c r="I299" s="43">
        <f t="shared" si="81"/>
        <v>32</v>
      </c>
      <c r="J299" s="44">
        <f t="shared" si="81"/>
        <v>37</v>
      </c>
      <c r="K299" s="42" t="s">
        <v>21</v>
      </c>
      <c r="L299" s="25"/>
      <c r="M299" s="45" t="s">
        <v>22</v>
      </c>
      <c r="N299" s="25"/>
    </row>
    <row r="300" ht="17.25" customHeight="1">
      <c r="A300" s="46" t="s">
        <v>23</v>
      </c>
      <c r="B300" s="47" t="s">
        <v>24</v>
      </c>
      <c r="C300" s="32" t="s">
        <v>25</v>
      </c>
      <c r="D300" s="33"/>
      <c r="E300" s="48"/>
      <c r="F300" s="48"/>
      <c r="G300" s="48"/>
      <c r="H300" s="48"/>
      <c r="I300" s="48"/>
      <c r="J300" s="48"/>
      <c r="K300" s="49"/>
      <c r="L300" s="25"/>
      <c r="M300" s="50"/>
      <c r="N300" s="10"/>
    </row>
    <row r="301" ht="13.5" customHeight="1">
      <c r="A301" s="92"/>
      <c r="B301" s="52" t="s">
        <v>100</v>
      </c>
      <c r="C301" s="53" t="s">
        <v>27</v>
      </c>
      <c r="D301" s="54"/>
      <c r="E301" s="55">
        <f t="shared" ref="E301:J301" si="82">E300-E302</f>
        <v>0</v>
      </c>
      <c r="F301" s="55">
        <f t="shared" si="82"/>
        <v>0</v>
      </c>
      <c r="G301" s="55">
        <f t="shared" si="82"/>
        <v>0</v>
      </c>
      <c r="H301" s="55">
        <f t="shared" si="82"/>
        <v>0</v>
      </c>
      <c r="I301" s="55">
        <f t="shared" si="82"/>
        <v>0</v>
      </c>
      <c r="J301" s="55">
        <f t="shared" si="82"/>
        <v>0</v>
      </c>
      <c r="K301" s="56"/>
      <c r="L301" s="30"/>
      <c r="M301" s="57" t="s">
        <v>28</v>
      </c>
      <c r="N301" s="58" t="b">
        <v>0</v>
      </c>
    </row>
    <row r="302" ht="13.5" customHeight="1">
      <c r="A302" s="46" t="s">
        <v>29</v>
      </c>
      <c r="B302" s="59"/>
      <c r="C302" s="53" t="s">
        <v>30</v>
      </c>
      <c r="D302" s="54"/>
      <c r="E302" s="60"/>
      <c r="F302" s="60"/>
      <c r="G302" s="60"/>
      <c r="H302" s="60"/>
      <c r="I302" s="60"/>
      <c r="J302" s="60"/>
      <c r="K302" s="61" t="s">
        <v>30</v>
      </c>
      <c r="L302" s="62">
        <f>(E302*E299)+(F302*F299)+(G302*G299)+(H302*H299)+(I302*I299)+(J302*J299)</f>
        <v>0</v>
      </c>
      <c r="M302" s="57" t="s">
        <v>31</v>
      </c>
      <c r="N302" s="63" t="b">
        <v>0</v>
      </c>
    </row>
    <row r="303" ht="13.5" customHeight="1">
      <c r="A303" s="64"/>
      <c r="B303" s="65" t="s">
        <v>33</v>
      </c>
      <c r="C303" s="53" t="s">
        <v>34</v>
      </c>
      <c r="D303" s="54"/>
      <c r="E303" s="66"/>
      <c r="F303" s="66"/>
      <c r="G303" s="66"/>
      <c r="H303" s="66"/>
      <c r="I303" s="66"/>
      <c r="J303" s="66"/>
      <c r="K303" s="67" t="s">
        <v>35</v>
      </c>
      <c r="L303" s="62">
        <f>(E303*E299)+(F303*F299)+(G303*G299)+(H303*H299)+(I303*I299)+(J303*J299)</f>
        <v>0</v>
      </c>
      <c r="M303" s="57" t="s">
        <v>36</v>
      </c>
      <c r="N303" s="63" t="b">
        <v>0</v>
      </c>
    </row>
    <row r="304" ht="13.5" customHeight="1">
      <c r="A304" s="68"/>
      <c r="B304" s="69" t="str">
        <f>IFS(L304=0,"",B304&lt;&gt;"",B304,TRUE,NOW())</f>
        <v/>
      </c>
      <c r="C304" s="70" t="s">
        <v>37</v>
      </c>
      <c r="D304" s="33"/>
      <c r="E304" s="71"/>
      <c r="F304" s="71"/>
      <c r="G304" s="71"/>
      <c r="H304" s="71"/>
      <c r="I304" s="71"/>
      <c r="J304" s="71"/>
      <c r="K304" s="72" t="s">
        <v>38</v>
      </c>
      <c r="L304" s="73">
        <f>L303-L302</f>
        <v>0</v>
      </c>
      <c r="M304" s="74" t="s">
        <v>39</v>
      </c>
      <c r="N304" s="75" t="b">
        <v>0</v>
      </c>
    </row>
    <row r="305" ht="18.75" customHeight="1">
      <c r="A305" s="46" t="s">
        <v>40</v>
      </c>
      <c r="B305" s="52" t="s">
        <v>100</v>
      </c>
      <c r="C305" s="53" t="s">
        <v>27</v>
      </c>
      <c r="D305" s="54"/>
      <c r="E305" s="55">
        <f t="shared" ref="E305:J305" si="83">E303-E306</f>
        <v>0</v>
      </c>
      <c r="F305" s="55">
        <f t="shared" si="83"/>
        <v>0</v>
      </c>
      <c r="G305" s="55">
        <f t="shared" si="83"/>
        <v>0</v>
      </c>
      <c r="H305" s="55">
        <f t="shared" si="83"/>
        <v>0</v>
      </c>
      <c r="I305" s="55">
        <f t="shared" si="83"/>
        <v>0</v>
      </c>
      <c r="J305" s="55">
        <f t="shared" si="83"/>
        <v>0</v>
      </c>
      <c r="K305" s="56"/>
      <c r="L305" s="30"/>
      <c r="M305" s="57" t="s">
        <v>28</v>
      </c>
      <c r="N305" s="58" t="b">
        <v>0</v>
      </c>
    </row>
    <row r="306" ht="13.5" customHeight="1">
      <c r="A306" s="64"/>
      <c r="B306" s="59"/>
      <c r="C306" s="53" t="s">
        <v>30</v>
      </c>
      <c r="D306" s="54"/>
      <c r="E306" s="60"/>
      <c r="F306" s="60"/>
      <c r="G306" s="60"/>
      <c r="H306" s="60"/>
      <c r="I306" s="60"/>
      <c r="J306" s="60"/>
      <c r="K306" s="61" t="s">
        <v>30</v>
      </c>
      <c r="L306" s="62">
        <f>(E306*E299)+(F306*F299)+(G306*G299)+(H306*H299)+(I306*I299)+(J306*J299)</f>
        <v>0</v>
      </c>
      <c r="M306" s="57" t="s">
        <v>31</v>
      </c>
      <c r="N306" s="63" t="b">
        <v>0</v>
      </c>
    </row>
    <row r="307" ht="13.5" customHeight="1">
      <c r="A307" s="68"/>
      <c r="B307" s="65" t="s">
        <v>42</v>
      </c>
      <c r="C307" s="53" t="s">
        <v>34</v>
      </c>
      <c r="D307" s="54"/>
      <c r="E307" s="66"/>
      <c r="F307" s="66"/>
      <c r="G307" s="66"/>
      <c r="H307" s="66"/>
      <c r="I307" s="66"/>
      <c r="J307" s="66"/>
      <c r="K307" s="67" t="s">
        <v>35</v>
      </c>
      <c r="L307" s="62">
        <f>(E307*E299)+(F307*F299)+(G307*G299)+(H307*H299)+(I307*I299)+(J307*J299)</f>
        <v>0</v>
      </c>
      <c r="M307" s="57" t="s">
        <v>36</v>
      </c>
      <c r="N307" s="63" t="b">
        <v>0</v>
      </c>
    </row>
    <row r="308" ht="13.5" customHeight="1">
      <c r="A308" s="46" t="s">
        <v>43</v>
      </c>
      <c r="B308" s="69" t="str">
        <f>IFS(L308=0,"",B308&lt;&gt;"",B308,TRUE,NOW())</f>
        <v/>
      </c>
      <c r="C308" s="70" t="s">
        <v>37</v>
      </c>
      <c r="D308" s="33"/>
      <c r="E308" s="71"/>
      <c r="F308" s="71"/>
      <c r="G308" s="71"/>
      <c r="H308" s="71"/>
      <c r="I308" s="71"/>
      <c r="J308" s="71"/>
      <c r="K308" s="72" t="s">
        <v>38</v>
      </c>
      <c r="L308" s="73">
        <f>L307-L306</f>
        <v>0</v>
      </c>
      <c r="M308" s="74" t="s">
        <v>39</v>
      </c>
      <c r="N308" s="75" t="b">
        <v>0</v>
      </c>
    </row>
    <row r="309" ht="13.5" customHeight="1">
      <c r="A309" s="64"/>
      <c r="B309" s="52" t="s">
        <v>100</v>
      </c>
      <c r="C309" s="53" t="s">
        <v>27</v>
      </c>
      <c r="D309" s="54"/>
      <c r="E309" s="55">
        <f t="shared" ref="E309:J309" si="84">E307-E310</f>
        <v>0</v>
      </c>
      <c r="F309" s="55">
        <f t="shared" si="84"/>
        <v>0</v>
      </c>
      <c r="G309" s="55">
        <f t="shared" si="84"/>
        <v>0</v>
      </c>
      <c r="H309" s="55">
        <f t="shared" si="84"/>
        <v>0</v>
      </c>
      <c r="I309" s="55">
        <f t="shared" si="84"/>
        <v>0</v>
      </c>
      <c r="J309" s="55">
        <f t="shared" si="84"/>
        <v>0</v>
      </c>
      <c r="K309" s="56"/>
      <c r="L309" s="30"/>
      <c r="M309" s="57" t="s">
        <v>28</v>
      </c>
      <c r="N309" s="58" t="b">
        <v>0</v>
      </c>
    </row>
    <row r="310" ht="15.0" customHeight="1">
      <c r="A310" s="46" t="s">
        <v>45</v>
      </c>
      <c r="B310" s="59"/>
      <c r="C310" s="53" t="s">
        <v>30</v>
      </c>
      <c r="D310" s="54"/>
      <c r="E310" s="60"/>
      <c r="F310" s="60"/>
      <c r="G310" s="60"/>
      <c r="H310" s="60"/>
      <c r="I310" s="60"/>
      <c r="J310" s="60"/>
      <c r="K310" s="61" t="s">
        <v>30</v>
      </c>
      <c r="L310" s="62">
        <f>(E310*E299)+(F310*F299)+(G310*G299)+(H310*H299)+(I310*I299)+(J310*J299)</f>
        <v>0</v>
      </c>
      <c r="M310" s="57" t="s">
        <v>31</v>
      </c>
      <c r="N310" s="63" t="b">
        <v>0</v>
      </c>
    </row>
    <row r="311" ht="13.5" customHeight="1">
      <c r="A311" s="77"/>
      <c r="B311" s="65" t="s">
        <v>47</v>
      </c>
      <c r="C311" s="53" t="s">
        <v>34</v>
      </c>
      <c r="D311" s="54"/>
      <c r="E311" s="66"/>
      <c r="F311" s="66"/>
      <c r="G311" s="66"/>
      <c r="H311" s="66"/>
      <c r="I311" s="66"/>
      <c r="J311" s="66"/>
      <c r="K311" s="67" t="s">
        <v>35</v>
      </c>
      <c r="L311" s="62">
        <f>(E311*E299)+(F311*F299)+(G311*G299)+(H311*H299)+(I311*I299)+(J311*J299)</f>
        <v>0</v>
      </c>
      <c r="M311" s="57" t="s">
        <v>36</v>
      </c>
      <c r="N311" s="63" t="b">
        <v>0</v>
      </c>
    </row>
    <row r="312" ht="13.5" customHeight="1">
      <c r="A312" s="68"/>
      <c r="B312" s="69" t="str">
        <f>IFS(L312=0,"",B312&lt;&gt;"",B312,TRUE,NOW())</f>
        <v/>
      </c>
      <c r="C312" s="70" t="s">
        <v>37</v>
      </c>
      <c r="D312" s="33"/>
      <c r="E312" s="71"/>
      <c r="F312" s="71"/>
      <c r="G312" s="71"/>
      <c r="H312" s="71"/>
      <c r="I312" s="71"/>
      <c r="J312" s="71"/>
      <c r="K312" s="72" t="s">
        <v>38</v>
      </c>
      <c r="L312" s="73">
        <f>L311-L310</f>
        <v>0</v>
      </c>
      <c r="M312" s="74" t="s">
        <v>39</v>
      </c>
      <c r="N312" s="75" t="b">
        <v>0</v>
      </c>
    </row>
    <row r="313" ht="13.5" customHeight="1">
      <c r="A313" s="78" t="s">
        <v>48</v>
      </c>
      <c r="B313" s="52" t="s">
        <v>100</v>
      </c>
      <c r="C313" s="53" t="s">
        <v>27</v>
      </c>
      <c r="D313" s="54"/>
      <c r="E313" s="55">
        <f t="shared" ref="E313:J313" si="85">E311-E314</f>
        <v>0</v>
      </c>
      <c r="F313" s="55">
        <f t="shared" si="85"/>
        <v>0</v>
      </c>
      <c r="G313" s="55">
        <f t="shared" si="85"/>
        <v>0</v>
      </c>
      <c r="H313" s="55">
        <f t="shared" si="85"/>
        <v>0</v>
      </c>
      <c r="I313" s="55">
        <f t="shared" si="85"/>
        <v>0</v>
      </c>
      <c r="J313" s="55">
        <f t="shared" si="85"/>
        <v>0</v>
      </c>
      <c r="K313" s="56"/>
      <c r="L313" s="30"/>
      <c r="M313" s="57" t="s">
        <v>28</v>
      </c>
      <c r="N313" s="58" t="b">
        <v>0</v>
      </c>
    </row>
    <row r="314" ht="13.5" customHeight="1">
      <c r="A314" s="87"/>
      <c r="B314" s="59"/>
      <c r="C314" s="53" t="s">
        <v>30</v>
      </c>
      <c r="D314" s="54"/>
      <c r="E314" s="60"/>
      <c r="F314" s="60"/>
      <c r="G314" s="60"/>
      <c r="H314" s="60"/>
      <c r="I314" s="60"/>
      <c r="J314" s="60"/>
      <c r="K314" s="61" t="s">
        <v>30</v>
      </c>
      <c r="L314" s="62">
        <f>(E314*E299)+(F314*F299)+(G314*G299)+(H314*H299)+(I314*I299)+(J314*J299)</f>
        <v>0</v>
      </c>
      <c r="M314" s="57" t="s">
        <v>31</v>
      </c>
      <c r="N314" s="63" t="b">
        <v>0</v>
      </c>
    </row>
    <row r="315" ht="13.5" customHeight="1">
      <c r="A315" s="68"/>
      <c r="B315" s="65" t="s">
        <v>49</v>
      </c>
      <c r="C315" s="53" t="s">
        <v>34</v>
      </c>
      <c r="D315" s="54"/>
      <c r="E315" s="66"/>
      <c r="F315" s="66"/>
      <c r="G315" s="66"/>
      <c r="H315" s="66"/>
      <c r="I315" s="66"/>
      <c r="J315" s="66"/>
      <c r="K315" s="67" t="s">
        <v>35</v>
      </c>
      <c r="L315" s="62">
        <f>(E315*E299)+(F315*F299)+(G315*G299)+(H315*H299)+(I315*I299)+(J315*J299)</f>
        <v>0</v>
      </c>
      <c r="M315" s="57" t="s">
        <v>36</v>
      </c>
      <c r="N315" s="63" t="b">
        <v>0</v>
      </c>
    </row>
    <row r="316" ht="13.5" customHeight="1">
      <c r="A316" s="80"/>
      <c r="B316" s="69" t="str">
        <f>IFS(L316=0,"",B316&lt;&gt;"",B316,TRUE,NOW())</f>
        <v/>
      </c>
      <c r="C316" s="53" t="s">
        <v>37</v>
      </c>
      <c r="D316" s="54"/>
      <c r="E316" s="81"/>
      <c r="F316" s="81"/>
      <c r="G316" s="81"/>
      <c r="H316" s="82"/>
      <c r="I316" s="81"/>
      <c r="J316" s="81"/>
      <c r="K316" s="72" t="s">
        <v>38</v>
      </c>
      <c r="L316" s="73">
        <f>L315-L314</f>
        <v>0</v>
      </c>
      <c r="M316" s="74" t="s">
        <v>39</v>
      </c>
      <c r="N316" s="75" t="b">
        <v>0</v>
      </c>
    </row>
    <row r="317" ht="15.0" customHeight="1">
      <c r="A317" s="83" t="s">
        <v>101</v>
      </c>
      <c r="B317" s="42" t="s">
        <v>20</v>
      </c>
      <c r="C317" s="24"/>
      <c r="D317" s="33"/>
      <c r="E317" s="43">
        <f t="shared" ref="E317:J317" si="86">E6</f>
        <v>17</v>
      </c>
      <c r="F317" s="43">
        <f t="shared" si="86"/>
        <v>27</v>
      </c>
      <c r="G317" s="43">
        <f t="shared" si="86"/>
        <v>27</v>
      </c>
      <c r="H317" s="43">
        <f t="shared" si="86"/>
        <v>27</v>
      </c>
      <c r="I317" s="43">
        <f t="shared" si="86"/>
        <v>32</v>
      </c>
      <c r="J317" s="44">
        <f t="shared" si="86"/>
        <v>37</v>
      </c>
      <c r="K317" s="42" t="s">
        <v>21</v>
      </c>
      <c r="L317" s="25"/>
      <c r="M317" s="45" t="s">
        <v>22</v>
      </c>
      <c r="N317" s="25"/>
    </row>
    <row r="318" ht="13.5" customHeight="1">
      <c r="A318" s="46" t="s">
        <v>23</v>
      </c>
      <c r="B318" s="47" t="s">
        <v>24</v>
      </c>
      <c r="C318" s="32" t="s">
        <v>25</v>
      </c>
      <c r="D318" s="33"/>
      <c r="E318" s="48"/>
      <c r="F318" s="48"/>
      <c r="G318" s="48"/>
      <c r="H318" s="48"/>
      <c r="I318" s="48"/>
      <c r="J318" s="48"/>
      <c r="K318" s="49"/>
      <c r="L318" s="25"/>
      <c r="M318" s="50"/>
      <c r="N318" s="10"/>
    </row>
    <row r="319" ht="13.5" customHeight="1">
      <c r="A319" s="92"/>
      <c r="B319" s="52" t="s">
        <v>102</v>
      </c>
      <c r="C319" s="53" t="s">
        <v>27</v>
      </c>
      <c r="D319" s="54"/>
      <c r="E319" s="55">
        <f t="shared" ref="E319:J319" si="87">E318-E320</f>
        <v>0</v>
      </c>
      <c r="F319" s="55">
        <f t="shared" si="87"/>
        <v>0</v>
      </c>
      <c r="G319" s="55">
        <f t="shared" si="87"/>
        <v>0</v>
      </c>
      <c r="H319" s="55">
        <f t="shared" si="87"/>
        <v>0</v>
      </c>
      <c r="I319" s="55">
        <f t="shared" si="87"/>
        <v>0</v>
      </c>
      <c r="J319" s="55">
        <f t="shared" si="87"/>
        <v>0</v>
      </c>
      <c r="K319" s="56"/>
      <c r="L319" s="30"/>
      <c r="M319" s="57" t="s">
        <v>28</v>
      </c>
      <c r="N319" s="58" t="b">
        <v>0</v>
      </c>
    </row>
    <row r="320" ht="13.5" customHeight="1">
      <c r="A320" s="46" t="s">
        <v>29</v>
      </c>
      <c r="B320" s="59"/>
      <c r="C320" s="53" t="s">
        <v>30</v>
      </c>
      <c r="D320" s="54"/>
      <c r="E320" s="60"/>
      <c r="F320" s="60"/>
      <c r="G320" s="60"/>
      <c r="H320" s="60"/>
      <c r="I320" s="60"/>
      <c r="J320" s="60"/>
      <c r="K320" s="61" t="s">
        <v>30</v>
      </c>
      <c r="L320" s="62">
        <f>(E320*E317)+(F320*F317)+(G320*G317)+(H320*H317)+(I320*I317)+(J320*J317)</f>
        <v>0</v>
      </c>
      <c r="M320" s="57" t="s">
        <v>31</v>
      </c>
      <c r="N320" s="63" t="b">
        <v>0</v>
      </c>
    </row>
    <row r="321" ht="13.5" customHeight="1">
      <c r="A321" s="64"/>
      <c r="B321" s="65" t="s">
        <v>33</v>
      </c>
      <c r="C321" s="53" t="s">
        <v>34</v>
      </c>
      <c r="D321" s="54"/>
      <c r="E321" s="66"/>
      <c r="F321" s="66"/>
      <c r="G321" s="66"/>
      <c r="H321" s="66"/>
      <c r="I321" s="66"/>
      <c r="J321" s="66"/>
      <c r="K321" s="67" t="s">
        <v>35</v>
      </c>
      <c r="L321" s="62">
        <f>(E321*E317)+(F321*F317)+(G321*G317)+(H321*H317)+(I321*I317)+(J321*J317)</f>
        <v>0</v>
      </c>
      <c r="M321" s="57" t="s">
        <v>36</v>
      </c>
      <c r="N321" s="63" t="b">
        <v>0</v>
      </c>
    </row>
    <row r="322" ht="15.0" customHeight="1">
      <c r="A322" s="68"/>
      <c r="B322" s="69" t="str">
        <f>IFS(L322=0,"",B322&lt;&gt;"",B322,TRUE,NOW())</f>
        <v/>
      </c>
      <c r="C322" s="70" t="s">
        <v>37</v>
      </c>
      <c r="D322" s="33"/>
      <c r="E322" s="71"/>
      <c r="F322" s="71"/>
      <c r="G322" s="71"/>
      <c r="H322" s="71"/>
      <c r="I322" s="71"/>
      <c r="J322" s="71"/>
      <c r="K322" s="72" t="s">
        <v>38</v>
      </c>
      <c r="L322" s="73">
        <f>L321-L320</f>
        <v>0</v>
      </c>
      <c r="M322" s="74" t="s">
        <v>39</v>
      </c>
      <c r="N322" s="75" t="b">
        <v>0</v>
      </c>
    </row>
    <row r="323" ht="13.5" customHeight="1">
      <c r="A323" s="46" t="s">
        <v>40</v>
      </c>
      <c r="B323" s="52" t="s">
        <v>102</v>
      </c>
      <c r="C323" s="53" t="s">
        <v>27</v>
      </c>
      <c r="D323" s="54"/>
      <c r="E323" s="55">
        <f t="shared" ref="E323:J323" si="88">E321-E324</f>
        <v>0</v>
      </c>
      <c r="F323" s="55">
        <f t="shared" si="88"/>
        <v>0</v>
      </c>
      <c r="G323" s="55">
        <f t="shared" si="88"/>
        <v>0</v>
      </c>
      <c r="H323" s="55">
        <f t="shared" si="88"/>
        <v>0</v>
      </c>
      <c r="I323" s="55">
        <f t="shared" si="88"/>
        <v>0</v>
      </c>
      <c r="J323" s="55">
        <f t="shared" si="88"/>
        <v>0</v>
      </c>
      <c r="K323" s="56"/>
      <c r="L323" s="30"/>
      <c r="M323" s="57" t="s">
        <v>28</v>
      </c>
      <c r="N323" s="58" t="b">
        <v>0</v>
      </c>
    </row>
    <row r="324" ht="13.5" customHeight="1">
      <c r="A324" s="64"/>
      <c r="B324" s="59"/>
      <c r="C324" s="53" t="s">
        <v>30</v>
      </c>
      <c r="D324" s="54"/>
      <c r="E324" s="60"/>
      <c r="F324" s="60"/>
      <c r="G324" s="60"/>
      <c r="H324" s="60"/>
      <c r="I324" s="60"/>
      <c r="J324" s="60"/>
      <c r="K324" s="61" t="s">
        <v>30</v>
      </c>
      <c r="L324" s="62">
        <f>(E324*E317)+(F324*F317)+(G324*G317)+(H324*H317)+(I324*I317)+(J324*J317)</f>
        <v>0</v>
      </c>
      <c r="M324" s="57" t="s">
        <v>31</v>
      </c>
      <c r="N324" s="63" t="b">
        <v>0</v>
      </c>
    </row>
    <row r="325" ht="13.5" customHeight="1">
      <c r="A325" s="68"/>
      <c r="B325" s="65" t="s">
        <v>42</v>
      </c>
      <c r="C325" s="53" t="s">
        <v>34</v>
      </c>
      <c r="D325" s="54"/>
      <c r="E325" s="66"/>
      <c r="F325" s="66"/>
      <c r="G325" s="66"/>
      <c r="H325" s="66"/>
      <c r="I325" s="66"/>
      <c r="J325" s="66"/>
      <c r="K325" s="67" t="s">
        <v>35</v>
      </c>
      <c r="L325" s="62">
        <f>(E325*E317)+(F325*F317)+(G325*G317)+(H325*H317)+(I325*I317)+(J325*J317)</f>
        <v>0</v>
      </c>
      <c r="M325" s="57" t="s">
        <v>36</v>
      </c>
      <c r="N325" s="63" t="b">
        <v>0</v>
      </c>
    </row>
    <row r="326" ht="13.5" customHeight="1">
      <c r="A326" s="46" t="s">
        <v>43</v>
      </c>
      <c r="B326" s="69" t="str">
        <f>IFS(L326=0,"",B326&lt;&gt;"",B326,TRUE,NOW())</f>
        <v/>
      </c>
      <c r="C326" s="70" t="s">
        <v>37</v>
      </c>
      <c r="D326" s="33"/>
      <c r="E326" s="71"/>
      <c r="F326" s="71"/>
      <c r="G326" s="71"/>
      <c r="H326" s="71"/>
      <c r="I326" s="71"/>
      <c r="J326" s="71"/>
      <c r="K326" s="72" t="s">
        <v>38</v>
      </c>
      <c r="L326" s="73">
        <f>L325-L324</f>
        <v>0</v>
      </c>
      <c r="M326" s="74" t="s">
        <v>39</v>
      </c>
      <c r="N326" s="75" t="b">
        <v>0</v>
      </c>
    </row>
    <row r="327" ht="15.0" customHeight="1">
      <c r="A327" s="64"/>
      <c r="B327" s="52" t="s">
        <v>102</v>
      </c>
      <c r="C327" s="53" t="s">
        <v>27</v>
      </c>
      <c r="D327" s="54"/>
      <c r="E327" s="55">
        <f t="shared" ref="E327:J327" si="89">E325-E328</f>
        <v>0</v>
      </c>
      <c r="F327" s="55">
        <f t="shared" si="89"/>
        <v>0</v>
      </c>
      <c r="G327" s="55">
        <f t="shared" si="89"/>
        <v>0</v>
      </c>
      <c r="H327" s="55">
        <f t="shared" si="89"/>
        <v>0</v>
      </c>
      <c r="I327" s="55">
        <f t="shared" si="89"/>
        <v>0</v>
      </c>
      <c r="J327" s="55">
        <f t="shared" si="89"/>
        <v>0</v>
      </c>
      <c r="K327" s="56"/>
      <c r="L327" s="30"/>
      <c r="M327" s="57" t="s">
        <v>28</v>
      </c>
      <c r="N327" s="58" t="b">
        <v>0</v>
      </c>
    </row>
    <row r="328" ht="13.5" customHeight="1">
      <c r="A328" s="46" t="s">
        <v>45</v>
      </c>
      <c r="B328" s="59"/>
      <c r="C328" s="53" t="s">
        <v>30</v>
      </c>
      <c r="D328" s="54"/>
      <c r="E328" s="60"/>
      <c r="F328" s="60"/>
      <c r="G328" s="60"/>
      <c r="H328" s="60"/>
      <c r="I328" s="60"/>
      <c r="J328" s="60"/>
      <c r="K328" s="61" t="s">
        <v>30</v>
      </c>
      <c r="L328" s="62">
        <f>(E328*E317)+(F328*F317)+(G328*G317)+(H328*H317)+(I328*I317)+(J328*J317)</f>
        <v>0</v>
      </c>
      <c r="M328" s="57" t="s">
        <v>31</v>
      </c>
      <c r="N328" s="63" t="b">
        <v>0</v>
      </c>
    </row>
    <row r="329" ht="13.5" customHeight="1">
      <c r="A329" s="77"/>
      <c r="B329" s="65" t="s">
        <v>47</v>
      </c>
      <c r="C329" s="53" t="s">
        <v>34</v>
      </c>
      <c r="D329" s="54"/>
      <c r="E329" s="66"/>
      <c r="F329" s="66"/>
      <c r="G329" s="66"/>
      <c r="H329" s="66"/>
      <c r="I329" s="66"/>
      <c r="J329" s="66"/>
      <c r="K329" s="67" t="s">
        <v>35</v>
      </c>
      <c r="L329" s="62">
        <f>(E329*E317)+(F329*F317)+(G329*G317)+(H329*H317)+(I329*I317)+(J329*J317)</f>
        <v>0</v>
      </c>
      <c r="M329" s="57" t="s">
        <v>36</v>
      </c>
      <c r="N329" s="63" t="b">
        <v>0</v>
      </c>
    </row>
    <row r="330" ht="13.5" customHeight="1">
      <c r="A330" s="68"/>
      <c r="B330" s="69" t="str">
        <f>IFS(L330=0,"",B330&lt;&gt;"",B330,TRUE,NOW())</f>
        <v/>
      </c>
      <c r="C330" s="70" t="s">
        <v>37</v>
      </c>
      <c r="D330" s="33"/>
      <c r="E330" s="71"/>
      <c r="F330" s="71"/>
      <c r="G330" s="71"/>
      <c r="H330" s="71"/>
      <c r="I330" s="71"/>
      <c r="J330" s="71"/>
      <c r="K330" s="72" t="s">
        <v>38</v>
      </c>
      <c r="L330" s="73">
        <f>L329-L328</f>
        <v>0</v>
      </c>
      <c r="M330" s="74" t="s">
        <v>39</v>
      </c>
      <c r="N330" s="75" t="b">
        <v>0</v>
      </c>
    </row>
    <row r="331" ht="13.5" customHeight="1">
      <c r="A331" s="78" t="s">
        <v>48</v>
      </c>
      <c r="B331" s="52" t="s">
        <v>102</v>
      </c>
      <c r="C331" s="53" t="s">
        <v>27</v>
      </c>
      <c r="D331" s="54"/>
      <c r="E331" s="55">
        <f t="shared" ref="E331:J331" si="90">E329-E332</f>
        <v>0</v>
      </c>
      <c r="F331" s="55">
        <f t="shared" si="90"/>
        <v>0</v>
      </c>
      <c r="G331" s="55">
        <f t="shared" si="90"/>
        <v>0</v>
      </c>
      <c r="H331" s="55">
        <f t="shared" si="90"/>
        <v>0</v>
      </c>
      <c r="I331" s="55">
        <f t="shared" si="90"/>
        <v>0</v>
      </c>
      <c r="J331" s="55">
        <f t="shared" si="90"/>
        <v>0</v>
      </c>
      <c r="K331" s="56"/>
      <c r="L331" s="30"/>
      <c r="M331" s="57" t="s">
        <v>28</v>
      </c>
      <c r="N331" s="58" t="b">
        <v>0</v>
      </c>
    </row>
    <row r="332" ht="15.0" customHeight="1">
      <c r="A332" s="87"/>
      <c r="B332" s="59"/>
      <c r="C332" s="53" t="s">
        <v>30</v>
      </c>
      <c r="D332" s="54"/>
      <c r="E332" s="60"/>
      <c r="F332" s="60"/>
      <c r="G332" s="60"/>
      <c r="H332" s="60"/>
      <c r="I332" s="60"/>
      <c r="J332" s="60"/>
      <c r="K332" s="61" t="s">
        <v>30</v>
      </c>
      <c r="L332" s="62">
        <f>(E332*E317)+(F332*F317)+(G332*G317)+(H332*H317)+(I332*I317)+(J332*J317)</f>
        <v>0</v>
      </c>
      <c r="M332" s="57" t="s">
        <v>31</v>
      </c>
      <c r="N332" s="63" t="b">
        <v>0</v>
      </c>
    </row>
    <row r="333" ht="13.5" customHeight="1">
      <c r="A333" s="68"/>
      <c r="B333" s="65" t="s">
        <v>49</v>
      </c>
      <c r="C333" s="53" t="s">
        <v>34</v>
      </c>
      <c r="D333" s="54"/>
      <c r="E333" s="66"/>
      <c r="F333" s="66"/>
      <c r="G333" s="66"/>
      <c r="H333" s="66"/>
      <c r="I333" s="66"/>
      <c r="J333" s="66"/>
      <c r="K333" s="67" t="s">
        <v>35</v>
      </c>
      <c r="L333" s="62">
        <f>(E333*E317)+(F333*F317)+(G333*G317)+(H333*H317)+(I333*I317)+(J333*J317)</f>
        <v>0</v>
      </c>
      <c r="M333" s="57" t="s">
        <v>36</v>
      </c>
      <c r="N333" s="63" t="b">
        <v>0</v>
      </c>
    </row>
    <row r="334" ht="13.5" customHeight="1">
      <c r="A334" s="80"/>
      <c r="B334" s="69" t="str">
        <f>IFS(L334=0,"",B334&lt;&gt;"",B334,TRUE,NOW())</f>
        <v/>
      </c>
      <c r="C334" s="53" t="s">
        <v>37</v>
      </c>
      <c r="D334" s="54"/>
      <c r="E334" s="81"/>
      <c r="F334" s="81"/>
      <c r="G334" s="81"/>
      <c r="H334" s="82"/>
      <c r="I334" s="81"/>
      <c r="J334" s="81"/>
      <c r="K334" s="72" t="s">
        <v>38</v>
      </c>
      <c r="L334" s="73">
        <f>L333-L332</f>
        <v>0</v>
      </c>
      <c r="M334" s="74" t="s">
        <v>39</v>
      </c>
      <c r="N334" s="75" t="b">
        <v>0</v>
      </c>
    </row>
    <row r="335" ht="13.5" customHeight="1">
      <c r="A335" s="83" t="s">
        <v>103</v>
      </c>
      <c r="B335" s="42" t="s">
        <v>20</v>
      </c>
      <c r="C335" s="24"/>
      <c r="D335" s="33"/>
      <c r="E335" s="43">
        <f t="shared" ref="E335:J335" si="91">E6</f>
        <v>17</v>
      </c>
      <c r="F335" s="43">
        <f t="shared" si="91"/>
        <v>27</v>
      </c>
      <c r="G335" s="43">
        <f t="shared" si="91"/>
        <v>27</v>
      </c>
      <c r="H335" s="43">
        <f t="shared" si="91"/>
        <v>27</v>
      </c>
      <c r="I335" s="43">
        <f t="shared" si="91"/>
        <v>32</v>
      </c>
      <c r="J335" s="44">
        <f t="shared" si="91"/>
        <v>37</v>
      </c>
      <c r="K335" s="42" t="s">
        <v>21</v>
      </c>
      <c r="L335" s="25"/>
      <c r="M335" s="45" t="s">
        <v>22</v>
      </c>
      <c r="N335" s="25"/>
    </row>
    <row r="336" ht="13.5" customHeight="1">
      <c r="A336" s="46" t="s">
        <v>23</v>
      </c>
      <c r="B336" s="47" t="s">
        <v>24</v>
      </c>
      <c r="C336" s="32" t="s">
        <v>25</v>
      </c>
      <c r="D336" s="33"/>
      <c r="E336" s="48"/>
      <c r="F336" s="48"/>
      <c r="G336" s="48"/>
      <c r="H336" s="48"/>
      <c r="I336" s="48"/>
      <c r="J336" s="48"/>
      <c r="K336" s="49"/>
      <c r="L336" s="25"/>
      <c r="M336" s="50"/>
      <c r="N336" s="10"/>
    </row>
    <row r="337" ht="13.5" customHeight="1">
      <c r="A337" s="92"/>
      <c r="B337" s="52" t="s">
        <v>104</v>
      </c>
      <c r="C337" s="53" t="s">
        <v>27</v>
      </c>
      <c r="D337" s="54"/>
      <c r="E337" s="55">
        <f t="shared" ref="E337:J337" si="92">E336-E338</f>
        <v>0</v>
      </c>
      <c r="F337" s="55">
        <f t="shared" si="92"/>
        <v>0</v>
      </c>
      <c r="G337" s="55">
        <f t="shared" si="92"/>
        <v>0</v>
      </c>
      <c r="H337" s="55">
        <f t="shared" si="92"/>
        <v>0</v>
      </c>
      <c r="I337" s="55">
        <f t="shared" si="92"/>
        <v>0</v>
      </c>
      <c r="J337" s="55">
        <f t="shared" si="92"/>
        <v>0</v>
      </c>
      <c r="K337" s="56"/>
      <c r="L337" s="30"/>
      <c r="M337" s="57" t="s">
        <v>28</v>
      </c>
      <c r="N337" s="58" t="b">
        <v>0</v>
      </c>
    </row>
    <row r="338" ht="13.5" customHeight="1">
      <c r="A338" s="46" t="s">
        <v>29</v>
      </c>
      <c r="B338" s="59"/>
      <c r="C338" s="53" t="s">
        <v>30</v>
      </c>
      <c r="D338" s="54"/>
      <c r="E338" s="60"/>
      <c r="F338" s="60"/>
      <c r="G338" s="60"/>
      <c r="H338" s="60"/>
      <c r="I338" s="60"/>
      <c r="J338" s="60"/>
      <c r="K338" s="61" t="s">
        <v>30</v>
      </c>
      <c r="L338" s="62">
        <f>(E338*E335)+(F338*F335)+(G338*G335)+(H338*H335)+(I338*I335)+(J338*J335)</f>
        <v>0</v>
      </c>
      <c r="M338" s="57" t="s">
        <v>31</v>
      </c>
      <c r="N338" s="63" t="b">
        <v>0</v>
      </c>
    </row>
    <row r="339" ht="15.0" customHeight="1">
      <c r="A339" s="64"/>
      <c r="B339" s="65" t="s">
        <v>33</v>
      </c>
      <c r="C339" s="53" t="s">
        <v>34</v>
      </c>
      <c r="D339" s="54"/>
      <c r="E339" s="66"/>
      <c r="F339" s="66"/>
      <c r="G339" s="66"/>
      <c r="H339" s="66"/>
      <c r="I339" s="66"/>
      <c r="J339" s="66"/>
      <c r="K339" s="67" t="s">
        <v>35</v>
      </c>
      <c r="L339" s="62">
        <f>(E339*E335)+(F339*F335)+(G339*G335)+(H339*H335)+(I339*I335)+(J339*J335)</f>
        <v>0</v>
      </c>
      <c r="M339" s="57" t="s">
        <v>36</v>
      </c>
      <c r="N339" s="63" t="b">
        <v>0</v>
      </c>
    </row>
    <row r="340" ht="13.5" customHeight="1">
      <c r="A340" s="68"/>
      <c r="B340" s="69" t="str">
        <f>IFS(L340=0,"",B340&lt;&gt;"",B340,TRUE,NOW())</f>
        <v/>
      </c>
      <c r="C340" s="70" t="s">
        <v>37</v>
      </c>
      <c r="D340" s="33"/>
      <c r="E340" s="71"/>
      <c r="F340" s="71"/>
      <c r="G340" s="71"/>
      <c r="H340" s="71"/>
      <c r="I340" s="71"/>
      <c r="J340" s="71"/>
      <c r="K340" s="72" t="s">
        <v>38</v>
      </c>
      <c r="L340" s="73">
        <f>L339-L338</f>
        <v>0</v>
      </c>
      <c r="M340" s="74" t="s">
        <v>39</v>
      </c>
      <c r="N340" s="75" t="b">
        <v>0</v>
      </c>
    </row>
    <row r="341" ht="13.5" customHeight="1">
      <c r="A341" s="46" t="s">
        <v>40</v>
      </c>
      <c r="B341" s="52" t="s">
        <v>104</v>
      </c>
      <c r="C341" s="53" t="s">
        <v>27</v>
      </c>
      <c r="D341" s="54"/>
      <c r="E341" s="55">
        <f t="shared" ref="E341:J341" si="93">E339-E342</f>
        <v>0</v>
      </c>
      <c r="F341" s="55">
        <f t="shared" si="93"/>
        <v>0</v>
      </c>
      <c r="G341" s="55">
        <f t="shared" si="93"/>
        <v>0</v>
      </c>
      <c r="H341" s="55">
        <f t="shared" si="93"/>
        <v>0</v>
      </c>
      <c r="I341" s="55">
        <f t="shared" si="93"/>
        <v>0</v>
      </c>
      <c r="J341" s="55">
        <f t="shared" si="93"/>
        <v>0</v>
      </c>
      <c r="K341" s="56"/>
      <c r="L341" s="30"/>
      <c r="M341" s="57" t="s">
        <v>28</v>
      </c>
      <c r="N341" s="58" t="b">
        <v>0</v>
      </c>
    </row>
    <row r="342" ht="13.5" customHeight="1">
      <c r="A342" s="64"/>
      <c r="B342" s="59"/>
      <c r="C342" s="53" t="s">
        <v>30</v>
      </c>
      <c r="D342" s="54"/>
      <c r="E342" s="60"/>
      <c r="F342" s="60"/>
      <c r="G342" s="60"/>
      <c r="H342" s="60"/>
      <c r="I342" s="60"/>
      <c r="J342" s="60"/>
      <c r="K342" s="61" t="s">
        <v>30</v>
      </c>
      <c r="L342" s="62">
        <f>(E342*E335)+(F342*F335)+(G342*G335)+(H342*H335)+(I342*I335)+(J342*J335)</f>
        <v>0</v>
      </c>
      <c r="M342" s="57" t="s">
        <v>31</v>
      </c>
      <c r="N342" s="63" t="b">
        <v>0</v>
      </c>
    </row>
    <row r="343" ht="13.5" customHeight="1">
      <c r="A343" s="68"/>
      <c r="B343" s="65" t="s">
        <v>42</v>
      </c>
      <c r="C343" s="53" t="s">
        <v>34</v>
      </c>
      <c r="D343" s="54"/>
      <c r="E343" s="66"/>
      <c r="F343" s="66"/>
      <c r="G343" s="66"/>
      <c r="H343" s="66"/>
      <c r="I343" s="66"/>
      <c r="J343" s="66"/>
      <c r="K343" s="67" t="s">
        <v>35</v>
      </c>
      <c r="L343" s="62">
        <f>(E343*E335)+(F343*F335)+(G343*G335)+(H343*H335)+(I343*I335)+(J343*J335)</f>
        <v>0</v>
      </c>
      <c r="M343" s="57" t="s">
        <v>36</v>
      </c>
      <c r="N343" s="63" t="b">
        <v>0</v>
      </c>
    </row>
    <row r="344" ht="15.0" customHeight="1">
      <c r="A344" s="46" t="s">
        <v>43</v>
      </c>
      <c r="B344" s="69" t="str">
        <f>IFS(L344=0,"",B344&lt;&gt;"",B344,TRUE,NOW())</f>
        <v/>
      </c>
      <c r="C344" s="70" t="s">
        <v>37</v>
      </c>
      <c r="D344" s="33"/>
      <c r="E344" s="71"/>
      <c r="F344" s="71"/>
      <c r="G344" s="71"/>
      <c r="H344" s="71"/>
      <c r="I344" s="71"/>
      <c r="J344" s="71"/>
      <c r="K344" s="72" t="s">
        <v>38</v>
      </c>
      <c r="L344" s="73">
        <f>L343-L342</f>
        <v>0</v>
      </c>
      <c r="M344" s="74" t="s">
        <v>39</v>
      </c>
      <c r="N344" s="75" t="b">
        <v>0</v>
      </c>
    </row>
    <row r="345" ht="13.5" customHeight="1">
      <c r="A345" s="64"/>
      <c r="B345" s="52" t="s">
        <v>104</v>
      </c>
      <c r="C345" s="53" t="s">
        <v>27</v>
      </c>
      <c r="D345" s="54"/>
      <c r="E345" s="55">
        <f t="shared" ref="E345:J345" si="94">E343-E346</f>
        <v>0</v>
      </c>
      <c r="F345" s="55">
        <f t="shared" si="94"/>
        <v>0</v>
      </c>
      <c r="G345" s="55">
        <f t="shared" si="94"/>
        <v>0</v>
      </c>
      <c r="H345" s="55">
        <f t="shared" si="94"/>
        <v>0</v>
      </c>
      <c r="I345" s="55">
        <f t="shared" si="94"/>
        <v>0</v>
      </c>
      <c r="J345" s="55">
        <f t="shared" si="94"/>
        <v>0</v>
      </c>
      <c r="K345" s="56"/>
      <c r="L345" s="30"/>
      <c r="M345" s="57" t="s">
        <v>28</v>
      </c>
      <c r="N345" s="58" t="b">
        <v>0</v>
      </c>
    </row>
    <row r="346" ht="13.5" customHeight="1">
      <c r="A346" s="46" t="s">
        <v>45</v>
      </c>
      <c r="B346" s="59"/>
      <c r="C346" s="53" t="s">
        <v>30</v>
      </c>
      <c r="D346" s="54"/>
      <c r="E346" s="60"/>
      <c r="F346" s="60"/>
      <c r="G346" s="60"/>
      <c r="H346" s="60"/>
      <c r="I346" s="60"/>
      <c r="J346" s="60"/>
      <c r="K346" s="61" t="s">
        <v>30</v>
      </c>
      <c r="L346" s="62">
        <f>(E346*E335)+(F346*F335)+(G346*G335)+(H346*H335)+(I346*I335)+(J346*J335)</f>
        <v>0</v>
      </c>
      <c r="M346" s="57" t="s">
        <v>31</v>
      </c>
      <c r="N346" s="63" t="b">
        <v>0</v>
      </c>
    </row>
    <row r="347" ht="13.5" customHeight="1">
      <c r="A347" s="77"/>
      <c r="B347" s="65" t="s">
        <v>47</v>
      </c>
      <c r="C347" s="53" t="s">
        <v>34</v>
      </c>
      <c r="D347" s="54"/>
      <c r="E347" s="66"/>
      <c r="F347" s="66"/>
      <c r="G347" s="66"/>
      <c r="H347" s="66"/>
      <c r="I347" s="66"/>
      <c r="J347" s="66"/>
      <c r="K347" s="67" t="s">
        <v>35</v>
      </c>
      <c r="L347" s="62">
        <f>(E347*E335)+(F347*F335)+(G347*G335)+(H347*H335)+(I347*I335)+(J347*J335)</f>
        <v>0</v>
      </c>
      <c r="M347" s="57" t="s">
        <v>36</v>
      </c>
      <c r="N347" s="63" t="b">
        <v>0</v>
      </c>
    </row>
    <row r="348" ht="13.5" customHeight="1">
      <c r="A348" s="68"/>
      <c r="B348" s="69" t="str">
        <f>IFS(L348=0,"",B348&lt;&gt;"",B348,TRUE,NOW())</f>
        <v/>
      </c>
      <c r="C348" s="70" t="s">
        <v>37</v>
      </c>
      <c r="D348" s="33"/>
      <c r="E348" s="71"/>
      <c r="F348" s="71"/>
      <c r="G348" s="71"/>
      <c r="H348" s="71"/>
      <c r="I348" s="71"/>
      <c r="J348" s="71"/>
      <c r="K348" s="72" t="s">
        <v>38</v>
      </c>
      <c r="L348" s="73">
        <f>L347-L346</f>
        <v>0</v>
      </c>
      <c r="M348" s="74" t="s">
        <v>39</v>
      </c>
      <c r="N348" s="75" t="b">
        <v>0</v>
      </c>
    </row>
    <row r="349" ht="15.0" customHeight="1">
      <c r="A349" s="78" t="s">
        <v>48</v>
      </c>
      <c r="B349" s="52" t="s">
        <v>104</v>
      </c>
      <c r="C349" s="53" t="s">
        <v>27</v>
      </c>
      <c r="D349" s="54"/>
      <c r="E349" s="55">
        <f t="shared" ref="E349:J349" si="95">E347-E350</f>
        <v>0</v>
      </c>
      <c r="F349" s="55">
        <f t="shared" si="95"/>
        <v>0</v>
      </c>
      <c r="G349" s="55">
        <f t="shared" si="95"/>
        <v>0</v>
      </c>
      <c r="H349" s="55">
        <f t="shared" si="95"/>
        <v>0</v>
      </c>
      <c r="I349" s="55">
        <f t="shared" si="95"/>
        <v>0</v>
      </c>
      <c r="J349" s="55">
        <f t="shared" si="95"/>
        <v>0</v>
      </c>
      <c r="K349" s="56"/>
      <c r="L349" s="30"/>
      <c r="M349" s="57" t="s">
        <v>28</v>
      </c>
      <c r="N349" s="58" t="b">
        <v>0</v>
      </c>
    </row>
    <row r="350" ht="13.5" customHeight="1">
      <c r="A350" s="87"/>
      <c r="B350" s="59"/>
      <c r="C350" s="53" t="s">
        <v>30</v>
      </c>
      <c r="D350" s="54"/>
      <c r="E350" s="60"/>
      <c r="F350" s="60"/>
      <c r="G350" s="60"/>
      <c r="H350" s="60"/>
      <c r="I350" s="60"/>
      <c r="J350" s="60"/>
      <c r="K350" s="61" t="s">
        <v>30</v>
      </c>
      <c r="L350" s="62">
        <f>(E350*E335)+(F350*F335)+(G350*G335)+(H350*H335)+(I350*I335)+(J350*J335)</f>
        <v>0</v>
      </c>
      <c r="M350" s="57" t="s">
        <v>31</v>
      </c>
      <c r="N350" s="63" t="b">
        <v>0</v>
      </c>
    </row>
    <row r="351" ht="13.5" customHeight="1">
      <c r="A351" s="68"/>
      <c r="B351" s="65" t="s">
        <v>49</v>
      </c>
      <c r="C351" s="53" t="s">
        <v>34</v>
      </c>
      <c r="D351" s="54"/>
      <c r="E351" s="66"/>
      <c r="F351" s="66"/>
      <c r="G351" s="66"/>
      <c r="H351" s="66"/>
      <c r="I351" s="66"/>
      <c r="J351" s="66"/>
      <c r="K351" s="67" t="s">
        <v>35</v>
      </c>
      <c r="L351" s="62">
        <f>(E351*E335)+(F351*F335)+(G351*G335)+(H351*H335)+(I351*I335)+(J351*J335)</f>
        <v>0</v>
      </c>
      <c r="M351" s="57" t="s">
        <v>36</v>
      </c>
      <c r="N351" s="63" t="b">
        <v>0</v>
      </c>
    </row>
    <row r="352" ht="13.5" customHeight="1">
      <c r="A352" s="80"/>
      <c r="B352" s="69" t="str">
        <f>IFS(L352=0,"",B352&lt;&gt;"",B352,TRUE,NOW())</f>
        <v/>
      </c>
      <c r="C352" s="86" t="s">
        <v>37</v>
      </c>
      <c r="D352" s="59"/>
      <c r="E352" s="81"/>
      <c r="F352" s="81"/>
      <c r="G352" s="81"/>
      <c r="H352" s="82"/>
      <c r="I352" s="81"/>
      <c r="J352" s="81"/>
      <c r="K352" s="72" t="s">
        <v>38</v>
      </c>
      <c r="L352" s="73">
        <f>L351-L350</f>
        <v>0</v>
      </c>
      <c r="M352" s="74" t="s">
        <v>39</v>
      </c>
      <c r="N352" s="75" t="b">
        <v>0</v>
      </c>
    </row>
    <row r="353" ht="13.5" customHeight="1">
      <c r="A353" s="83" t="s">
        <v>105</v>
      </c>
      <c r="B353" s="42" t="s">
        <v>20</v>
      </c>
      <c r="C353" s="24"/>
      <c r="D353" s="33"/>
      <c r="E353" s="43">
        <f t="shared" ref="E353:J353" si="96">E6</f>
        <v>17</v>
      </c>
      <c r="F353" s="43">
        <f t="shared" si="96"/>
        <v>27</v>
      </c>
      <c r="G353" s="43">
        <f t="shared" si="96"/>
        <v>27</v>
      </c>
      <c r="H353" s="43">
        <f t="shared" si="96"/>
        <v>27</v>
      </c>
      <c r="I353" s="43">
        <f t="shared" si="96"/>
        <v>32</v>
      </c>
      <c r="J353" s="44">
        <f t="shared" si="96"/>
        <v>37</v>
      </c>
      <c r="K353" s="42" t="s">
        <v>21</v>
      </c>
      <c r="L353" s="25"/>
      <c r="M353" s="45" t="s">
        <v>22</v>
      </c>
      <c r="N353" s="25"/>
    </row>
    <row r="354" ht="18.0" customHeight="1">
      <c r="A354" s="46" t="s">
        <v>23</v>
      </c>
      <c r="B354" s="47" t="s">
        <v>24</v>
      </c>
      <c r="C354" s="32" t="s">
        <v>25</v>
      </c>
      <c r="D354" s="33"/>
      <c r="E354" s="48"/>
      <c r="F354" s="48"/>
      <c r="G354" s="48"/>
      <c r="H354" s="48"/>
      <c r="I354" s="48"/>
      <c r="J354" s="48"/>
      <c r="K354" s="49"/>
      <c r="L354" s="25"/>
      <c r="M354" s="50"/>
      <c r="N354" s="10"/>
    </row>
    <row r="355" ht="13.5" customHeight="1">
      <c r="A355" s="92"/>
      <c r="B355" s="52" t="s">
        <v>106</v>
      </c>
      <c r="C355" s="53" t="s">
        <v>27</v>
      </c>
      <c r="D355" s="54"/>
      <c r="E355" s="55">
        <f t="shared" ref="E355:J355" si="97">E354-E356</f>
        <v>0</v>
      </c>
      <c r="F355" s="55">
        <f t="shared" si="97"/>
        <v>0</v>
      </c>
      <c r="G355" s="55">
        <f t="shared" si="97"/>
        <v>0</v>
      </c>
      <c r="H355" s="55">
        <f t="shared" si="97"/>
        <v>0</v>
      </c>
      <c r="I355" s="55">
        <f t="shared" si="97"/>
        <v>0</v>
      </c>
      <c r="J355" s="55">
        <f t="shared" si="97"/>
        <v>0</v>
      </c>
      <c r="K355" s="56"/>
      <c r="L355" s="30"/>
      <c r="M355" s="57" t="s">
        <v>28</v>
      </c>
      <c r="N355" s="58" t="b">
        <v>0</v>
      </c>
    </row>
    <row r="356" ht="13.5" customHeight="1">
      <c r="A356" s="46" t="s">
        <v>29</v>
      </c>
      <c r="B356" s="59"/>
      <c r="C356" s="53" t="s">
        <v>30</v>
      </c>
      <c r="D356" s="54"/>
      <c r="E356" s="60"/>
      <c r="F356" s="60"/>
      <c r="G356" s="60"/>
      <c r="H356" s="60"/>
      <c r="I356" s="60"/>
      <c r="J356" s="60"/>
      <c r="K356" s="61" t="s">
        <v>30</v>
      </c>
      <c r="L356" s="62">
        <f>(E356*E353)+(F356*F353)+(G356*G353)+(H356*H353)+(I356*I353)+(J356*J353)</f>
        <v>0</v>
      </c>
      <c r="M356" s="57" t="s">
        <v>31</v>
      </c>
      <c r="N356" s="63" t="b">
        <v>0</v>
      </c>
    </row>
    <row r="357" ht="13.5" customHeight="1">
      <c r="A357" s="64"/>
      <c r="B357" s="65" t="s">
        <v>33</v>
      </c>
      <c r="C357" s="53" t="s">
        <v>34</v>
      </c>
      <c r="D357" s="54"/>
      <c r="E357" s="66"/>
      <c r="F357" s="66"/>
      <c r="G357" s="66"/>
      <c r="H357" s="66"/>
      <c r="I357" s="66"/>
      <c r="J357" s="66"/>
      <c r="K357" s="67" t="s">
        <v>35</v>
      </c>
      <c r="L357" s="62">
        <f>(E357*E353)+(F357*F353)+(G357*G353)+(H357*H353)+(I357*I353)+(J357*J353)</f>
        <v>0</v>
      </c>
      <c r="M357" s="57" t="s">
        <v>36</v>
      </c>
      <c r="N357" s="63" t="b">
        <v>0</v>
      </c>
    </row>
    <row r="358" ht="13.5" customHeight="1">
      <c r="A358" s="68"/>
      <c r="B358" s="69" t="str">
        <f>IFS(L358=0,"",B358&lt;&gt;"",B358,TRUE,NOW())</f>
        <v/>
      </c>
      <c r="C358" s="70" t="s">
        <v>37</v>
      </c>
      <c r="D358" s="33"/>
      <c r="E358" s="71"/>
      <c r="F358" s="71"/>
      <c r="G358" s="71"/>
      <c r="H358" s="71"/>
      <c r="I358" s="71"/>
      <c r="J358" s="71"/>
      <c r="K358" s="72" t="s">
        <v>38</v>
      </c>
      <c r="L358" s="73">
        <f>L357-L356</f>
        <v>0</v>
      </c>
      <c r="M358" s="74" t="s">
        <v>39</v>
      </c>
      <c r="N358" s="75" t="b">
        <v>0</v>
      </c>
    </row>
    <row r="359" ht="13.5" customHeight="1">
      <c r="A359" s="46" t="s">
        <v>40</v>
      </c>
      <c r="B359" s="52" t="s">
        <v>106</v>
      </c>
      <c r="C359" s="53" t="s">
        <v>27</v>
      </c>
      <c r="D359" s="54"/>
      <c r="E359" s="55">
        <f t="shared" ref="E359:J359" si="98">E357-E360</f>
        <v>0</v>
      </c>
      <c r="F359" s="55">
        <f t="shared" si="98"/>
        <v>0</v>
      </c>
      <c r="G359" s="55">
        <f t="shared" si="98"/>
        <v>0</v>
      </c>
      <c r="H359" s="55">
        <f t="shared" si="98"/>
        <v>0</v>
      </c>
      <c r="I359" s="55">
        <f t="shared" si="98"/>
        <v>0</v>
      </c>
      <c r="J359" s="55">
        <f t="shared" si="98"/>
        <v>0</v>
      </c>
      <c r="K359" s="56"/>
      <c r="L359" s="30"/>
      <c r="M359" s="57" t="s">
        <v>28</v>
      </c>
      <c r="N359" s="58" t="b">
        <v>0</v>
      </c>
    </row>
    <row r="360" ht="13.5" customHeight="1">
      <c r="A360" s="64"/>
      <c r="B360" s="59"/>
      <c r="C360" s="53" t="s">
        <v>30</v>
      </c>
      <c r="D360" s="54"/>
      <c r="E360" s="60"/>
      <c r="F360" s="60"/>
      <c r="G360" s="60"/>
      <c r="H360" s="60"/>
      <c r="I360" s="60"/>
      <c r="J360" s="60"/>
      <c r="K360" s="61" t="s">
        <v>30</v>
      </c>
      <c r="L360" s="62">
        <f>(E360*E353)+(F360*F353)+(G360*G353)+(H360*H353)+(I360*I353)+(J360*J353)</f>
        <v>0</v>
      </c>
      <c r="M360" s="57" t="s">
        <v>31</v>
      </c>
      <c r="N360" s="63" t="b">
        <v>0</v>
      </c>
    </row>
    <row r="361" ht="15.0" customHeight="1">
      <c r="A361" s="68"/>
      <c r="B361" s="65" t="s">
        <v>42</v>
      </c>
      <c r="C361" s="53" t="s">
        <v>34</v>
      </c>
      <c r="D361" s="54"/>
      <c r="E361" s="66"/>
      <c r="F361" s="66"/>
      <c r="G361" s="66"/>
      <c r="H361" s="66"/>
      <c r="I361" s="66"/>
      <c r="J361" s="66"/>
      <c r="K361" s="67" t="s">
        <v>35</v>
      </c>
      <c r="L361" s="62">
        <f>(E361*E353)+(F361*F353)+(G361*G353)+(H361*H353)+(I361*I353)+(J361*J353)</f>
        <v>0</v>
      </c>
      <c r="M361" s="57" t="s">
        <v>36</v>
      </c>
      <c r="N361" s="63" t="b">
        <v>0</v>
      </c>
    </row>
    <row r="362" ht="13.5" customHeight="1">
      <c r="A362" s="46" t="s">
        <v>43</v>
      </c>
      <c r="B362" s="69" t="str">
        <f>IFS(L362=0,"",B362&lt;&gt;"",B362,TRUE,NOW())</f>
        <v/>
      </c>
      <c r="C362" s="70" t="s">
        <v>37</v>
      </c>
      <c r="D362" s="33"/>
      <c r="E362" s="71"/>
      <c r="F362" s="71"/>
      <c r="G362" s="71"/>
      <c r="H362" s="71"/>
      <c r="I362" s="71"/>
      <c r="J362" s="71"/>
      <c r="K362" s="72" t="s">
        <v>38</v>
      </c>
      <c r="L362" s="73">
        <f>L361-L360</f>
        <v>0</v>
      </c>
      <c r="M362" s="74" t="s">
        <v>39</v>
      </c>
      <c r="N362" s="75" t="b">
        <v>0</v>
      </c>
    </row>
    <row r="363" ht="13.5" customHeight="1">
      <c r="A363" s="64"/>
      <c r="B363" s="52" t="s">
        <v>106</v>
      </c>
      <c r="C363" s="53" t="s">
        <v>27</v>
      </c>
      <c r="D363" s="54"/>
      <c r="E363" s="55">
        <f t="shared" ref="E363:J363" si="99">E361-E364</f>
        <v>0</v>
      </c>
      <c r="F363" s="55">
        <f t="shared" si="99"/>
        <v>0</v>
      </c>
      <c r="G363" s="55">
        <f t="shared" si="99"/>
        <v>0</v>
      </c>
      <c r="H363" s="55">
        <f t="shared" si="99"/>
        <v>0</v>
      </c>
      <c r="I363" s="55">
        <f t="shared" si="99"/>
        <v>0</v>
      </c>
      <c r="J363" s="55">
        <f t="shared" si="99"/>
        <v>0</v>
      </c>
      <c r="K363" s="56"/>
      <c r="L363" s="30"/>
      <c r="M363" s="57" t="s">
        <v>28</v>
      </c>
      <c r="N363" s="58" t="b">
        <v>0</v>
      </c>
    </row>
    <row r="364" ht="13.5" customHeight="1">
      <c r="A364" s="46" t="s">
        <v>45</v>
      </c>
      <c r="B364" s="59"/>
      <c r="C364" s="53" t="s">
        <v>30</v>
      </c>
      <c r="D364" s="54"/>
      <c r="E364" s="60"/>
      <c r="F364" s="60"/>
      <c r="G364" s="60"/>
      <c r="H364" s="60"/>
      <c r="I364" s="60"/>
      <c r="J364" s="60"/>
      <c r="K364" s="61" t="s">
        <v>30</v>
      </c>
      <c r="L364" s="62">
        <f>(E364*E353)+(F364*F353)+(G364*G353)+(H364*H353)+(I364*I353)+(J364*J353)</f>
        <v>0</v>
      </c>
      <c r="M364" s="57" t="s">
        <v>31</v>
      </c>
      <c r="N364" s="63" t="b">
        <v>0</v>
      </c>
    </row>
    <row r="365" ht="13.5" customHeight="1">
      <c r="A365" s="77"/>
      <c r="B365" s="65" t="s">
        <v>47</v>
      </c>
      <c r="C365" s="53" t="s">
        <v>34</v>
      </c>
      <c r="D365" s="54"/>
      <c r="E365" s="66"/>
      <c r="F365" s="66"/>
      <c r="G365" s="66"/>
      <c r="H365" s="66"/>
      <c r="I365" s="66"/>
      <c r="J365" s="66"/>
      <c r="K365" s="67" t="s">
        <v>35</v>
      </c>
      <c r="L365" s="62">
        <f>(E365*E353)+(F365*F353)+(G365*G353)+(H365*H353)+(I365*I353)+(J365*J353)</f>
        <v>0</v>
      </c>
      <c r="M365" s="57" t="s">
        <v>36</v>
      </c>
      <c r="N365" s="63" t="b">
        <v>0</v>
      </c>
    </row>
    <row r="366" ht="15.0" customHeight="1">
      <c r="A366" s="68"/>
      <c r="B366" s="69" t="str">
        <f>IFS(L366=0,"",B366&lt;&gt;"",B366,TRUE,NOW())</f>
        <v/>
      </c>
      <c r="C366" s="70" t="s">
        <v>37</v>
      </c>
      <c r="D366" s="33"/>
      <c r="E366" s="71"/>
      <c r="F366" s="71"/>
      <c r="G366" s="71"/>
      <c r="H366" s="71"/>
      <c r="I366" s="71"/>
      <c r="J366" s="71"/>
      <c r="K366" s="72" t="s">
        <v>38</v>
      </c>
      <c r="L366" s="73">
        <f>L365-L364</f>
        <v>0</v>
      </c>
      <c r="M366" s="74" t="s">
        <v>39</v>
      </c>
      <c r="N366" s="75" t="b">
        <v>0</v>
      </c>
    </row>
    <row r="367" ht="13.5" customHeight="1">
      <c r="A367" s="78" t="s">
        <v>48</v>
      </c>
      <c r="B367" s="52" t="s">
        <v>106</v>
      </c>
      <c r="C367" s="53" t="s">
        <v>27</v>
      </c>
      <c r="D367" s="54"/>
      <c r="E367" s="55">
        <f t="shared" ref="E367:J367" si="100">E365-E368</f>
        <v>0</v>
      </c>
      <c r="F367" s="55">
        <f t="shared" si="100"/>
        <v>0</v>
      </c>
      <c r="G367" s="55">
        <f t="shared" si="100"/>
        <v>0</v>
      </c>
      <c r="H367" s="55">
        <f t="shared" si="100"/>
        <v>0</v>
      </c>
      <c r="I367" s="55">
        <f t="shared" si="100"/>
        <v>0</v>
      </c>
      <c r="J367" s="55">
        <f t="shared" si="100"/>
        <v>0</v>
      </c>
      <c r="K367" s="56"/>
      <c r="L367" s="30"/>
      <c r="M367" s="57" t="s">
        <v>28</v>
      </c>
      <c r="N367" s="58" t="b">
        <v>0</v>
      </c>
    </row>
    <row r="368" ht="13.5" customHeight="1">
      <c r="A368" s="87"/>
      <c r="B368" s="59"/>
      <c r="C368" s="53" t="s">
        <v>30</v>
      </c>
      <c r="D368" s="54"/>
      <c r="E368" s="60"/>
      <c r="F368" s="60"/>
      <c r="G368" s="60"/>
      <c r="H368" s="60"/>
      <c r="I368" s="60"/>
      <c r="J368" s="60"/>
      <c r="K368" s="61" t="s">
        <v>30</v>
      </c>
      <c r="L368" s="62">
        <f>(E368*E353)+(F368*F353)+(G368*G353)+(H368*H353)+(I368*I353)+(J368*J353)</f>
        <v>0</v>
      </c>
      <c r="M368" s="57" t="s">
        <v>31</v>
      </c>
      <c r="N368" s="63" t="b">
        <v>0</v>
      </c>
    </row>
    <row r="369" ht="13.5" customHeight="1">
      <c r="A369" s="68"/>
      <c r="B369" s="65" t="s">
        <v>49</v>
      </c>
      <c r="C369" s="53" t="s">
        <v>34</v>
      </c>
      <c r="D369" s="54"/>
      <c r="E369" s="66"/>
      <c r="F369" s="66"/>
      <c r="G369" s="66"/>
      <c r="H369" s="66"/>
      <c r="I369" s="66"/>
      <c r="J369" s="66"/>
      <c r="K369" s="67" t="s">
        <v>35</v>
      </c>
      <c r="L369" s="62">
        <f>(E369*E353)+(F369*F353)+(G369*G353)+(H369*H353)+(I369*I353)+(J369*J353)</f>
        <v>0</v>
      </c>
      <c r="M369" s="57" t="s">
        <v>36</v>
      </c>
      <c r="N369" s="63" t="b">
        <v>0</v>
      </c>
    </row>
    <row r="370" ht="13.5" customHeight="1">
      <c r="A370" s="80"/>
      <c r="B370" s="69" t="str">
        <f>IFS(L370=0,"",B370&lt;&gt;"",B370,TRUE,NOW())</f>
        <v/>
      </c>
      <c r="C370" s="86" t="s">
        <v>37</v>
      </c>
      <c r="D370" s="59"/>
      <c r="E370" s="81"/>
      <c r="F370" s="81"/>
      <c r="G370" s="81"/>
      <c r="H370" s="82"/>
      <c r="I370" s="81"/>
      <c r="J370" s="81"/>
      <c r="K370" s="72" t="s">
        <v>38</v>
      </c>
      <c r="L370" s="73">
        <f>L369-L368</f>
        <v>0</v>
      </c>
      <c r="M370" s="74" t="s">
        <v>39</v>
      </c>
      <c r="N370" s="75" t="b">
        <v>0</v>
      </c>
    </row>
    <row r="371" ht="18.75" customHeight="1">
      <c r="A371" s="83" t="s">
        <v>107</v>
      </c>
      <c r="B371" s="42" t="s">
        <v>20</v>
      </c>
      <c r="C371" s="24"/>
      <c r="D371" s="33"/>
      <c r="E371" s="43">
        <f t="shared" ref="E371:J371" si="101">E6</f>
        <v>17</v>
      </c>
      <c r="F371" s="43">
        <f t="shared" si="101"/>
        <v>27</v>
      </c>
      <c r="G371" s="43">
        <f t="shared" si="101"/>
        <v>27</v>
      </c>
      <c r="H371" s="43">
        <f t="shared" si="101"/>
        <v>27</v>
      </c>
      <c r="I371" s="43">
        <f t="shared" si="101"/>
        <v>32</v>
      </c>
      <c r="J371" s="44">
        <f t="shared" si="101"/>
        <v>37</v>
      </c>
      <c r="K371" s="42" t="s">
        <v>21</v>
      </c>
      <c r="L371" s="25"/>
      <c r="M371" s="45" t="s">
        <v>22</v>
      </c>
      <c r="N371" s="25"/>
    </row>
    <row r="372" ht="13.5" customHeight="1">
      <c r="A372" s="46" t="s">
        <v>23</v>
      </c>
      <c r="B372" s="47" t="s">
        <v>24</v>
      </c>
      <c r="C372" s="32" t="s">
        <v>25</v>
      </c>
      <c r="D372" s="33"/>
      <c r="E372" s="48"/>
      <c r="F372" s="48"/>
      <c r="G372" s="48"/>
      <c r="H372" s="48"/>
      <c r="I372" s="48"/>
      <c r="J372" s="48"/>
      <c r="K372" s="49"/>
      <c r="L372" s="25"/>
      <c r="M372" s="50"/>
      <c r="N372" s="10"/>
    </row>
    <row r="373" ht="13.5" customHeight="1">
      <c r="A373" s="92"/>
      <c r="B373" s="52" t="s">
        <v>108</v>
      </c>
      <c r="C373" s="53" t="s">
        <v>27</v>
      </c>
      <c r="D373" s="54"/>
      <c r="E373" s="55">
        <f t="shared" ref="E373:J373" si="102">E372-E374</f>
        <v>0</v>
      </c>
      <c r="F373" s="55">
        <f t="shared" si="102"/>
        <v>0</v>
      </c>
      <c r="G373" s="55">
        <f t="shared" si="102"/>
        <v>0</v>
      </c>
      <c r="H373" s="55">
        <f t="shared" si="102"/>
        <v>0</v>
      </c>
      <c r="I373" s="55">
        <f t="shared" si="102"/>
        <v>0</v>
      </c>
      <c r="J373" s="55">
        <f t="shared" si="102"/>
        <v>0</v>
      </c>
      <c r="K373" s="56"/>
      <c r="L373" s="30"/>
      <c r="M373" s="57" t="s">
        <v>28</v>
      </c>
      <c r="N373" s="58" t="b">
        <v>0</v>
      </c>
    </row>
    <row r="374" ht="13.5" customHeight="1">
      <c r="A374" s="46" t="s">
        <v>29</v>
      </c>
      <c r="B374" s="59"/>
      <c r="C374" s="53" t="s">
        <v>30</v>
      </c>
      <c r="D374" s="54"/>
      <c r="E374" s="60"/>
      <c r="F374" s="60"/>
      <c r="G374" s="60"/>
      <c r="H374" s="60"/>
      <c r="I374" s="60"/>
      <c r="J374" s="60"/>
      <c r="K374" s="61" t="s">
        <v>30</v>
      </c>
      <c r="L374" s="62">
        <f>(E374*E371)+(F374*F371)+(G374*G371)+(H374*H371)+(I374*I371)+(J374*J371)</f>
        <v>0</v>
      </c>
      <c r="M374" s="57" t="s">
        <v>31</v>
      </c>
      <c r="N374" s="63" t="b">
        <v>0</v>
      </c>
    </row>
    <row r="375" ht="13.5" customHeight="1">
      <c r="A375" s="64"/>
      <c r="B375" s="65" t="s">
        <v>33</v>
      </c>
      <c r="C375" s="53" t="s">
        <v>34</v>
      </c>
      <c r="D375" s="54"/>
      <c r="E375" s="66"/>
      <c r="F375" s="66"/>
      <c r="G375" s="66"/>
      <c r="H375" s="66"/>
      <c r="I375" s="66"/>
      <c r="J375" s="66"/>
      <c r="K375" s="67" t="s">
        <v>35</v>
      </c>
      <c r="L375" s="62">
        <f>(E375*E371)+(F375*F371)+(G375*G371)+(H375*H371)+(I375*I371)+(J375*J371)</f>
        <v>0</v>
      </c>
      <c r="M375" s="57" t="s">
        <v>36</v>
      </c>
      <c r="N375" s="63" t="b">
        <v>0</v>
      </c>
    </row>
    <row r="376" ht="15.0" customHeight="1">
      <c r="A376" s="68"/>
      <c r="B376" s="69" t="str">
        <f>IFS(L376=0,"",B376&lt;&gt;"",B376,TRUE,NOW())</f>
        <v/>
      </c>
      <c r="C376" s="70" t="s">
        <v>37</v>
      </c>
      <c r="D376" s="33"/>
      <c r="E376" s="71"/>
      <c r="F376" s="71"/>
      <c r="G376" s="71"/>
      <c r="H376" s="71"/>
      <c r="I376" s="71"/>
      <c r="J376" s="71"/>
      <c r="K376" s="72" t="s">
        <v>38</v>
      </c>
      <c r="L376" s="73">
        <f>L375-L374</f>
        <v>0</v>
      </c>
      <c r="M376" s="74" t="s">
        <v>39</v>
      </c>
      <c r="N376" s="75" t="b">
        <v>0</v>
      </c>
    </row>
    <row r="377" ht="13.5" customHeight="1">
      <c r="A377" s="46" t="s">
        <v>40</v>
      </c>
      <c r="B377" s="52" t="s">
        <v>108</v>
      </c>
      <c r="C377" s="53" t="s">
        <v>27</v>
      </c>
      <c r="D377" s="54"/>
      <c r="E377" s="55">
        <f t="shared" ref="E377:J377" si="103">E375-E378</f>
        <v>0</v>
      </c>
      <c r="F377" s="55">
        <f t="shared" si="103"/>
        <v>0</v>
      </c>
      <c r="G377" s="55">
        <f t="shared" si="103"/>
        <v>0</v>
      </c>
      <c r="H377" s="55">
        <f t="shared" si="103"/>
        <v>0</v>
      </c>
      <c r="I377" s="55">
        <f t="shared" si="103"/>
        <v>0</v>
      </c>
      <c r="J377" s="55">
        <f t="shared" si="103"/>
        <v>0</v>
      </c>
      <c r="K377" s="56"/>
      <c r="L377" s="30"/>
      <c r="M377" s="57" t="s">
        <v>28</v>
      </c>
      <c r="N377" s="58" t="b">
        <v>0</v>
      </c>
    </row>
    <row r="378" ht="13.5" customHeight="1">
      <c r="A378" s="64"/>
      <c r="B378" s="59"/>
      <c r="C378" s="53" t="s">
        <v>30</v>
      </c>
      <c r="D378" s="54"/>
      <c r="E378" s="60"/>
      <c r="F378" s="60"/>
      <c r="G378" s="60"/>
      <c r="H378" s="60"/>
      <c r="I378" s="60"/>
      <c r="J378" s="60"/>
      <c r="K378" s="61" t="s">
        <v>30</v>
      </c>
      <c r="L378" s="62">
        <f>(E378*E371)+(F378*F371)+(G378*G371)+(H378*H371)+(I378*I371)+(J378*J371)</f>
        <v>0</v>
      </c>
      <c r="M378" s="57" t="s">
        <v>31</v>
      </c>
      <c r="N378" s="63" t="b">
        <v>0</v>
      </c>
    </row>
    <row r="379" ht="13.5" customHeight="1">
      <c r="A379" s="68"/>
      <c r="B379" s="65" t="s">
        <v>42</v>
      </c>
      <c r="C379" s="53" t="s">
        <v>34</v>
      </c>
      <c r="D379" s="54"/>
      <c r="E379" s="66"/>
      <c r="F379" s="66"/>
      <c r="G379" s="66"/>
      <c r="H379" s="66"/>
      <c r="I379" s="66"/>
      <c r="J379" s="66"/>
      <c r="K379" s="67" t="s">
        <v>35</v>
      </c>
      <c r="L379" s="62">
        <f>(E379*E371)+(F379*F371)+(G379*G371)+(H379*H371)+(I379*I371)+(J379*J371)</f>
        <v>0</v>
      </c>
      <c r="M379" s="57" t="s">
        <v>36</v>
      </c>
      <c r="N379" s="63" t="b">
        <v>0</v>
      </c>
    </row>
    <row r="380" ht="13.5" customHeight="1">
      <c r="A380" s="46" t="s">
        <v>43</v>
      </c>
      <c r="B380" s="69" t="str">
        <f>IFS(L380=0,"",B380&lt;&gt;"",B380,TRUE,NOW())</f>
        <v/>
      </c>
      <c r="C380" s="70" t="s">
        <v>37</v>
      </c>
      <c r="D380" s="33"/>
      <c r="E380" s="71"/>
      <c r="F380" s="71"/>
      <c r="G380" s="71"/>
      <c r="H380" s="71"/>
      <c r="I380" s="71"/>
      <c r="J380" s="71"/>
      <c r="K380" s="72" t="s">
        <v>38</v>
      </c>
      <c r="L380" s="73">
        <f>L379-L378</f>
        <v>0</v>
      </c>
      <c r="M380" s="74" t="s">
        <v>39</v>
      </c>
      <c r="N380" s="75" t="b">
        <v>0</v>
      </c>
    </row>
    <row r="381" ht="13.5" customHeight="1">
      <c r="A381" s="64"/>
      <c r="B381" s="52" t="s">
        <v>108</v>
      </c>
      <c r="C381" s="53" t="s">
        <v>27</v>
      </c>
      <c r="D381" s="54"/>
      <c r="E381" s="55">
        <f t="shared" ref="E381:J381" si="104">E379-E382</f>
        <v>0</v>
      </c>
      <c r="F381" s="55">
        <f t="shared" si="104"/>
        <v>0</v>
      </c>
      <c r="G381" s="55">
        <f t="shared" si="104"/>
        <v>0</v>
      </c>
      <c r="H381" s="55">
        <f t="shared" si="104"/>
        <v>0</v>
      </c>
      <c r="I381" s="55">
        <f t="shared" si="104"/>
        <v>0</v>
      </c>
      <c r="J381" s="55">
        <f t="shared" si="104"/>
        <v>0</v>
      </c>
      <c r="K381" s="56"/>
      <c r="L381" s="30"/>
      <c r="M381" s="57" t="s">
        <v>28</v>
      </c>
      <c r="N381" s="58" t="b">
        <v>0</v>
      </c>
    </row>
    <row r="382" ht="13.5" customHeight="1">
      <c r="A382" s="46" t="s">
        <v>45</v>
      </c>
      <c r="B382" s="59"/>
      <c r="C382" s="53" t="s">
        <v>30</v>
      </c>
      <c r="D382" s="54"/>
      <c r="E382" s="60"/>
      <c r="F382" s="60"/>
      <c r="G382" s="60"/>
      <c r="H382" s="60"/>
      <c r="I382" s="60"/>
      <c r="J382" s="60"/>
      <c r="K382" s="61" t="s">
        <v>30</v>
      </c>
      <c r="L382" s="62">
        <f>(E382*E371)+(F382*F371)+(G382*G371)+(H382*H371)+(I382*I371)+(J382*J371)</f>
        <v>0</v>
      </c>
      <c r="M382" s="57" t="s">
        <v>31</v>
      </c>
      <c r="N382" s="63" t="b">
        <v>0</v>
      </c>
    </row>
    <row r="383" ht="17.25" customHeight="1">
      <c r="A383" s="77"/>
      <c r="B383" s="65" t="s">
        <v>47</v>
      </c>
      <c r="C383" s="53" t="s">
        <v>34</v>
      </c>
      <c r="D383" s="54"/>
      <c r="E383" s="66"/>
      <c r="F383" s="66"/>
      <c r="G383" s="66"/>
      <c r="H383" s="66"/>
      <c r="I383" s="66"/>
      <c r="J383" s="66"/>
      <c r="K383" s="67" t="s">
        <v>35</v>
      </c>
      <c r="L383" s="62">
        <f>(E383*E371)+(F383*F371)+(G383*G371)+(H383*H371)+(I383*I371)+(J383*J371)</f>
        <v>0</v>
      </c>
      <c r="M383" s="57" t="s">
        <v>36</v>
      </c>
      <c r="N383" s="63" t="b">
        <v>0</v>
      </c>
    </row>
    <row r="384" ht="13.5" customHeight="1">
      <c r="A384" s="68"/>
      <c r="B384" s="69" t="str">
        <f>IFS(L384=0,"",B384&lt;&gt;"",B384,TRUE,NOW())</f>
        <v/>
      </c>
      <c r="C384" s="70" t="s">
        <v>37</v>
      </c>
      <c r="D384" s="33"/>
      <c r="E384" s="71"/>
      <c r="F384" s="71"/>
      <c r="G384" s="71"/>
      <c r="H384" s="71"/>
      <c r="I384" s="71"/>
      <c r="J384" s="71"/>
      <c r="K384" s="72" t="s">
        <v>38</v>
      </c>
      <c r="L384" s="73">
        <f>L383-L382</f>
        <v>0</v>
      </c>
      <c r="M384" s="74" t="s">
        <v>39</v>
      </c>
      <c r="N384" s="75" t="b">
        <v>0</v>
      </c>
    </row>
    <row r="385" ht="13.5" customHeight="1">
      <c r="A385" s="78" t="s">
        <v>48</v>
      </c>
      <c r="B385" s="52" t="s">
        <v>108</v>
      </c>
      <c r="C385" s="53" t="s">
        <v>27</v>
      </c>
      <c r="D385" s="54"/>
      <c r="E385" s="55">
        <f t="shared" ref="E385:J385" si="105">E383-E386</f>
        <v>0</v>
      </c>
      <c r="F385" s="55">
        <f t="shared" si="105"/>
        <v>0</v>
      </c>
      <c r="G385" s="55">
        <f t="shared" si="105"/>
        <v>0</v>
      </c>
      <c r="H385" s="55">
        <f t="shared" si="105"/>
        <v>0</v>
      </c>
      <c r="I385" s="55">
        <f t="shared" si="105"/>
        <v>0</v>
      </c>
      <c r="J385" s="55">
        <f t="shared" si="105"/>
        <v>0</v>
      </c>
      <c r="K385" s="56"/>
      <c r="L385" s="30"/>
      <c r="M385" s="57" t="s">
        <v>28</v>
      </c>
      <c r="N385" s="58" t="b">
        <v>0</v>
      </c>
    </row>
    <row r="386" ht="13.5" customHeight="1">
      <c r="A386" s="87"/>
      <c r="B386" s="59"/>
      <c r="C386" s="53" t="s">
        <v>30</v>
      </c>
      <c r="D386" s="54"/>
      <c r="E386" s="60"/>
      <c r="F386" s="60"/>
      <c r="G386" s="60"/>
      <c r="H386" s="60"/>
      <c r="I386" s="60"/>
      <c r="J386" s="60"/>
      <c r="K386" s="61" t="s">
        <v>30</v>
      </c>
      <c r="L386" s="62">
        <f>(E386*E371)+(F386*F371)+(G386*G371)+(H386*H371)+(I386*I371)+(J386*J371)</f>
        <v>0</v>
      </c>
      <c r="M386" s="57" t="s">
        <v>31</v>
      </c>
      <c r="N386" s="63" t="b">
        <v>0</v>
      </c>
    </row>
    <row r="387" ht="13.5" customHeight="1">
      <c r="A387" s="68"/>
      <c r="B387" s="65" t="s">
        <v>49</v>
      </c>
      <c r="C387" s="53" t="s">
        <v>34</v>
      </c>
      <c r="D387" s="54"/>
      <c r="E387" s="66"/>
      <c r="F387" s="66"/>
      <c r="G387" s="66"/>
      <c r="H387" s="66"/>
      <c r="I387" s="66"/>
      <c r="J387" s="66"/>
      <c r="K387" s="67" t="s">
        <v>35</v>
      </c>
      <c r="L387" s="62">
        <f>(E387*E371)+(F387*F371)+(G387*G371)+(H387*H371)+(I387*I371)+(J387*J371)</f>
        <v>0</v>
      </c>
      <c r="M387" s="57" t="s">
        <v>36</v>
      </c>
      <c r="N387" s="63" t="b">
        <v>0</v>
      </c>
    </row>
    <row r="388" ht="15.0" customHeight="1">
      <c r="A388" s="80"/>
      <c r="B388" s="69" t="str">
        <f>IFS(L388=0,"",B388&lt;&gt;"",B388,TRUE,NOW())</f>
        <v/>
      </c>
      <c r="C388" s="53" t="s">
        <v>37</v>
      </c>
      <c r="D388" s="54"/>
      <c r="E388" s="81"/>
      <c r="F388" s="81"/>
      <c r="G388" s="81"/>
      <c r="H388" s="82"/>
      <c r="I388" s="81"/>
      <c r="J388" s="81"/>
      <c r="K388" s="72" t="s">
        <v>38</v>
      </c>
      <c r="L388" s="73">
        <f>L387-L386</f>
        <v>0</v>
      </c>
      <c r="M388" s="74" t="s">
        <v>39</v>
      </c>
      <c r="N388" s="75" t="b">
        <v>0</v>
      </c>
    </row>
    <row r="389" ht="13.5" customHeight="1">
      <c r="A389" s="83" t="s">
        <v>109</v>
      </c>
      <c r="B389" s="42" t="s">
        <v>20</v>
      </c>
      <c r="C389" s="24"/>
      <c r="D389" s="33"/>
      <c r="E389" s="43">
        <f t="shared" ref="E389:J389" si="106">E6</f>
        <v>17</v>
      </c>
      <c r="F389" s="43">
        <f t="shared" si="106"/>
        <v>27</v>
      </c>
      <c r="G389" s="43">
        <f t="shared" si="106"/>
        <v>27</v>
      </c>
      <c r="H389" s="43">
        <f t="shared" si="106"/>
        <v>27</v>
      </c>
      <c r="I389" s="43">
        <f t="shared" si="106"/>
        <v>32</v>
      </c>
      <c r="J389" s="44">
        <f t="shared" si="106"/>
        <v>37</v>
      </c>
      <c r="K389" s="42" t="s">
        <v>21</v>
      </c>
      <c r="L389" s="25"/>
      <c r="M389" s="45" t="s">
        <v>22</v>
      </c>
      <c r="N389" s="25"/>
    </row>
    <row r="390" ht="13.5" customHeight="1">
      <c r="A390" s="46" t="s">
        <v>23</v>
      </c>
      <c r="B390" s="47" t="s">
        <v>24</v>
      </c>
      <c r="C390" s="32" t="s">
        <v>25</v>
      </c>
      <c r="D390" s="33"/>
      <c r="E390" s="48"/>
      <c r="F390" s="48"/>
      <c r="G390" s="48"/>
      <c r="H390" s="48"/>
      <c r="I390" s="48"/>
      <c r="J390" s="48"/>
      <c r="K390" s="49"/>
      <c r="L390" s="25"/>
      <c r="M390" s="50"/>
      <c r="N390" s="10"/>
    </row>
    <row r="391" ht="13.5" customHeight="1">
      <c r="A391" s="92"/>
      <c r="B391" s="52" t="s">
        <v>110</v>
      </c>
      <c r="C391" s="53" t="s">
        <v>27</v>
      </c>
      <c r="D391" s="54"/>
      <c r="E391" s="55">
        <f t="shared" ref="E391:J391" si="107">E390-E392</f>
        <v>0</v>
      </c>
      <c r="F391" s="55">
        <f t="shared" si="107"/>
        <v>0</v>
      </c>
      <c r="G391" s="55">
        <f t="shared" si="107"/>
        <v>0</v>
      </c>
      <c r="H391" s="55">
        <f t="shared" si="107"/>
        <v>0</v>
      </c>
      <c r="I391" s="55">
        <f t="shared" si="107"/>
        <v>0</v>
      </c>
      <c r="J391" s="55">
        <f t="shared" si="107"/>
        <v>0</v>
      </c>
      <c r="K391" s="56"/>
      <c r="L391" s="30"/>
      <c r="M391" s="57" t="s">
        <v>28</v>
      </c>
      <c r="N391" s="58" t="b">
        <v>0</v>
      </c>
    </row>
    <row r="392" ht="13.5" customHeight="1">
      <c r="A392" s="46" t="s">
        <v>29</v>
      </c>
      <c r="B392" s="59"/>
      <c r="C392" s="53" t="s">
        <v>30</v>
      </c>
      <c r="D392" s="54"/>
      <c r="E392" s="60"/>
      <c r="F392" s="60"/>
      <c r="G392" s="60"/>
      <c r="H392" s="60"/>
      <c r="I392" s="60"/>
      <c r="J392" s="60"/>
      <c r="K392" s="61" t="s">
        <v>30</v>
      </c>
      <c r="L392" s="62">
        <f>(E392*E389)+(F392*F389)+(G392*G389)+(H392*H389)+(I392*I389)+(J392*J389)</f>
        <v>0</v>
      </c>
      <c r="M392" s="57" t="s">
        <v>31</v>
      </c>
      <c r="N392" s="63" t="b">
        <v>0</v>
      </c>
    </row>
    <row r="393" ht="16.5" customHeight="1">
      <c r="A393" s="64"/>
      <c r="B393" s="65" t="s">
        <v>33</v>
      </c>
      <c r="C393" s="53" t="s">
        <v>34</v>
      </c>
      <c r="D393" s="54"/>
      <c r="E393" s="66"/>
      <c r="F393" s="66"/>
      <c r="G393" s="66"/>
      <c r="H393" s="66"/>
      <c r="I393" s="66"/>
      <c r="J393" s="66"/>
      <c r="K393" s="67" t="s">
        <v>35</v>
      </c>
      <c r="L393" s="62">
        <f>(E393*E389)+(F393*F389)+(G393*G389)+(H393*H389)+(I393*I389)+(J393*J389)</f>
        <v>0</v>
      </c>
      <c r="M393" s="57" t="s">
        <v>36</v>
      </c>
      <c r="N393" s="63" t="b">
        <v>0</v>
      </c>
    </row>
    <row r="394" ht="13.5" customHeight="1">
      <c r="A394" s="68"/>
      <c r="B394" s="69" t="str">
        <f>IFS(L394=0,"",B394&lt;&gt;"",B394,TRUE,NOW())</f>
        <v/>
      </c>
      <c r="C394" s="70" t="s">
        <v>37</v>
      </c>
      <c r="D394" s="33"/>
      <c r="E394" s="71"/>
      <c r="F394" s="71"/>
      <c r="G394" s="71"/>
      <c r="H394" s="71"/>
      <c r="I394" s="71"/>
      <c r="J394" s="71"/>
      <c r="K394" s="72" t="s">
        <v>38</v>
      </c>
      <c r="L394" s="73">
        <f>L393-L392</f>
        <v>0</v>
      </c>
      <c r="M394" s="74" t="s">
        <v>39</v>
      </c>
      <c r="N394" s="75" t="b">
        <v>0</v>
      </c>
    </row>
    <row r="395" ht="13.5" customHeight="1">
      <c r="A395" s="46" t="s">
        <v>40</v>
      </c>
      <c r="B395" s="52" t="s">
        <v>110</v>
      </c>
      <c r="C395" s="53" t="s">
        <v>27</v>
      </c>
      <c r="D395" s="54"/>
      <c r="E395" s="55">
        <f t="shared" ref="E395:J395" si="108">E393-E396</f>
        <v>0</v>
      </c>
      <c r="F395" s="55">
        <f t="shared" si="108"/>
        <v>0</v>
      </c>
      <c r="G395" s="55">
        <f t="shared" si="108"/>
        <v>0</v>
      </c>
      <c r="H395" s="55">
        <f t="shared" si="108"/>
        <v>0</v>
      </c>
      <c r="I395" s="55">
        <f t="shared" si="108"/>
        <v>0</v>
      </c>
      <c r="J395" s="55">
        <f t="shared" si="108"/>
        <v>0</v>
      </c>
      <c r="K395" s="56"/>
      <c r="L395" s="30"/>
      <c r="M395" s="57" t="s">
        <v>28</v>
      </c>
      <c r="N395" s="58" t="b">
        <v>0</v>
      </c>
    </row>
    <row r="396" ht="13.5" customHeight="1">
      <c r="A396" s="64"/>
      <c r="B396" s="59"/>
      <c r="C396" s="53" t="s">
        <v>30</v>
      </c>
      <c r="D396" s="54"/>
      <c r="E396" s="60"/>
      <c r="F396" s="60"/>
      <c r="G396" s="60"/>
      <c r="H396" s="60"/>
      <c r="I396" s="60"/>
      <c r="J396" s="60"/>
      <c r="K396" s="61" t="s">
        <v>30</v>
      </c>
      <c r="L396" s="62">
        <f>(E396*E389)+(F396*F389)+(G396*G389)+(H396*H389)+(I396*I389)+(J396*J389)</f>
        <v>0</v>
      </c>
      <c r="M396" s="57" t="s">
        <v>31</v>
      </c>
      <c r="N396" s="63" t="b">
        <v>0</v>
      </c>
    </row>
    <row r="397" ht="13.5" customHeight="1">
      <c r="A397" s="68"/>
      <c r="B397" s="65" t="s">
        <v>42</v>
      </c>
      <c r="C397" s="53" t="s">
        <v>34</v>
      </c>
      <c r="D397" s="54"/>
      <c r="E397" s="66"/>
      <c r="F397" s="66"/>
      <c r="G397" s="66"/>
      <c r="H397" s="66"/>
      <c r="I397" s="66"/>
      <c r="J397" s="66"/>
      <c r="K397" s="67" t="s">
        <v>35</v>
      </c>
      <c r="L397" s="62">
        <f>(E397*E389)+(F397*F389)+(G397*G389)+(H397*H389)+(I397*I389)+(J397*J389)</f>
        <v>0</v>
      </c>
      <c r="M397" s="57" t="s">
        <v>36</v>
      </c>
      <c r="N397" s="63" t="b">
        <v>0</v>
      </c>
    </row>
    <row r="398" ht="15.0" customHeight="1">
      <c r="A398" s="46" t="s">
        <v>43</v>
      </c>
      <c r="B398" s="69" t="str">
        <f>IFS(L398=0,"",B398&lt;&gt;"",B398,TRUE,NOW())</f>
        <v/>
      </c>
      <c r="C398" s="70" t="s">
        <v>37</v>
      </c>
      <c r="D398" s="33"/>
      <c r="E398" s="71"/>
      <c r="F398" s="71"/>
      <c r="G398" s="71"/>
      <c r="H398" s="71"/>
      <c r="I398" s="71"/>
      <c r="J398" s="71"/>
      <c r="K398" s="72" t="s">
        <v>38</v>
      </c>
      <c r="L398" s="73">
        <f>L397-L396</f>
        <v>0</v>
      </c>
      <c r="M398" s="74" t="s">
        <v>39</v>
      </c>
      <c r="N398" s="75" t="b">
        <v>0</v>
      </c>
    </row>
    <row r="399" ht="13.5" customHeight="1">
      <c r="A399" s="64"/>
      <c r="B399" s="52" t="s">
        <v>110</v>
      </c>
      <c r="C399" s="53" t="s">
        <v>27</v>
      </c>
      <c r="D399" s="54"/>
      <c r="E399" s="55">
        <f t="shared" ref="E399:J399" si="109">E397-E400</f>
        <v>0</v>
      </c>
      <c r="F399" s="55">
        <f t="shared" si="109"/>
        <v>0</v>
      </c>
      <c r="G399" s="55">
        <f t="shared" si="109"/>
        <v>0</v>
      </c>
      <c r="H399" s="55">
        <f t="shared" si="109"/>
        <v>0</v>
      </c>
      <c r="I399" s="55">
        <f t="shared" si="109"/>
        <v>0</v>
      </c>
      <c r="J399" s="55">
        <f t="shared" si="109"/>
        <v>0</v>
      </c>
      <c r="K399" s="56"/>
      <c r="L399" s="30"/>
      <c r="M399" s="57" t="s">
        <v>28</v>
      </c>
      <c r="N399" s="58" t="b">
        <v>0</v>
      </c>
    </row>
    <row r="400" ht="13.5" customHeight="1">
      <c r="A400" s="46" t="s">
        <v>45</v>
      </c>
      <c r="B400" s="59"/>
      <c r="C400" s="53" t="s">
        <v>30</v>
      </c>
      <c r="D400" s="54"/>
      <c r="E400" s="60"/>
      <c r="F400" s="60"/>
      <c r="G400" s="60"/>
      <c r="H400" s="60"/>
      <c r="I400" s="60"/>
      <c r="J400" s="60"/>
      <c r="K400" s="61" t="s">
        <v>30</v>
      </c>
      <c r="L400" s="62">
        <f>(E400*E389)+(F400*F389)+(G400*G389)+(H400*H389)+(I400*I389)+(J400*J389)</f>
        <v>0</v>
      </c>
      <c r="M400" s="57" t="s">
        <v>31</v>
      </c>
      <c r="N400" s="63" t="b">
        <v>0</v>
      </c>
    </row>
    <row r="401" ht="13.5" customHeight="1">
      <c r="A401" s="77"/>
      <c r="B401" s="65" t="s">
        <v>47</v>
      </c>
      <c r="C401" s="53" t="s">
        <v>34</v>
      </c>
      <c r="D401" s="54"/>
      <c r="E401" s="66"/>
      <c r="F401" s="66"/>
      <c r="G401" s="66"/>
      <c r="H401" s="66"/>
      <c r="I401" s="66"/>
      <c r="J401" s="66"/>
      <c r="K401" s="67" t="s">
        <v>35</v>
      </c>
      <c r="L401" s="62">
        <f>(E401*E389)+(F401*F389)+(G401*G389)+(H401*H389)+(I401*I389)+(J401*J389)</f>
        <v>0</v>
      </c>
      <c r="M401" s="57" t="s">
        <v>36</v>
      </c>
      <c r="N401" s="63" t="b">
        <v>0</v>
      </c>
    </row>
    <row r="402" ht="13.5" customHeight="1">
      <c r="A402" s="68"/>
      <c r="B402" s="69" t="str">
        <f>IFS(L402=0,"",B402&lt;&gt;"",B402,TRUE,NOW())</f>
        <v/>
      </c>
      <c r="C402" s="70" t="s">
        <v>37</v>
      </c>
      <c r="D402" s="33"/>
      <c r="E402" s="71"/>
      <c r="F402" s="71"/>
      <c r="G402" s="71"/>
      <c r="H402" s="71"/>
      <c r="I402" s="71"/>
      <c r="J402" s="71"/>
      <c r="K402" s="72" t="s">
        <v>38</v>
      </c>
      <c r="L402" s="73">
        <f>L401-L400</f>
        <v>0</v>
      </c>
      <c r="M402" s="74" t="s">
        <v>39</v>
      </c>
      <c r="N402" s="75" t="b">
        <v>0</v>
      </c>
    </row>
    <row r="403" ht="13.5" customHeight="1">
      <c r="A403" s="78" t="s">
        <v>48</v>
      </c>
      <c r="B403" s="52" t="s">
        <v>110</v>
      </c>
      <c r="C403" s="53" t="s">
        <v>27</v>
      </c>
      <c r="D403" s="54"/>
      <c r="E403" s="55">
        <f t="shared" ref="E403:J403" si="110">E401-E404</f>
        <v>0</v>
      </c>
      <c r="F403" s="55">
        <f t="shared" si="110"/>
        <v>0</v>
      </c>
      <c r="G403" s="55">
        <f t="shared" si="110"/>
        <v>0</v>
      </c>
      <c r="H403" s="55">
        <f t="shared" si="110"/>
        <v>0</v>
      </c>
      <c r="I403" s="55">
        <f t="shared" si="110"/>
        <v>0</v>
      </c>
      <c r="J403" s="55">
        <f t="shared" si="110"/>
        <v>0</v>
      </c>
      <c r="K403" s="56"/>
      <c r="L403" s="30"/>
      <c r="M403" s="57" t="s">
        <v>28</v>
      </c>
      <c r="N403" s="58" t="b">
        <v>0</v>
      </c>
    </row>
    <row r="404" ht="13.5" customHeight="1">
      <c r="A404" s="87"/>
      <c r="B404" s="59"/>
      <c r="C404" s="53" t="s">
        <v>30</v>
      </c>
      <c r="D404" s="54"/>
      <c r="E404" s="60"/>
      <c r="F404" s="60"/>
      <c r="G404" s="60"/>
      <c r="H404" s="60"/>
      <c r="I404" s="60"/>
      <c r="J404" s="60"/>
      <c r="K404" s="61" t="s">
        <v>30</v>
      </c>
      <c r="L404" s="62">
        <f>(E404*E389)+(F404*F389)+(G404*G389)+(H404*H389)+(I404*I389)+(J404*J389)</f>
        <v>0</v>
      </c>
      <c r="M404" s="57" t="s">
        <v>31</v>
      </c>
      <c r="N404" s="63" t="b">
        <v>0</v>
      </c>
    </row>
    <row r="405" ht="15.0" customHeight="1">
      <c r="A405" s="68"/>
      <c r="B405" s="65" t="s">
        <v>49</v>
      </c>
      <c r="C405" s="53" t="s">
        <v>34</v>
      </c>
      <c r="D405" s="54"/>
      <c r="E405" s="66"/>
      <c r="F405" s="66"/>
      <c r="G405" s="66"/>
      <c r="H405" s="66"/>
      <c r="I405" s="66"/>
      <c r="J405" s="66"/>
      <c r="K405" s="67" t="s">
        <v>35</v>
      </c>
      <c r="L405" s="62">
        <f>(E405*E389)+(F405*F389)+(G405*G389)+(H405*H389)+(I405*I389)+(J405*J389)</f>
        <v>0</v>
      </c>
      <c r="M405" s="57" t="s">
        <v>36</v>
      </c>
      <c r="N405" s="63" t="b">
        <v>0</v>
      </c>
    </row>
    <row r="406" ht="13.5" customHeight="1">
      <c r="A406" s="80"/>
      <c r="B406" s="69" t="str">
        <f>IFS(L406=0,"",B406&lt;&gt;"",B406,TRUE,NOW())</f>
        <v/>
      </c>
      <c r="C406" s="53" t="s">
        <v>37</v>
      </c>
      <c r="D406" s="54"/>
      <c r="E406" s="81"/>
      <c r="F406" s="81"/>
      <c r="G406" s="81"/>
      <c r="H406" s="82"/>
      <c r="I406" s="81"/>
      <c r="J406" s="81"/>
      <c r="K406" s="72" t="s">
        <v>38</v>
      </c>
      <c r="L406" s="73">
        <f>L405-L404</f>
        <v>0</v>
      </c>
      <c r="M406" s="74" t="s">
        <v>39</v>
      </c>
      <c r="N406" s="75" t="b">
        <v>0</v>
      </c>
    </row>
    <row r="407" ht="13.5" customHeight="1">
      <c r="A407" s="83" t="s">
        <v>111</v>
      </c>
      <c r="B407" s="42" t="s">
        <v>20</v>
      </c>
      <c r="C407" s="24"/>
      <c r="D407" s="33"/>
      <c r="E407" s="43">
        <f t="shared" ref="E407:J407" si="111">E6</f>
        <v>17</v>
      </c>
      <c r="F407" s="43">
        <f t="shared" si="111"/>
        <v>27</v>
      </c>
      <c r="G407" s="43">
        <f t="shared" si="111"/>
        <v>27</v>
      </c>
      <c r="H407" s="43">
        <f t="shared" si="111"/>
        <v>27</v>
      </c>
      <c r="I407" s="43">
        <f t="shared" si="111"/>
        <v>32</v>
      </c>
      <c r="J407" s="44">
        <f t="shared" si="111"/>
        <v>37</v>
      </c>
      <c r="K407" s="42" t="s">
        <v>21</v>
      </c>
      <c r="L407" s="25"/>
      <c r="M407" s="45" t="s">
        <v>22</v>
      </c>
      <c r="N407" s="25"/>
    </row>
    <row r="408" ht="13.5" customHeight="1">
      <c r="A408" s="46" t="s">
        <v>23</v>
      </c>
      <c r="B408" s="47" t="s">
        <v>24</v>
      </c>
      <c r="C408" s="32" t="s">
        <v>25</v>
      </c>
      <c r="D408" s="33"/>
      <c r="E408" s="48"/>
      <c r="F408" s="48"/>
      <c r="G408" s="48"/>
      <c r="H408" s="48"/>
      <c r="I408" s="48"/>
      <c r="J408" s="48"/>
      <c r="K408" s="49"/>
      <c r="L408" s="25"/>
      <c r="M408" s="50"/>
      <c r="N408" s="10"/>
    </row>
    <row r="409" ht="13.5" customHeight="1">
      <c r="A409" s="92"/>
      <c r="B409" s="52" t="s">
        <v>112</v>
      </c>
      <c r="C409" s="53" t="s">
        <v>27</v>
      </c>
      <c r="D409" s="54"/>
      <c r="E409" s="55">
        <f t="shared" ref="E409:J409" si="112">E408-E410</f>
        <v>0</v>
      </c>
      <c r="F409" s="55">
        <f t="shared" si="112"/>
        <v>0</v>
      </c>
      <c r="G409" s="55">
        <f t="shared" si="112"/>
        <v>0</v>
      </c>
      <c r="H409" s="55">
        <f t="shared" si="112"/>
        <v>0</v>
      </c>
      <c r="I409" s="55">
        <f t="shared" si="112"/>
        <v>0</v>
      </c>
      <c r="J409" s="55">
        <f t="shared" si="112"/>
        <v>0</v>
      </c>
      <c r="K409" s="56"/>
      <c r="L409" s="30"/>
      <c r="M409" s="57" t="s">
        <v>28</v>
      </c>
      <c r="N409" s="58" t="b">
        <v>0</v>
      </c>
    </row>
    <row r="410" ht="15.0" customHeight="1">
      <c r="A410" s="46" t="s">
        <v>29</v>
      </c>
      <c r="B410" s="59"/>
      <c r="C410" s="53" t="s">
        <v>30</v>
      </c>
      <c r="D410" s="54"/>
      <c r="E410" s="60"/>
      <c r="F410" s="60"/>
      <c r="G410" s="60"/>
      <c r="H410" s="60"/>
      <c r="I410" s="60"/>
      <c r="J410" s="60"/>
      <c r="K410" s="61" t="s">
        <v>30</v>
      </c>
      <c r="L410" s="62">
        <f>(E410*E407)+(F410*F407)+(G410*G407)+(H410*H407)+(I410*I407)+(J410*J407)</f>
        <v>0</v>
      </c>
      <c r="M410" s="57" t="s">
        <v>31</v>
      </c>
      <c r="N410" s="63" t="b">
        <v>0</v>
      </c>
    </row>
    <row r="411" ht="13.5" customHeight="1">
      <c r="A411" s="64"/>
      <c r="B411" s="65" t="s">
        <v>33</v>
      </c>
      <c r="C411" s="53" t="s">
        <v>34</v>
      </c>
      <c r="D411" s="54"/>
      <c r="E411" s="66"/>
      <c r="F411" s="66"/>
      <c r="G411" s="66"/>
      <c r="H411" s="66"/>
      <c r="I411" s="66"/>
      <c r="J411" s="66"/>
      <c r="K411" s="67" t="s">
        <v>35</v>
      </c>
      <c r="L411" s="62">
        <f>(E411*E407)+(F411*F407)+(G411*G407)+(H411*H407)+(I411*I407)+(J411*J407)</f>
        <v>0</v>
      </c>
      <c r="M411" s="57" t="s">
        <v>36</v>
      </c>
      <c r="N411" s="63" t="b">
        <v>0</v>
      </c>
    </row>
    <row r="412" ht="13.5" customHeight="1">
      <c r="A412" s="68"/>
      <c r="B412" s="69" t="str">
        <f>IFS(L412=0,"",B412&lt;&gt;"",B412,TRUE,NOW())</f>
        <v/>
      </c>
      <c r="C412" s="70" t="s">
        <v>37</v>
      </c>
      <c r="D412" s="33"/>
      <c r="E412" s="71"/>
      <c r="F412" s="71"/>
      <c r="G412" s="71"/>
      <c r="H412" s="71"/>
      <c r="I412" s="71"/>
      <c r="J412" s="71"/>
      <c r="K412" s="72" t="s">
        <v>38</v>
      </c>
      <c r="L412" s="73">
        <f>L411-L410</f>
        <v>0</v>
      </c>
      <c r="M412" s="74" t="s">
        <v>39</v>
      </c>
      <c r="N412" s="75" t="b">
        <v>0</v>
      </c>
    </row>
    <row r="413" ht="13.5" customHeight="1">
      <c r="A413" s="46" t="s">
        <v>40</v>
      </c>
      <c r="B413" s="52" t="s">
        <v>112</v>
      </c>
      <c r="C413" s="53" t="s">
        <v>27</v>
      </c>
      <c r="D413" s="54"/>
      <c r="E413" s="55">
        <f t="shared" ref="E413:J413" si="113">E411-E414</f>
        <v>0</v>
      </c>
      <c r="F413" s="55">
        <f t="shared" si="113"/>
        <v>0</v>
      </c>
      <c r="G413" s="55">
        <f t="shared" si="113"/>
        <v>0</v>
      </c>
      <c r="H413" s="55">
        <f t="shared" si="113"/>
        <v>0</v>
      </c>
      <c r="I413" s="55">
        <f t="shared" si="113"/>
        <v>0</v>
      </c>
      <c r="J413" s="55">
        <f t="shared" si="113"/>
        <v>0</v>
      </c>
      <c r="K413" s="56"/>
      <c r="L413" s="30"/>
      <c r="M413" s="57" t="s">
        <v>28</v>
      </c>
      <c r="N413" s="58" t="b">
        <v>0</v>
      </c>
    </row>
    <row r="414" ht="13.5" customHeight="1">
      <c r="A414" s="64"/>
      <c r="B414" s="59"/>
      <c r="C414" s="53" t="s">
        <v>30</v>
      </c>
      <c r="D414" s="54"/>
      <c r="E414" s="60"/>
      <c r="F414" s="60"/>
      <c r="G414" s="60"/>
      <c r="H414" s="60"/>
      <c r="I414" s="60"/>
      <c r="J414" s="60"/>
      <c r="K414" s="61" t="s">
        <v>30</v>
      </c>
      <c r="L414" s="62">
        <f>(E414*E407)+(F414*F407)+(G414*G407)+(H414*H407)+(I414*I407)+(J414*J407)</f>
        <v>0</v>
      </c>
      <c r="M414" s="57" t="s">
        <v>31</v>
      </c>
      <c r="N414" s="63" t="b">
        <v>0</v>
      </c>
    </row>
    <row r="415" ht="18.75" customHeight="1">
      <c r="A415" s="68"/>
      <c r="B415" s="65" t="s">
        <v>42</v>
      </c>
      <c r="C415" s="53" t="s">
        <v>34</v>
      </c>
      <c r="D415" s="54"/>
      <c r="E415" s="66"/>
      <c r="F415" s="66"/>
      <c r="G415" s="66"/>
      <c r="H415" s="66"/>
      <c r="I415" s="66"/>
      <c r="J415" s="66"/>
      <c r="K415" s="67" t="s">
        <v>35</v>
      </c>
      <c r="L415" s="62">
        <f>(E415*E407)+(F415*F407)+(G415*G407)+(H415*H407)+(I415*I407)+(J415*J407)</f>
        <v>0</v>
      </c>
      <c r="M415" s="57" t="s">
        <v>36</v>
      </c>
      <c r="N415" s="63" t="b">
        <v>0</v>
      </c>
    </row>
    <row r="416" ht="13.5" customHeight="1">
      <c r="A416" s="46" t="s">
        <v>43</v>
      </c>
      <c r="B416" s="69" t="str">
        <f>IFS(L416=0,"",B416&lt;&gt;"",B416,TRUE,NOW())</f>
        <v/>
      </c>
      <c r="C416" s="70" t="s">
        <v>37</v>
      </c>
      <c r="D416" s="33"/>
      <c r="E416" s="71"/>
      <c r="F416" s="71"/>
      <c r="G416" s="71"/>
      <c r="H416" s="71"/>
      <c r="I416" s="71"/>
      <c r="J416" s="71"/>
      <c r="K416" s="72" t="s">
        <v>38</v>
      </c>
      <c r="L416" s="73">
        <f>L415-L414</f>
        <v>0</v>
      </c>
      <c r="M416" s="74" t="s">
        <v>39</v>
      </c>
      <c r="N416" s="75" t="b">
        <v>0</v>
      </c>
    </row>
    <row r="417" ht="13.5" customHeight="1">
      <c r="A417" s="64"/>
      <c r="B417" s="52" t="s">
        <v>112</v>
      </c>
      <c r="C417" s="53" t="s">
        <v>27</v>
      </c>
      <c r="D417" s="54"/>
      <c r="E417" s="55">
        <f t="shared" ref="E417:J417" si="114">E415-E418</f>
        <v>0</v>
      </c>
      <c r="F417" s="55">
        <f t="shared" si="114"/>
        <v>0</v>
      </c>
      <c r="G417" s="55">
        <f t="shared" si="114"/>
        <v>0</v>
      </c>
      <c r="H417" s="55">
        <f t="shared" si="114"/>
        <v>0</v>
      </c>
      <c r="I417" s="55">
        <f t="shared" si="114"/>
        <v>0</v>
      </c>
      <c r="J417" s="55">
        <f t="shared" si="114"/>
        <v>0</v>
      </c>
      <c r="K417" s="56"/>
      <c r="L417" s="30"/>
      <c r="M417" s="57" t="s">
        <v>28</v>
      </c>
      <c r="N417" s="58" t="b">
        <v>0</v>
      </c>
    </row>
    <row r="418" ht="13.5" customHeight="1">
      <c r="A418" s="46" t="s">
        <v>45</v>
      </c>
      <c r="B418" s="59"/>
      <c r="C418" s="53" t="s">
        <v>30</v>
      </c>
      <c r="D418" s="54"/>
      <c r="E418" s="60"/>
      <c r="F418" s="60"/>
      <c r="G418" s="60"/>
      <c r="H418" s="60"/>
      <c r="I418" s="60"/>
      <c r="J418" s="60"/>
      <c r="K418" s="61" t="s">
        <v>30</v>
      </c>
      <c r="L418" s="62">
        <f>(E418*E407)+(F418*F407)+(G418*G407)+(H418*H407)+(I418*I407)+(J418*J407)</f>
        <v>0</v>
      </c>
      <c r="M418" s="57" t="s">
        <v>31</v>
      </c>
      <c r="N418" s="63" t="b">
        <v>0</v>
      </c>
    </row>
    <row r="419" ht="13.5" customHeight="1">
      <c r="A419" s="77"/>
      <c r="B419" s="65" t="s">
        <v>47</v>
      </c>
      <c r="C419" s="53" t="s">
        <v>34</v>
      </c>
      <c r="D419" s="54"/>
      <c r="E419" s="66"/>
      <c r="F419" s="66"/>
      <c r="G419" s="66"/>
      <c r="H419" s="66"/>
      <c r="I419" s="66"/>
      <c r="J419" s="66"/>
      <c r="K419" s="67" t="s">
        <v>35</v>
      </c>
      <c r="L419" s="62">
        <f>(E419*E407)+(F419*F407)+(G419*G407)+(H419*H407)+(I419*I407)+(J419*J407)</f>
        <v>0</v>
      </c>
      <c r="M419" s="57" t="s">
        <v>36</v>
      </c>
      <c r="N419" s="63" t="b">
        <v>0</v>
      </c>
    </row>
    <row r="420" ht="18.75" customHeight="1">
      <c r="A420" s="68"/>
      <c r="B420" s="69" t="str">
        <f>IFS(L420=0,"",B420&lt;&gt;"",B420,TRUE,NOW())</f>
        <v/>
      </c>
      <c r="C420" s="70" t="s">
        <v>37</v>
      </c>
      <c r="D420" s="33"/>
      <c r="E420" s="71"/>
      <c r="F420" s="71"/>
      <c r="G420" s="71"/>
      <c r="H420" s="71"/>
      <c r="I420" s="71"/>
      <c r="J420" s="71"/>
      <c r="K420" s="72" t="s">
        <v>38</v>
      </c>
      <c r="L420" s="73">
        <f>L419-L418</f>
        <v>0</v>
      </c>
      <c r="M420" s="74" t="s">
        <v>39</v>
      </c>
      <c r="N420" s="75" t="b">
        <v>0</v>
      </c>
    </row>
    <row r="421" ht="13.5" customHeight="1">
      <c r="A421" s="78" t="s">
        <v>48</v>
      </c>
      <c r="B421" s="52" t="s">
        <v>112</v>
      </c>
      <c r="C421" s="53" t="s">
        <v>27</v>
      </c>
      <c r="D421" s="54"/>
      <c r="E421" s="55">
        <f t="shared" ref="E421:J421" si="115">E419-E422</f>
        <v>0</v>
      </c>
      <c r="F421" s="55">
        <f t="shared" si="115"/>
        <v>0</v>
      </c>
      <c r="G421" s="55">
        <f t="shared" si="115"/>
        <v>0</v>
      </c>
      <c r="H421" s="55">
        <f t="shared" si="115"/>
        <v>0</v>
      </c>
      <c r="I421" s="55">
        <f t="shared" si="115"/>
        <v>0</v>
      </c>
      <c r="J421" s="55">
        <f t="shared" si="115"/>
        <v>0</v>
      </c>
      <c r="K421" s="56"/>
      <c r="L421" s="30"/>
      <c r="M421" s="57" t="s">
        <v>28</v>
      </c>
      <c r="N421" s="58" t="b">
        <v>0</v>
      </c>
    </row>
    <row r="422" ht="13.5" customHeight="1">
      <c r="A422" s="87"/>
      <c r="B422" s="59"/>
      <c r="C422" s="53" t="s">
        <v>30</v>
      </c>
      <c r="D422" s="54"/>
      <c r="E422" s="60"/>
      <c r="F422" s="60"/>
      <c r="G422" s="60"/>
      <c r="H422" s="60"/>
      <c r="I422" s="60"/>
      <c r="J422" s="60"/>
      <c r="K422" s="61" t="s">
        <v>30</v>
      </c>
      <c r="L422" s="62">
        <f>(E422*E407)+(F422*F407)+(G422*G407)+(H422*H407)+(I422*I407)+(J422*J407)</f>
        <v>0</v>
      </c>
      <c r="M422" s="57" t="s">
        <v>31</v>
      </c>
      <c r="N422" s="63" t="b">
        <v>0</v>
      </c>
    </row>
    <row r="423" ht="13.5" customHeight="1">
      <c r="A423" s="68"/>
      <c r="B423" s="65" t="s">
        <v>49</v>
      </c>
      <c r="C423" s="53" t="s">
        <v>34</v>
      </c>
      <c r="D423" s="54"/>
      <c r="E423" s="66"/>
      <c r="F423" s="66"/>
      <c r="G423" s="66"/>
      <c r="H423" s="66"/>
      <c r="I423" s="66"/>
      <c r="J423" s="66"/>
      <c r="K423" s="67" t="s">
        <v>35</v>
      </c>
      <c r="L423" s="62">
        <f>(E423*E407)+(F423*F407)+(G423*G407)+(H423*H407)+(I423*I407)+(J423*J407)</f>
        <v>0</v>
      </c>
      <c r="M423" s="57" t="s">
        <v>36</v>
      </c>
      <c r="N423" s="63" t="b">
        <v>0</v>
      </c>
    </row>
    <row r="424" ht="13.5" customHeight="1">
      <c r="A424" s="80"/>
      <c r="B424" s="69" t="str">
        <f>IFS(L424=0,"",B424&lt;&gt;"",B424,TRUE,NOW())</f>
        <v/>
      </c>
      <c r="C424" s="53" t="s">
        <v>37</v>
      </c>
      <c r="D424" s="54"/>
      <c r="E424" s="81"/>
      <c r="F424" s="81"/>
      <c r="G424" s="81"/>
      <c r="H424" s="82"/>
      <c r="I424" s="81"/>
      <c r="J424" s="81"/>
      <c r="K424" s="72" t="s">
        <v>38</v>
      </c>
      <c r="L424" s="73">
        <f>L423-L422</f>
        <v>0</v>
      </c>
      <c r="M424" s="74" t="s">
        <v>39</v>
      </c>
      <c r="N424" s="75" t="b">
        <v>0</v>
      </c>
    </row>
    <row r="425" ht="13.5" customHeight="1">
      <c r="A425" s="83" t="s">
        <v>113</v>
      </c>
      <c r="B425" s="42" t="s">
        <v>20</v>
      </c>
      <c r="C425" s="24"/>
      <c r="D425" s="33"/>
      <c r="E425" s="43">
        <f t="shared" ref="E425:J425" si="116">E6</f>
        <v>17</v>
      </c>
      <c r="F425" s="43">
        <f t="shared" si="116"/>
        <v>27</v>
      </c>
      <c r="G425" s="43">
        <f t="shared" si="116"/>
        <v>27</v>
      </c>
      <c r="H425" s="43">
        <f t="shared" si="116"/>
        <v>27</v>
      </c>
      <c r="I425" s="43">
        <f t="shared" si="116"/>
        <v>32</v>
      </c>
      <c r="J425" s="44">
        <f t="shared" si="116"/>
        <v>37</v>
      </c>
      <c r="K425" s="42" t="s">
        <v>21</v>
      </c>
      <c r="L425" s="25"/>
      <c r="M425" s="45" t="s">
        <v>22</v>
      </c>
      <c r="N425" s="25"/>
    </row>
    <row r="426" ht="13.5" customHeight="1">
      <c r="A426" s="46" t="s">
        <v>23</v>
      </c>
      <c r="B426" s="47" t="s">
        <v>24</v>
      </c>
      <c r="C426" s="32" t="s">
        <v>25</v>
      </c>
      <c r="D426" s="33"/>
      <c r="E426" s="48"/>
      <c r="F426" s="48"/>
      <c r="G426" s="48"/>
      <c r="H426" s="48"/>
      <c r="I426" s="48"/>
      <c r="J426" s="48"/>
      <c r="K426" s="49"/>
      <c r="L426" s="25"/>
      <c r="M426" s="50"/>
      <c r="N426" s="10"/>
    </row>
    <row r="427" ht="15.0" customHeight="1">
      <c r="A427" s="92"/>
      <c r="B427" s="52" t="s">
        <v>114</v>
      </c>
      <c r="C427" s="53" t="s">
        <v>27</v>
      </c>
      <c r="D427" s="54"/>
      <c r="E427" s="55">
        <f t="shared" ref="E427:J427" si="117">E426-E428</f>
        <v>0</v>
      </c>
      <c r="F427" s="55">
        <f t="shared" si="117"/>
        <v>0</v>
      </c>
      <c r="G427" s="55">
        <f t="shared" si="117"/>
        <v>0</v>
      </c>
      <c r="H427" s="55">
        <f t="shared" si="117"/>
        <v>0</v>
      </c>
      <c r="I427" s="55">
        <f t="shared" si="117"/>
        <v>0</v>
      </c>
      <c r="J427" s="55">
        <f t="shared" si="117"/>
        <v>0</v>
      </c>
      <c r="K427" s="56"/>
      <c r="L427" s="30"/>
      <c r="M427" s="57" t="s">
        <v>28</v>
      </c>
      <c r="N427" s="58" t="b">
        <v>0</v>
      </c>
    </row>
    <row r="428" ht="13.5" customHeight="1">
      <c r="A428" s="46" t="s">
        <v>29</v>
      </c>
      <c r="B428" s="59"/>
      <c r="C428" s="53" t="s">
        <v>30</v>
      </c>
      <c r="D428" s="54"/>
      <c r="E428" s="60"/>
      <c r="F428" s="60"/>
      <c r="G428" s="60"/>
      <c r="H428" s="60"/>
      <c r="I428" s="60"/>
      <c r="J428" s="60"/>
      <c r="K428" s="61" t="s">
        <v>30</v>
      </c>
      <c r="L428" s="62">
        <f>(E428*E425)+(F428*F425)+(G428*G425)+(H428*H425)+(I428*I425)+(J428*J425)</f>
        <v>0</v>
      </c>
      <c r="M428" s="57" t="s">
        <v>31</v>
      </c>
      <c r="N428" s="63" t="b">
        <v>0</v>
      </c>
    </row>
    <row r="429" ht="13.5" customHeight="1">
      <c r="A429" s="64"/>
      <c r="B429" s="65" t="s">
        <v>33</v>
      </c>
      <c r="C429" s="53" t="s">
        <v>34</v>
      </c>
      <c r="D429" s="54"/>
      <c r="E429" s="66"/>
      <c r="F429" s="66"/>
      <c r="G429" s="66"/>
      <c r="H429" s="66"/>
      <c r="I429" s="66"/>
      <c r="J429" s="66"/>
      <c r="K429" s="67" t="s">
        <v>35</v>
      </c>
      <c r="L429" s="62">
        <f>(E429*E425)+(F429*F425)+(G429*G425)+(H429*H425)+(I429*I425)+(J429*J425)</f>
        <v>0</v>
      </c>
      <c r="M429" s="57" t="s">
        <v>36</v>
      </c>
      <c r="N429" s="63" t="b">
        <v>0</v>
      </c>
    </row>
    <row r="430" ht="13.5" customHeight="1">
      <c r="A430" s="68"/>
      <c r="B430" s="69" t="str">
        <f>IFS(L430=0,"",B430&lt;&gt;"",B430,TRUE,NOW())</f>
        <v/>
      </c>
      <c r="C430" s="70" t="s">
        <v>37</v>
      </c>
      <c r="D430" s="33"/>
      <c r="E430" s="71"/>
      <c r="F430" s="71"/>
      <c r="G430" s="71"/>
      <c r="H430" s="71"/>
      <c r="I430" s="71"/>
      <c r="J430" s="71"/>
      <c r="K430" s="72" t="s">
        <v>38</v>
      </c>
      <c r="L430" s="73">
        <f>L429-L428</f>
        <v>0</v>
      </c>
      <c r="M430" s="74" t="s">
        <v>39</v>
      </c>
      <c r="N430" s="75" t="b">
        <v>0</v>
      </c>
    </row>
    <row r="431" ht="13.5" customHeight="1">
      <c r="A431" s="46" t="s">
        <v>40</v>
      </c>
      <c r="B431" s="52" t="s">
        <v>114</v>
      </c>
      <c r="C431" s="53" t="s">
        <v>27</v>
      </c>
      <c r="D431" s="54"/>
      <c r="E431" s="55">
        <f t="shared" ref="E431:J431" si="118">E429-E432</f>
        <v>0</v>
      </c>
      <c r="F431" s="55">
        <f t="shared" si="118"/>
        <v>0</v>
      </c>
      <c r="G431" s="55">
        <f t="shared" si="118"/>
        <v>0</v>
      </c>
      <c r="H431" s="55">
        <f t="shared" si="118"/>
        <v>0</v>
      </c>
      <c r="I431" s="55">
        <f t="shared" si="118"/>
        <v>0</v>
      </c>
      <c r="J431" s="55">
        <f t="shared" si="118"/>
        <v>0</v>
      </c>
      <c r="K431" s="56"/>
      <c r="L431" s="30"/>
      <c r="M431" s="57" t="s">
        <v>28</v>
      </c>
      <c r="N431" s="58" t="b">
        <v>0</v>
      </c>
    </row>
    <row r="432" ht="15.0" customHeight="1">
      <c r="A432" s="64"/>
      <c r="B432" s="59"/>
      <c r="C432" s="53" t="s">
        <v>30</v>
      </c>
      <c r="D432" s="54"/>
      <c r="E432" s="60"/>
      <c r="F432" s="60"/>
      <c r="G432" s="60"/>
      <c r="H432" s="60"/>
      <c r="I432" s="60"/>
      <c r="J432" s="60"/>
      <c r="K432" s="61" t="s">
        <v>30</v>
      </c>
      <c r="L432" s="62">
        <f>(E432*E425)+(F432*F425)+(G432*G425)+(H432*H425)+(I432*I425)+(J432*J425)</f>
        <v>0</v>
      </c>
      <c r="M432" s="57" t="s">
        <v>31</v>
      </c>
      <c r="N432" s="63" t="b">
        <v>0</v>
      </c>
    </row>
    <row r="433" ht="13.5" customHeight="1">
      <c r="A433" s="68"/>
      <c r="B433" s="65" t="s">
        <v>42</v>
      </c>
      <c r="C433" s="53" t="s">
        <v>34</v>
      </c>
      <c r="D433" s="54"/>
      <c r="E433" s="66"/>
      <c r="F433" s="66"/>
      <c r="G433" s="66"/>
      <c r="H433" s="66"/>
      <c r="I433" s="66"/>
      <c r="J433" s="66"/>
      <c r="K433" s="67" t="s">
        <v>35</v>
      </c>
      <c r="L433" s="62">
        <f>(E433*E425)+(F433*F425)+(G433*G425)+(H433*H425)+(I433*I425)+(J433*J425)</f>
        <v>0</v>
      </c>
      <c r="M433" s="57" t="s">
        <v>36</v>
      </c>
      <c r="N433" s="63" t="b">
        <v>0</v>
      </c>
    </row>
    <row r="434" ht="13.5" customHeight="1">
      <c r="A434" s="46" t="s">
        <v>43</v>
      </c>
      <c r="B434" s="69" t="str">
        <f>IFS(L434=0,"",B434&lt;&gt;"",B434,TRUE,NOW())</f>
        <v/>
      </c>
      <c r="C434" s="70" t="s">
        <v>37</v>
      </c>
      <c r="D434" s="33"/>
      <c r="E434" s="71"/>
      <c r="F434" s="71"/>
      <c r="G434" s="71"/>
      <c r="H434" s="71"/>
      <c r="I434" s="71"/>
      <c r="J434" s="71"/>
      <c r="K434" s="72" t="s">
        <v>38</v>
      </c>
      <c r="L434" s="73">
        <f>L433-L432</f>
        <v>0</v>
      </c>
      <c r="M434" s="74" t="s">
        <v>39</v>
      </c>
      <c r="N434" s="75" t="b">
        <v>0</v>
      </c>
    </row>
    <row r="435" ht="13.5" customHeight="1">
      <c r="A435" s="64"/>
      <c r="B435" s="52" t="s">
        <v>114</v>
      </c>
      <c r="C435" s="53" t="s">
        <v>27</v>
      </c>
      <c r="D435" s="54"/>
      <c r="E435" s="55">
        <f t="shared" ref="E435:J435" si="119">E433-E436</f>
        <v>0</v>
      </c>
      <c r="F435" s="55">
        <f t="shared" si="119"/>
        <v>0</v>
      </c>
      <c r="G435" s="55">
        <f t="shared" si="119"/>
        <v>0</v>
      </c>
      <c r="H435" s="55">
        <f t="shared" si="119"/>
        <v>0</v>
      </c>
      <c r="I435" s="55">
        <f t="shared" si="119"/>
        <v>0</v>
      </c>
      <c r="J435" s="55">
        <f t="shared" si="119"/>
        <v>0</v>
      </c>
      <c r="K435" s="56"/>
      <c r="L435" s="30"/>
      <c r="M435" s="57" t="s">
        <v>28</v>
      </c>
      <c r="N435" s="58" t="b">
        <v>0</v>
      </c>
    </row>
    <row r="436" ht="13.5" customHeight="1">
      <c r="A436" s="46" t="s">
        <v>45</v>
      </c>
      <c r="B436" s="59"/>
      <c r="C436" s="53" t="s">
        <v>30</v>
      </c>
      <c r="D436" s="54"/>
      <c r="E436" s="60"/>
      <c r="F436" s="60"/>
      <c r="G436" s="60"/>
      <c r="H436" s="60"/>
      <c r="I436" s="60"/>
      <c r="J436" s="60"/>
      <c r="K436" s="61" t="s">
        <v>30</v>
      </c>
      <c r="L436" s="62">
        <f>(E436*E425)+(F436*F425)+(G436*G425)+(H436*H425)+(I436*I425)+(J436*J425)</f>
        <v>0</v>
      </c>
      <c r="M436" s="57" t="s">
        <v>31</v>
      </c>
      <c r="N436" s="63" t="b">
        <v>0</v>
      </c>
    </row>
    <row r="437" ht="15.0" customHeight="1">
      <c r="A437" s="77"/>
      <c r="B437" s="65" t="s">
        <v>47</v>
      </c>
      <c r="C437" s="53" t="s">
        <v>34</v>
      </c>
      <c r="D437" s="54"/>
      <c r="E437" s="66"/>
      <c r="F437" s="66"/>
      <c r="G437" s="66"/>
      <c r="H437" s="66"/>
      <c r="I437" s="66"/>
      <c r="J437" s="66"/>
      <c r="K437" s="67" t="s">
        <v>35</v>
      </c>
      <c r="L437" s="62">
        <f>(E437*E425)+(F437*F425)+(G437*G425)+(H437*H425)+(I437*I425)+(J437*J425)</f>
        <v>0</v>
      </c>
      <c r="M437" s="57" t="s">
        <v>36</v>
      </c>
      <c r="N437" s="63" t="b">
        <v>0</v>
      </c>
    </row>
    <row r="438" ht="13.5" customHeight="1">
      <c r="A438" s="68"/>
      <c r="B438" s="69" t="str">
        <f>IFS(L438=0,"",B438&lt;&gt;"",B438,TRUE,NOW())</f>
        <v/>
      </c>
      <c r="C438" s="70" t="s">
        <v>37</v>
      </c>
      <c r="D438" s="33"/>
      <c r="E438" s="71"/>
      <c r="F438" s="71"/>
      <c r="G438" s="71"/>
      <c r="H438" s="71"/>
      <c r="I438" s="71"/>
      <c r="J438" s="71"/>
      <c r="K438" s="72" t="s">
        <v>38</v>
      </c>
      <c r="L438" s="73">
        <f>L437-L436</f>
        <v>0</v>
      </c>
      <c r="M438" s="74" t="s">
        <v>39</v>
      </c>
      <c r="N438" s="75" t="b">
        <v>0</v>
      </c>
    </row>
    <row r="439" ht="13.5" customHeight="1">
      <c r="A439" s="78" t="s">
        <v>48</v>
      </c>
      <c r="B439" s="52" t="s">
        <v>114</v>
      </c>
      <c r="C439" s="53" t="s">
        <v>27</v>
      </c>
      <c r="D439" s="54"/>
      <c r="E439" s="55">
        <f t="shared" ref="E439:J439" si="120">E437-E440</f>
        <v>0</v>
      </c>
      <c r="F439" s="55">
        <f t="shared" si="120"/>
        <v>0</v>
      </c>
      <c r="G439" s="55">
        <f t="shared" si="120"/>
        <v>0</v>
      </c>
      <c r="H439" s="55">
        <f t="shared" si="120"/>
        <v>0</v>
      </c>
      <c r="I439" s="55">
        <f t="shared" si="120"/>
        <v>0</v>
      </c>
      <c r="J439" s="55">
        <f t="shared" si="120"/>
        <v>0</v>
      </c>
      <c r="K439" s="56"/>
      <c r="L439" s="30"/>
      <c r="M439" s="57" t="s">
        <v>28</v>
      </c>
      <c r="N439" s="58" t="b">
        <v>0</v>
      </c>
    </row>
    <row r="440" ht="13.5" customHeight="1">
      <c r="A440" s="87"/>
      <c r="B440" s="59"/>
      <c r="C440" s="53" t="s">
        <v>30</v>
      </c>
      <c r="D440" s="54"/>
      <c r="E440" s="60"/>
      <c r="F440" s="60"/>
      <c r="G440" s="60"/>
      <c r="H440" s="60"/>
      <c r="I440" s="60"/>
      <c r="J440" s="60"/>
      <c r="K440" s="61" t="s">
        <v>30</v>
      </c>
      <c r="L440" s="62">
        <f>(E440*E425)+(F440*F425)+(G440*G425)+(H440*H425)+(I440*I425)+(J440*J425)</f>
        <v>0</v>
      </c>
      <c r="M440" s="57" t="s">
        <v>31</v>
      </c>
      <c r="N440" s="63" t="b">
        <v>0</v>
      </c>
    </row>
    <row r="441" ht="13.5" customHeight="1">
      <c r="A441" s="68"/>
      <c r="B441" s="65" t="s">
        <v>49</v>
      </c>
      <c r="C441" s="53" t="s">
        <v>34</v>
      </c>
      <c r="D441" s="54"/>
      <c r="E441" s="66"/>
      <c r="F441" s="66"/>
      <c r="G441" s="66"/>
      <c r="H441" s="66"/>
      <c r="I441" s="66"/>
      <c r="J441" s="66"/>
      <c r="K441" s="67" t="s">
        <v>35</v>
      </c>
      <c r="L441" s="62">
        <f>(E441*E425)+(F441*F425)+(G441*G425)+(H441*H425)+(I441*I425)+(J441*J425)</f>
        <v>0</v>
      </c>
      <c r="M441" s="57" t="s">
        <v>36</v>
      </c>
      <c r="N441" s="63" t="b">
        <v>0</v>
      </c>
    </row>
    <row r="442" ht="15.0" customHeight="1">
      <c r="A442" s="80"/>
      <c r="B442" s="69" t="str">
        <f>IFS(L442=0,"",B442&lt;&gt;"",B442,TRUE,NOW())</f>
        <v/>
      </c>
      <c r="C442" s="86" t="s">
        <v>37</v>
      </c>
      <c r="D442" s="59"/>
      <c r="E442" s="81"/>
      <c r="F442" s="81"/>
      <c r="G442" s="81"/>
      <c r="H442" s="82"/>
      <c r="I442" s="81"/>
      <c r="J442" s="81"/>
      <c r="K442" s="72" t="s">
        <v>38</v>
      </c>
      <c r="L442" s="73">
        <f>L441-L440</f>
        <v>0</v>
      </c>
      <c r="M442" s="74" t="s">
        <v>39</v>
      </c>
      <c r="N442" s="75" t="b">
        <v>0</v>
      </c>
    </row>
    <row r="443" ht="13.5" customHeight="1">
      <c r="A443" s="83" t="s">
        <v>115</v>
      </c>
      <c r="B443" s="42" t="s">
        <v>20</v>
      </c>
      <c r="C443" s="24"/>
      <c r="D443" s="33"/>
      <c r="E443" s="43">
        <f t="shared" ref="E443:J443" si="121">E6</f>
        <v>17</v>
      </c>
      <c r="F443" s="43">
        <f t="shared" si="121"/>
        <v>27</v>
      </c>
      <c r="G443" s="43">
        <f t="shared" si="121"/>
        <v>27</v>
      </c>
      <c r="H443" s="43">
        <f t="shared" si="121"/>
        <v>27</v>
      </c>
      <c r="I443" s="43">
        <f t="shared" si="121"/>
        <v>32</v>
      </c>
      <c r="J443" s="44">
        <f t="shared" si="121"/>
        <v>37</v>
      </c>
      <c r="K443" s="42" t="s">
        <v>21</v>
      </c>
      <c r="L443" s="25"/>
      <c r="M443" s="45" t="s">
        <v>22</v>
      </c>
      <c r="N443" s="25"/>
    </row>
    <row r="444" ht="13.5" customHeight="1">
      <c r="A444" s="46" t="s">
        <v>23</v>
      </c>
      <c r="B444" s="47" t="s">
        <v>24</v>
      </c>
      <c r="C444" s="32" t="s">
        <v>25</v>
      </c>
      <c r="D444" s="33"/>
      <c r="E444" s="48"/>
      <c r="F444" s="48"/>
      <c r="G444" s="48"/>
      <c r="H444" s="48"/>
      <c r="I444" s="48"/>
      <c r="J444" s="48"/>
      <c r="K444" s="49"/>
      <c r="L444" s="25"/>
      <c r="M444" s="50"/>
      <c r="N444" s="10"/>
    </row>
    <row r="445" ht="13.5" customHeight="1">
      <c r="A445" s="92"/>
      <c r="B445" s="52" t="s">
        <v>116</v>
      </c>
      <c r="C445" s="53" t="s">
        <v>27</v>
      </c>
      <c r="D445" s="54"/>
      <c r="E445" s="55">
        <f t="shared" ref="E445:J445" si="122">E444-E446</f>
        <v>0</v>
      </c>
      <c r="F445" s="55">
        <f t="shared" si="122"/>
        <v>0</v>
      </c>
      <c r="G445" s="55">
        <f t="shared" si="122"/>
        <v>0</v>
      </c>
      <c r="H445" s="55">
        <f t="shared" si="122"/>
        <v>0</v>
      </c>
      <c r="I445" s="55">
        <f t="shared" si="122"/>
        <v>0</v>
      </c>
      <c r="J445" s="55">
        <f t="shared" si="122"/>
        <v>0</v>
      </c>
      <c r="K445" s="56"/>
      <c r="L445" s="30"/>
      <c r="M445" s="57" t="s">
        <v>28</v>
      </c>
      <c r="N445" s="58" t="b">
        <v>0</v>
      </c>
    </row>
    <row r="446" ht="13.5" customHeight="1">
      <c r="A446" s="46" t="s">
        <v>29</v>
      </c>
      <c r="B446" s="59"/>
      <c r="C446" s="53" t="s">
        <v>30</v>
      </c>
      <c r="D446" s="54"/>
      <c r="E446" s="60"/>
      <c r="F446" s="60"/>
      <c r="G446" s="60"/>
      <c r="H446" s="60"/>
      <c r="I446" s="60"/>
      <c r="J446" s="60"/>
      <c r="K446" s="61" t="s">
        <v>30</v>
      </c>
      <c r="L446" s="62">
        <f>(E446*E443)+(F446*F443)+(G446*G443)+(H446*H443)+(I446*I443)+(J446*J443)</f>
        <v>0</v>
      </c>
      <c r="M446" s="57" t="s">
        <v>31</v>
      </c>
      <c r="N446" s="63" t="b">
        <v>0</v>
      </c>
    </row>
    <row r="447" ht="13.5" customHeight="1">
      <c r="A447" s="64"/>
      <c r="B447" s="65" t="s">
        <v>33</v>
      </c>
      <c r="C447" s="53" t="s">
        <v>34</v>
      </c>
      <c r="D447" s="54"/>
      <c r="E447" s="66"/>
      <c r="F447" s="66"/>
      <c r="G447" s="66"/>
      <c r="H447" s="66"/>
      <c r="I447" s="66"/>
      <c r="J447" s="66"/>
      <c r="K447" s="67" t="s">
        <v>35</v>
      </c>
      <c r="L447" s="62">
        <f>(E447*E443)+(F447*F443)+(G447*G443)+(H447*H443)+(I447*I443)+(J447*J443)</f>
        <v>0</v>
      </c>
      <c r="M447" s="57" t="s">
        <v>36</v>
      </c>
      <c r="N447" s="63" t="b">
        <v>0</v>
      </c>
    </row>
    <row r="448" ht="13.5" customHeight="1">
      <c r="A448" s="68"/>
      <c r="B448" s="69" t="str">
        <f>IFS(L448=0,"",B448&lt;&gt;"",B448,TRUE,NOW())</f>
        <v/>
      </c>
      <c r="C448" s="70" t="s">
        <v>37</v>
      </c>
      <c r="D448" s="33"/>
      <c r="E448" s="71"/>
      <c r="F448" s="71"/>
      <c r="G448" s="71"/>
      <c r="H448" s="71"/>
      <c r="I448" s="71"/>
      <c r="J448" s="71"/>
      <c r="K448" s="72" t="s">
        <v>38</v>
      </c>
      <c r="L448" s="73">
        <f>L447-L446</f>
        <v>0</v>
      </c>
      <c r="M448" s="74" t="s">
        <v>39</v>
      </c>
      <c r="N448" s="75" t="b">
        <v>0</v>
      </c>
    </row>
    <row r="449" ht="17.25" customHeight="1">
      <c r="A449" s="46" t="s">
        <v>40</v>
      </c>
      <c r="B449" s="52" t="s">
        <v>116</v>
      </c>
      <c r="C449" s="53" t="s">
        <v>27</v>
      </c>
      <c r="D449" s="54"/>
      <c r="E449" s="55">
        <f t="shared" ref="E449:J449" si="123">E447-E450</f>
        <v>0</v>
      </c>
      <c r="F449" s="55">
        <f t="shared" si="123"/>
        <v>0</v>
      </c>
      <c r="G449" s="55">
        <f t="shared" si="123"/>
        <v>0</v>
      </c>
      <c r="H449" s="55">
        <f t="shared" si="123"/>
        <v>0</v>
      </c>
      <c r="I449" s="55">
        <f t="shared" si="123"/>
        <v>0</v>
      </c>
      <c r="J449" s="55">
        <f t="shared" si="123"/>
        <v>0</v>
      </c>
      <c r="K449" s="56"/>
      <c r="L449" s="30"/>
      <c r="M449" s="57" t="s">
        <v>28</v>
      </c>
      <c r="N449" s="58" t="b">
        <v>0</v>
      </c>
    </row>
    <row r="450" ht="13.5" customHeight="1">
      <c r="A450" s="64"/>
      <c r="B450" s="59"/>
      <c r="C450" s="53" t="s">
        <v>30</v>
      </c>
      <c r="D450" s="54"/>
      <c r="E450" s="60"/>
      <c r="F450" s="60"/>
      <c r="G450" s="60"/>
      <c r="H450" s="60"/>
      <c r="I450" s="60"/>
      <c r="J450" s="60"/>
      <c r="K450" s="61" t="s">
        <v>30</v>
      </c>
      <c r="L450" s="62">
        <f>(E450*E443)+(F450*F443)+(G450*G443)+(H450*H443)+(I450*I443)+(J450*J443)</f>
        <v>0</v>
      </c>
      <c r="M450" s="57" t="s">
        <v>31</v>
      </c>
      <c r="N450" s="63" t="b">
        <v>0</v>
      </c>
    </row>
    <row r="451" ht="13.5" customHeight="1">
      <c r="A451" s="68"/>
      <c r="B451" s="65" t="s">
        <v>42</v>
      </c>
      <c r="C451" s="53" t="s">
        <v>34</v>
      </c>
      <c r="D451" s="54"/>
      <c r="E451" s="66"/>
      <c r="F451" s="66"/>
      <c r="G451" s="66"/>
      <c r="H451" s="66"/>
      <c r="I451" s="66"/>
      <c r="J451" s="66"/>
      <c r="K451" s="67" t="s">
        <v>35</v>
      </c>
      <c r="L451" s="62">
        <f>(E451*E443)+(F451*F443)+(G451*G443)+(H451*H443)+(I451*I443)+(J451*J443)</f>
        <v>0</v>
      </c>
      <c r="M451" s="57" t="s">
        <v>36</v>
      </c>
      <c r="N451" s="63" t="b">
        <v>0</v>
      </c>
    </row>
    <row r="452" ht="13.5" customHeight="1">
      <c r="A452" s="46" t="s">
        <v>43</v>
      </c>
      <c r="B452" s="69" t="str">
        <f>IFS(L452=0,"",B452&lt;&gt;"",B452,TRUE,NOW())</f>
        <v/>
      </c>
      <c r="C452" s="70" t="s">
        <v>37</v>
      </c>
      <c r="D452" s="33"/>
      <c r="E452" s="71"/>
      <c r="F452" s="71"/>
      <c r="G452" s="71"/>
      <c r="H452" s="71"/>
      <c r="I452" s="71"/>
      <c r="J452" s="71"/>
      <c r="K452" s="72" t="s">
        <v>38</v>
      </c>
      <c r="L452" s="73">
        <f>L451-L450</f>
        <v>0</v>
      </c>
      <c r="M452" s="74" t="s">
        <v>39</v>
      </c>
      <c r="N452" s="75" t="b">
        <v>0</v>
      </c>
    </row>
    <row r="453" ht="13.5" customHeight="1">
      <c r="A453" s="64"/>
      <c r="B453" s="52" t="s">
        <v>116</v>
      </c>
      <c r="C453" s="53" t="s">
        <v>27</v>
      </c>
      <c r="D453" s="54"/>
      <c r="E453" s="55">
        <f t="shared" ref="E453:J453" si="124">E451-E454</f>
        <v>0</v>
      </c>
      <c r="F453" s="55">
        <f t="shared" si="124"/>
        <v>0</v>
      </c>
      <c r="G453" s="55">
        <f t="shared" si="124"/>
        <v>0</v>
      </c>
      <c r="H453" s="55">
        <f t="shared" si="124"/>
        <v>0</v>
      </c>
      <c r="I453" s="55">
        <f t="shared" si="124"/>
        <v>0</v>
      </c>
      <c r="J453" s="55">
        <f t="shared" si="124"/>
        <v>0</v>
      </c>
      <c r="K453" s="56"/>
      <c r="L453" s="30"/>
      <c r="M453" s="57" t="s">
        <v>28</v>
      </c>
      <c r="N453" s="58" t="b">
        <v>0</v>
      </c>
    </row>
    <row r="454" ht="15.0" customHeight="1">
      <c r="A454" s="46" t="s">
        <v>45</v>
      </c>
      <c r="B454" s="59"/>
      <c r="C454" s="53" t="s">
        <v>30</v>
      </c>
      <c r="D454" s="54"/>
      <c r="E454" s="60"/>
      <c r="F454" s="60"/>
      <c r="G454" s="60"/>
      <c r="H454" s="60"/>
      <c r="I454" s="60"/>
      <c r="J454" s="60"/>
      <c r="K454" s="61" t="s">
        <v>30</v>
      </c>
      <c r="L454" s="62">
        <f>(E454*E443)+(F454*F443)+(G454*G443)+(H454*H443)+(I454*I443)+(J454*J443)</f>
        <v>0</v>
      </c>
      <c r="M454" s="57" t="s">
        <v>31</v>
      </c>
      <c r="N454" s="63" t="b">
        <v>0</v>
      </c>
    </row>
    <row r="455" ht="13.5" customHeight="1">
      <c r="A455" s="77"/>
      <c r="B455" s="65" t="s">
        <v>47</v>
      </c>
      <c r="C455" s="53" t="s">
        <v>34</v>
      </c>
      <c r="D455" s="54"/>
      <c r="E455" s="66"/>
      <c r="F455" s="66"/>
      <c r="G455" s="66"/>
      <c r="H455" s="66"/>
      <c r="I455" s="66"/>
      <c r="J455" s="66"/>
      <c r="K455" s="67" t="s">
        <v>35</v>
      </c>
      <c r="L455" s="62">
        <f>(E455*E443)+(F455*F443)+(G455*G443)+(H455*H443)+(I455*I443)+(J455*J443)</f>
        <v>0</v>
      </c>
      <c r="M455" s="57" t="s">
        <v>36</v>
      </c>
      <c r="N455" s="63" t="b">
        <v>0</v>
      </c>
    </row>
    <row r="456" ht="13.5" customHeight="1">
      <c r="A456" s="68"/>
      <c r="B456" s="69" t="str">
        <f>IFS(L456=0,"",B456&lt;&gt;"",B456,TRUE,NOW())</f>
        <v/>
      </c>
      <c r="C456" s="70" t="s">
        <v>37</v>
      </c>
      <c r="D456" s="33"/>
      <c r="E456" s="71"/>
      <c r="F456" s="71"/>
      <c r="G456" s="71"/>
      <c r="H456" s="71"/>
      <c r="I456" s="71"/>
      <c r="J456" s="71"/>
      <c r="K456" s="72" t="s">
        <v>38</v>
      </c>
      <c r="L456" s="73">
        <f>L455-L454</f>
        <v>0</v>
      </c>
      <c r="M456" s="74" t="s">
        <v>39</v>
      </c>
      <c r="N456" s="75" t="b">
        <v>0</v>
      </c>
    </row>
    <row r="457" ht="13.5" customHeight="1">
      <c r="A457" s="78" t="s">
        <v>48</v>
      </c>
      <c r="B457" s="52" t="s">
        <v>116</v>
      </c>
      <c r="C457" s="53" t="s">
        <v>27</v>
      </c>
      <c r="D457" s="54"/>
      <c r="E457" s="55">
        <f t="shared" ref="E457:J457" si="125">E455-E458</f>
        <v>0</v>
      </c>
      <c r="F457" s="55">
        <f t="shared" si="125"/>
        <v>0</v>
      </c>
      <c r="G457" s="55">
        <f t="shared" si="125"/>
        <v>0</v>
      </c>
      <c r="H457" s="55">
        <f t="shared" si="125"/>
        <v>0</v>
      </c>
      <c r="I457" s="55">
        <f t="shared" si="125"/>
        <v>0</v>
      </c>
      <c r="J457" s="55">
        <f t="shared" si="125"/>
        <v>0</v>
      </c>
      <c r="K457" s="56"/>
      <c r="L457" s="30"/>
      <c r="M457" s="57" t="s">
        <v>28</v>
      </c>
      <c r="N457" s="58" t="b">
        <v>0</v>
      </c>
    </row>
    <row r="458" ht="13.5" customHeight="1">
      <c r="A458" s="87"/>
      <c r="B458" s="59"/>
      <c r="C458" s="53" t="s">
        <v>30</v>
      </c>
      <c r="D458" s="54"/>
      <c r="E458" s="60"/>
      <c r="F458" s="60"/>
      <c r="G458" s="60"/>
      <c r="H458" s="60"/>
      <c r="I458" s="60"/>
      <c r="J458" s="60"/>
      <c r="K458" s="61" t="s">
        <v>30</v>
      </c>
      <c r="L458" s="62">
        <f>(E458*E443)+(F458*F443)+(G458*G443)+(H458*H443)+(I458*I443)+(J458*J443)</f>
        <v>0</v>
      </c>
      <c r="M458" s="57" t="s">
        <v>31</v>
      </c>
      <c r="N458" s="63" t="b">
        <v>0</v>
      </c>
    </row>
    <row r="459" ht="15.0" customHeight="1">
      <c r="A459" s="68"/>
      <c r="B459" s="65" t="s">
        <v>49</v>
      </c>
      <c r="C459" s="53" t="s">
        <v>34</v>
      </c>
      <c r="D459" s="54"/>
      <c r="E459" s="66"/>
      <c r="F459" s="66"/>
      <c r="G459" s="66"/>
      <c r="H459" s="66"/>
      <c r="I459" s="66"/>
      <c r="J459" s="66"/>
      <c r="K459" s="67" t="s">
        <v>35</v>
      </c>
      <c r="L459" s="62">
        <f>(E459*E443)+(F459*F443)+(G459*G443)+(H459*H443)+(I459*I443)+(J459*J443)</f>
        <v>0</v>
      </c>
      <c r="M459" s="57" t="s">
        <v>36</v>
      </c>
      <c r="N459" s="63" t="b">
        <v>0</v>
      </c>
    </row>
    <row r="460" ht="13.5" customHeight="1">
      <c r="A460" s="80"/>
      <c r="B460" s="69" t="str">
        <f>IFS(L460=0,"",B460&lt;&gt;"",B460,TRUE,NOW())</f>
        <v/>
      </c>
      <c r="C460" s="86" t="s">
        <v>37</v>
      </c>
      <c r="D460" s="59"/>
      <c r="E460" s="93"/>
      <c r="F460" s="93"/>
      <c r="G460" s="93"/>
      <c r="H460" s="93"/>
      <c r="I460" s="93"/>
      <c r="J460" s="93"/>
      <c r="K460" s="72" t="s">
        <v>38</v>
      </c>
      <c r="L460" s="73">
        <f>L459-L458</f>
        <v>0</v>
      </c>
      <c r="M460" s="74" t="s">
        <v>39</v>
      </c>
      <c r="N460" s="75" t="b">
        <v>0</v>
      </c>
    </row>
    <row r="461" ht="13.5" customHeight="1">
      <c r="A461" s="94" t="s">
        <v>117</v>
      </c>
      <c r="B461" s="95" t="s">
        <v>20</v>
      </c>
      <c r="C461" s="96"/>
      <c r="D461" s="10"/>
      <c r="E461" s="97">
        <f t="shared" ref="E461:J461" si="126">E6</f>
        <v>17</v>
      </c>
      <c r="F461" s="97">
        <f t="shared" si="126"/>
        <v>27</v>
      </c>
      <c r="G461" s="97">
        <f t="shared" si="126"/>
        <v>27</v>
      </c>
      <c r="H461" s="97">
        <f t="shared" si="126"/>
        <v>27</v>
      </c>
      <c r="I461" s="97">
        <f t="shared" si="126"/>
        <v>32</v>
      </c>
      <c r="J461" s="97">
        <f t="shared" si="126"/>
        <v>37</v>
      </c>
      <c r="K461" s="95" t="s">
        <v>21</v>
      </c>
      <c r="L461" s="10"/>
      <c r="M461" s="98" t="s">
        <v>118</v>
      </c>
      <c r="N461" s="10"/>
    </row>
    <row r="462" ht="20.25" customHeight="1">
      <c r="A462" s="99" t="s">
        <v>23</v>
      </c>
      <c r="B462" s="100" t="s">
        <v>117</v>
      </c>
      <c r="C462" s="53" t="s">
        <v>30</v>
      </c>
      <c r="D462" s="54"/>
      <c r="E462" s="60"/>
      <c r="F462" s="60"/>
      <c r="G462" s="60"/>
      <c r="H462" s="60"/>
      <c r="I462" s="60"/>
      <c r="J462" s="60"/>
      <c r="K462" s="61" t="s">
        <v>30</v>
      </c>
      <c r="L462" s="62">
        <f>(E462*E461)+(F462*F461)+(G462*G461)+(H462*H461)+(I462*I461)+(J462*J461)</f>
        <v>0</v>
      </c>
      <c r="M462" s="57" t="s">
        <v>119</v>
      </c>
      <c r="N462" s="63" t="b">
        <v>0</v>
      </c>
    </row>
    <row r="463" ht="13.5" customHeight="1">
      <c r="A463" s="103"/>
      <c r="B463" s="59"/>
      <c r="C463" s="53" t="s">
        <v>34</v>
      </c>
      <c r="D463" s="54"/>
      <c r="E463" s="66"/>
      <c r="F463" s="76"/>
      <c r="G463" s="66"/>
      <c r="H463" s="66"/>
      <c r="I463" s="66"/>
      <c r="J463" s="66"/>
      <c r="K463" s="67" t="s">
        <v>35</v>
      </c>
      <c r="L463" s="62">
        <f>(E463*E461)+(F463*F461)+(G463*G461)+(H463*H461)+(I463*I461)+(J463*J461)</f>
        <v>0</v>
      </c>
      <c r="M463" s="57" t="s">
        <v>121</v>
      </c>
      <c r="N463" s="63" t="b">
        <v>0</v>
      </c>
    </row>
    <row r="464" ht="13.5" customHeight="1">
      <c r="A464" s="80"/>
      <c r="B464" s="102" t="s">
        <v>33</v>
      </c>
      <c r="C464" s="70" t="s">
        <v>37</v>
      </c>
      <c r="D464" s="33"/>
      <c r="E464" s="71"/>
      <c r="F464" s="71"/>
      <c r="G464" s="71"/>
      <c r="H464" s="71"/>
      <c r="I464" s="71"/>
      <c r="J464" s="71"/>
      <c r="K464" s="72" t="s">
        <v>38</v>
      </c>
      <c r="L464" s="73">
        <f>L463-L462</f>
        <v>0</v>
      </c>
      <c r="M464" s="74" t="s">
        <v>122</v>
      </c>
      <c r="N464" s="75" t="b">
        <v>0</v>
      </c>
    </row>
    <row r="465" ht="13.5" customHeight="1">
      <c r="A465" s="99" t="s">
        <v>23</v>
      </c>
      <c r="B465" s="100" t="s">
        <v>117</v>
      </c>
      <c r="C465" s="53" t="s">
        <v>30</v>
      </c>
      <c r="D465" s="54"/>
      <c r="E465" s="60"/>
      <c r="F465" s="60"/>
      <c r="G465" s="60"/>
      <c r="H465" s="60"/>
      <c r="I465" s="60"/>
      <c r="J465" s="60"/>
      <c r="K465" s="61" t="s">
        <v>30</v>
      </c>
      <c r="L465" s="62">
        <f>(E465*E461)+(F465*F461)+(G465*G461)+(H465*H461)+(I465*I461)+(J465*J461)</f>
        <v>0</v>
      </c>
      <c r="M465" s="57" t="s">
        <v>119</v>
      </c>
      <c r="N465" s="63" t="b">
        <v>0</v>
      </c>
    </row>
    <row r="466" ht="13.5" customHeight="1">
      <c r="A466" s="101" t="s">
        <v>162</v>
      </c>
      <c r="B466" s="59"/>
      <c r="C466" s="53" t="s">
        <v>34</v>
      </c>
      <c r="D466" s="54"/>
      <c r="E466" s="66"/>
      <c r="F466" s="66"/>
      <c r="G466" s="66"/>
      <c r="H466" s="66"/>
      <c r="I466" s="66"/>
      <c r="J466" s="66"/>
      <c r="K466" s="67" t="s">
        <v>35</v>
      </c>
      <c r="L466" s="62">
        <f>(E466*E461)+(F466*F461)+(G466*G461)+(H466*H461)+(I466*I461)+(J466*J461)</f>
        <v>0</v>
      </c>
      <c r="M466" s="57" t="s">
        <v>121</v>
      </c>
      <c r="N466" s="63" t="b">
        <v>0</v>
      </c>
    </row>
    <row r="467" ht="13.5" customHeight="1">
      <c r="A467" s="80"/>
      <c r="B467" s="102" t="s">
        <v>42</v>
      </c>
      <c r="C467" s="70" t="s">
        <v>37</v>
      </c>
      <c r="D467" s="33"/>
      <c r="E467" s="71"/>
      <c r="F467" s="71"/>
      <c r="G467" s="71"/>
      <c r="H467" s="71"/>
      <c r="I467" s="71"/>
      <c r="J467" s="71"/>
      <c r="K467" s="72" t="s">
        <v>38</v>
      </c>
      <c r="L467" s="73">
        <f>L466-L465</f>
        <v>0</v>
      </c>
      <c r="M467" s="74" t="s">
        <v>122</v>
      </c>
      <c r="N467" s="75" t="b">
        <v>0</v>
      </c>
    </row>
    <row r="468" ht="13.5" customHeight="1">
      <c r="A468" s="99" t="s">
        <v>23</v>
      </c>
      <c r="B468" s="100" t="s">
        <v>117</v>
      </c>
      <c r="C468" s="53" t="s">
        <v>30</v>
      </c>
      <c r="D468" s="54"/>
      <c r="E468" s="60"/>
      <c r="F468" s="60"/>
      <c r="G468" s="60"/>
      <c r="H468" s="60"/>
      <c r="I468" s="60"/>
      <c r="J468" s="60"/>
      <c r="K468" s="61" t="s">
        <v>30</v>
      </c>
      <c r="L468" s="62">
        <f>(E468*E461)+(F468*F461)+(G468*G461)+(H468*H461)+(I468*I461)+(J468*J461)</f>
        <v>0</v>
      </c>
      <c r="M468" s="57" t="s">
        <v>119</v>
      </c>
      <c r="N468" s="63" t="b">
        <v>0</v>
      </c>
    </row>
    <row r="469" ht="13.5" customHeight="1">
      <c r="A469" s="103"/>
      <c r="B469" s="59"/>
      <c r="C469" s="53" t="s">
        <v>34</v>
      </c>
      <c r="D469" s="54"/>
      <c r="E469" s="66"/>
      <c r="F469" s="76">
        <v>30.0</v>
      </c>
      <c r="G469" s="66"/>
      <c r="H469" s="66"/>
      <c r="I469" s="66"/>
      <c r="J469" s="66"/>
      <c r="K469" s="67" t="s">
        <v>35</v>
      </c>
      <c r="L469" s="62">
        <f>(E469*E461)+(F469*F461)+(G469*G461)+(H469*H461)+(I469*I461)+(J469*J461)</f>
        <v>810</v>
      </c>
      <c r="M469" s="57" t="s">
        <v>121</v>
      </c>
      <c r="N469" s="63" t="b">
        <v>0</v>
      </c>
    </row>
    <row r="470" ht="13.5" customHeight="1">
      <c r="A470" s="80"/>
      <c r="B470" s="102" t="s">
        <v>47</v>
      </c>
      <c r="C470" s="70" t="s">
        <v>37</v>
      </c>
      <c r="D470" s="33"/>
      <c r="E470" s="71"/>
      <c r="F470" s="71"/>
      <c r="G470" s="71"/>
      <c r="H470" s="71"/>
      <c r="I470" s="71"/>
      <c r="J470" s="71"/>
      <c r="K470" s="72" t="s">
        <v>38</v>
      </c>
      <c r="L470" s="73">
        <f>L469-L468</f>
        <v>810</v>
      </c>
      <c r="M470" s="74" t="s">
        <v>122</v>
      </c>
      <c r="N470" s="75" t="b">
        <v>0</v>
      </c>
    </row>
    <row r="471" ht="18.75" customHeight="1">
      <c r="A471" s="99" t="s">
        <v>23</v>
      </c>
      <c r="B471" s="100" t="s">
        <v>117</v>
      </c>
      <c r="C471" s="53" t="s">
        <v>30</v>
      </c>
      <c r="D471" s="54"/>
      <c r="E471" s="60"/>
      <c r="F471" s="60"/>
      <c r="G471" s="60"/>
      <c r="H471" s="60"/>
      <c r="I471" s="60"/>
      <c r="J471" s="60"/>
      <c r="K471" s="61" t="s">
        <v>30</v>
      </c>
      <c r="L471" s="62">
        <f>(E471*E461)+(F471*F461)+(G471*G461)+(H471*H461)+(I471*I461)+(J471*J461)</f>
        <v>0</v>
      </c>
      <c r="M471" s="57" t="s">
        <v>119</v>
      </c>
      <c r="N471" s="63" t="b">
        <v>0</v>
      </c>
    </row>
    <row r="472" ht="13.5" customHeight="1">
      <c r="A472" s="103"/>
      <c r="B472" s="59"/>
      <c r="C472" s="53" t="s">
        <v>34</v>
      </c>
      <c r="D472" s="54"/>
      <c r="E472" s="66"/>
      <c r="F472" s="66"/>
      <c r="G472" s="66"/>
      <c r="H472" s="66"/>
      <c r="I472" s="66"/>
      <c r="J472" s="66"/>
      <c r="K472" s="67" t="s">
        <v>35</v>
      </c>
      <c r="L472" s="62">
        <f>(E472*E461)+(F472*F461)+(G472*G461)+(H472*H461)+(I472*I461)+(J472*J461)</f>
        <v>0</v>
      </c>
      <c r="M472" s="57" t="s">
        <v>121</v>
      </c>
      <c r="N472" s="63" t="b">
        <v>0</v>
      </c>
    </row>
    <row r="473" ht="13.5" customHeight="1">
      <c r="A473" s="80"/>
      <c r="B473" s="102" t="s">
        <v>49</v>
      </c>
      <c r="C473" s="70" t="s">
        <v>37</v>
      </c>
      <c r="D473" s="33"/>
      <c r="E473" s="71"/>
      <c r="F473" s="71"/>
      <c r="G473" s="71"/>
      <c r="H473" s="71"/>
      <c r="I473" s="71"/>
      <c r="J473" s="71"/>
      <c r="K473" s="72" t="s">
        <v>38</v>
      </c>
      <c r="L473" s="73">
        <f>L472-L471</f>
        <v>0</v>
      </c>
      <c r="M473" s="74" t="s">
        <v>122</v>
      </c>
      <c r="N473" s="75" t="b">
        <v>0</v>
      </c>
    </row>
    <row r="474" ht="13.5" customHeight="1">
      <c r="A474" s="94" t="s">
        <v>123</v>
      </c>
      <c r="B474" s="95" t="s">
        <v>20</v>
      </c>
      <c r="C474" s="96"/>
      <c r="D474" s="10"/>
      <c r="E474" s="97">
        <f t="shared" ref="E474:J474" si="127">E6</f>
        <v>17</v>
      </c>
      <c r="F474" s="97">
        <f t="shared" si="127"/>
        <v>27</v>
      </c>
      <c r="G474" s="97">
        <f t="shared" si="127"/>
        <v>27</v>
      </c>
      <c r="H474" s="97">
        <f t="shared" si="127"/>
        <v>27</v>
      </c>
      <c r="I474" s="97">
        <f t="shared" si="127"/>
        <v>32</v>
      </c>
      <c r="J474" s="97">
        <f t="shared" si="127"/>
        <v>37</v>
      </c>
      <c r="K474" s="95" t="s">
        <v>21</v>
      </c>
      <c r="L474" s="10"/>
      <c r="M474" s="98" t="s">
        <v>118</v>
      </c>
      <c r="N474" s="10"/>
    </row>
    <row r="475" ht="13.5" customHeight="1">
      <c r="A475" s="99" t="s">
        <v>23</v>
      </c>
      <c r="B475" s="100" t="s">
        <v>123</v>
      </c>
      <c r="C475" s="53" t="s">
        <v>30</v>
      </c>
      <c r="D475" s="54"/>
      <c r="E475" s="60"/>
      <c r="F475" s="60"/>
      <c r="G475" s="60"/>
      <c r="H475" s="60"/>
      <c r="I475" s="60"/>
      <c r="J475" s="60"/>
      <c r="K475" s="61" t="s">
        <v>30</v>
      </c>
      <c r="L475" s="62">
        <f>(E475*E474)+(F475*F474)+(G475*G474)+(H475*H474)+(I475*I474)+(J475*J474)</f>
        <v>0</v>
      </c>
      <c r="M475" s="57" t="s">
        <v>119</v>
      </c>
      <c r="N475" s="63" t="b">
        <v>0</v>
      </c>
    </row>
    <row r="476" ht="13.5" customHeight="1">
      <c r="A476" s="103"/>
      <c r="B476" s="59"/>
      <c r="C476" s="53" t="s">
        <v>34</v>
      </c>
      <c r="D476" s="54"/>
      <c r="E476" s="66"/>
      <c r="F476" s="66"/>
      <c r="G476" s="66"/>
      <c r="H476" s="66"/>
      <c r="I476" s="66"/>
      <c r="J476" s="66"/>
      <c r="K476" s="67" t="s">
        <v>35</v>
      </c>
      <c r="L476" s="62">
        <f>(E476*E474)+(F476*F474)+(G476*G474)+(H476*H474)+(I476*I474)+(J476*J474)</f>
        <v>0</v>
      </c>
      <c r="M476" s="57" t="s">
        <v>121</v>
      </c>
      <c r="N476" s="63" t="b">
        <v>0</v>
      </c>
    </row>
    <row r="477" ht="13.5" customHeight="1">
      <c r="A477" s="80"/>
      <c r="B477" s="102" t="s">
        <v>33</v>
      </c>
      <c r="C477" s="70" t="s">
        <v>37</v>
      </c>
      <c r="D477" s="33"/>
      <c r="E477" s="71"/>
      <c r="F477" s="71"/>
      <c r="G477" s="71"/>
      <c r="H477" s="71"/>
      <c r="I477" s="71"/>
      <c r="J477" s="71"/>
      <c r="K477" s="72" t="s">
        <v>38</v>
      </c>
      <c r="L477" s="73">
        <f>L476-L475</f>
        <v>0</v>
      </c>
      <c r="M477" s="74" t="s">
        <v>122</v>
      </c>
      <c r="N477" s="75" t="b">
        <v>0</v>
      </c>
    </row>
    <row r="478" ht="15.0" customHeight="1">
      <c r="A478" s="99" t="s">
        <v>23</v>
      </c>
      <c r="B478" s="100" t="s">
        <v>123</v>
      </c>
      <c r="C478" s="53" t="s">
        <v>30</v>
      </c>
      <c r="D478" s="54"/>
      <c r="E478" s="60"/>
      <c r="F478" s="60"/>
      <c r="G478" s="60"/>
      <c r="H478" s="60"/>
      <c r="I478" s="60"/>
      <c r="J478" s="60"/>
      <c r="K478" s="61" t="s">
        <v>30</v>
      </c>
      <c r="L478" s="62">
        <f>(E478*E474)+(F478*F474)+(G478*G474)+(H478*H474)+(I478*I474)+(J478*J474)</f>
        <v>0</v>
      </c>
      <c r="M478" s="57" t="s">
        <v>119</v>
      </c>
      <c r="N478" s="63" t="b">
        <v>0</v>
      </c>
    </row>
    <row r="479" ht="13.5" customHeight="1">
      <c r="A479" s="101" t="s">
        <v>175</v>
      </c>
      <c r="B479" s="59"/>
      <c r="C479" s="53" t="s">
        <v>34</v>
      </c>
      <c r="D479" s="54"/>
      <c r="E479" s="66"/>
      <c r="F479" s="66"/>
      <c r="G479" s="66"/>
      <c r="H479" s="66"/>
      <c r="I479" s="66"/>
      <c r="J479" s="66"/>
      <c r="K479" s="67" t="s">
        <v>35</v>
      </c>
      <c r="L479" s="62">
        <f>(E479*E474)+(F479*F474)+(G479*G474)+(H479*H474)+(I479*I474)+(J479*J474)</f>
        <v>0</v>
      </c>
      <c r="M479" s="57" t="s">
        <v>121</v>
      </c>
      <c r="N479" s="63" t="b">
        <v>0</v>
      </c>
    </row>
    <row r="480" ht="13.5" customHeight="1">
      <c r="A480" s="80"/>
      <c r="B480" s="102" t="s">
        <v>42</v>
      </c>
      <c r="C480" s="70" t="s">
        <v>37</v>
      </c>
      <c r="D480" s="33"/>
      <c r="E480" s="71"/>
      <c r="F480" s="71"/>
      <c r="G480" s="71"/>
      <c r="H480" s="71"/>
      <c r="I480" s="71"/>
      <c r="J480" s="71"/>
      <c r="K480" s="72" t="s">
        <v>38</v>
      </c>
      <c r="L480" s="73">
        <f>L479-L478</f>
        <v>0</v>
      </c>
      <c r="M480" s="74" t="s">
        <v>122</v>
      </c>
      <c r="N480" s="75" t="b">
        <v>0</v>
      </c>
    </row>
    <row r="481" ht="13.5" customHeight="1">
      <c r="A481" s="99" t="s">
        <v>23</v>
      </c>
      <c r="B481" s="100" t="s">
        <v>123</v>
      </c>
      <c r="C481" s="53" t="s">
        <v>30</v>
      </c>
      <c r="D481" s="54"/>
      <c r="E481" s="60"/>
      <c r="F481" s="60"/>
      <c r="G481" s="60"/>
      <c r="H481" s="60"/>
      <c r="I481" s="60"/>
      <c r="J481" s="60"/>
      <c r="K481" s="61" t="s">
        <v>30</v>
      </c>
      <c r="L481" s="62">
        <f>(E481*E474)+(F481*F474)+(G481*G474)+(H481*H474)+(I481*I474)+(J481*J474)</f>
        <v>0</v>
      </c>
      <c r="M481" s="57" t="s">
        <v>119</v>
      </c>
      <c r="N481" s="63" t="b">
        <v>0</v>
      </c>
    </row>
    <row r="482" ht="13.5" customHeight="1">
      <c r="A482" s="103"/>
      <c r="B482" s="59"/>
      <c r="C482" s="53" t="s">
        <v>34</v>
      </c>
      <c r="D482" s="54"/>
      <c r="E482" s="66"/>
      <c r="F482" s="66"/>
      <c r="G482" s="66"/>
      <c r="H482" s="66"/>
      <c r="I482" s="66"/>
      <c r="J482" s="66"/>
      <c r="K482" s="67" t="s">
        <v>35</v>
      </c>
      <c r="L482" s="62">
        <f>(E482*E474)+(F482*F474)+(G482*G474)+(H482*H474)+(I482*I474)+(J482*J474)</f>
        <v>0</v>
      </c>
      <c r="M482" s="57" t="s">
        <v>121</v>
      </c>
      <c r="N482" s="63" t="b">
        <v>0</v>
      </c>
    </row>
    <row r="483" ht="13.5" customHeight="1">
      <c r="A483" s="80"/>
      <c r="B483" s="102" t="s">
        <v>47</v>
      </c>
      <c r="C483" s="70" t="s">
        <v>37</v>
      </c>
      <c r="D483" s="33"/>
      <c r="E483" s="71"/>
      <c r="F483" s="71"/>
      <c r="G483" s="71"/>
      <c r="H483" s="71"/>
      <c r="I483" s="71"/>
      <c r="J483" s="71"/>
      <c r="K483" s="72" t="s">
        <v>38</v>
      </c>
      <c r="L483" s="73">
        <f>L482-L481</f>
        <v>0</v>
      </c>
      <c r="M483" s="74" t="s">
        <v>122</v>
      </c>
      <c r="N483" s="75" t="b">
        <v>0</v>
      </c>
    </row>
    <row r="484" ht="13.5" customHeight="1">
      <c r="A484" s="99" t="s">
        <v>23</v>
      </c>
      <c r="B484" s="100" t="s">
        <v>123</v>
      </c>
      <c r="C484" s="53" t="s">
        <v>30</v>
      </c>
      <c r="D484" s="54"/>
      <c r="E484" s="60"/>
      <c r="F484" s="60"/>
      <c r="G484" s="60"/>
      <c r="H484" s="60"/>
      <c r="I484" s="60"/>
      <c r="J484" s="60"/>
      <c r="K484" s="61" t="s">
        <v>30</v>
      </c>
      <c r="L484" s="62">
        <f>(E484*E474)+(F484*F474)+(G484*G474)+(H484*H474)+(I484*I474)+(J484*J474)</f>
        <v>0</v>
      </c>
      <c r="M484" s="57" t="s">
        <v>119</v>
      </c>
      <c r="N484" s="63" t="b">
        <v>0</v>
      </c>
    </row>
    <row r="485" ht="13.5" customHeight="1">
      <c r="A485" s="103"/>
      <c r="B485" s="59"/>
      <c r="C485" s="53" t="s">
        <v>34</v>
      </c>
      <c r="D485" s="54"/>
      <c r="E485" s="66"/>
      <c r="F485" s="66"/>
      <c r="G485" s="66"/>
      <c r="H485" s="66"/>
      <c r="I485" s="66"/>
      <c r="J485" s="66"/>
      <c r="K485" s="67" t="s">
        <v>35</v>
      </c>
      <c r="L485" s="62">
        <f>(E485*E474)+(F485*F474)+(G485*G474)+(H485*H474)+(I485*I474)+(J485*J474)</f>
        <v>0</v>
      </c>
      <c r="M485" s="57" t="s">
        <v>121</v>
      </c>
      <c r="N485" s="63" t="b">
        <v>0</v>
      </c>
    </row>
    <row r="486" ht="13.5" customHeight="1">
      <c r="A486" s="80"/>
      <c r="B486" s="102" t="s">
        <v>49</v>
      </c>
      <c r="C486" s="70" t="s">
        <v>37</v>
      </c>
      <c r="D486" s="33"/>
      <c r="E486" s="71"/>
      <c r="F486" s="71"/>
      <c r="G486" s="71"/>
      <c r="H486" s="71"/>
      <c r="I486" s="71"/>
      <c r="J486" s="71"/>
      <c r="K486" s="72" t="s">
        <v>38</v>
      </c>
      <c r="L486" s="73">
        <f>L485-L484</f>
        <v>0</v>
      </c>
      <c r="M486" s="74" t="s">
        <v>122</v>
      </c>
      <c r="N486" s="75" t="b">
        <v>0</v>
      </c>
    </row>
    <row r="487" ht="13.5" customHeight="1">
      <c r="A487" s="94" t="s">
        <v>124</v>
      </c>
      <c r="B487" s="95" t="s">
        <v>20</v>
      </c>
      <c r="C487" s="96"/>
      <c r="D487" s="10"/>
      <c r="E487" s="97">
        <f t="shared" ref="E487:J487" si="128">E6</f>
        <v>17</v>
      </c>
      <c r="F487" s="97">
        <f t="shared" si="128"/>
        <v>27</v>
      </c>
      <c r="G487" s="97">
        <f t="shared" si="128"/>
        <v>27</v>
      </c>
      <c r="H487" s="97">
        <f t="shared" si="128"/>
        <v>27</v>
      </c>
      <c r="I487" s="97">
        <f t="shared" si="128"/>
        <v>32</v>
      </c>
      <c r="J487" s="97">
        <f t="shared" si="128"/>
        <v>37</v>
      </c>
      <c r="K487" s="95" t="s">
        <v>21</v>
      </c>
      <c r="L487" s="10"/>
      <c r="M487" s="98" t="s">
        <v>118</v>
      </c>
      <c r="N487" s="10"/>
    </row>
    <row r="488" ht="13.5" customHeight="1">
      <c r="A488" s="99" t="s">
        <v>23</v>
      </c>
      <c r="B488" s="100" t="s">
        <v>124</v>
      </c>
      <c r="C488" s="53" t="s">
        <v>30</v>
      </c>
      <c r="D488" s="54"/>
      <c r="E488" s="60"/>
      <c r="F488" s="60"/>
      <c r="G488" s="60"/>
      <c r="H488" s="60"/>
      <c r="I488" s="60"/>
      <c r="J488" s="60"/>
      <c r="K488" s="61" t="s">
        <v>30</v>
      </c>
      <c r="L488" s="62">
        <f>(E488*E487)+(F488*F487)+(G488*G487)+(H488*H487)+(I488*I487)+(J488*J487)</f>
        <v>0</v>
      </c>
      <c r="M488" s="57" t="s">
        <v>119</v>
      </c>
      <c r="N488" s="63" t="b">
        <v>0</v>
      </c>
    </row>
    <row r="489" ht="13.5" customHeight="1">
      <c r="A489" s="103"/>
      <c r="B489" s="59"/>
      <c r="C489" s="53" t="s">
        <v>34</v>
      </c>
      <c r="D489" s="54"/>
      <c r="E489" s="66"/>
      <c r="F489" s="66"/>
      <c r="G489" s="66"/>
      <c r="H489" s="66"/>
      <c r="I489" s="66"/>
      <c r="J489" s="66"/>
      <c r="K489" s="67" t="s">
        <v>35</v>
      </c>
      <c r="L489" s="62">
        <f>(E489*E487)+(F489*F487)+(G489*G487)+(H489*H487)+(I489*I487)+(J489*J487)</f>
        <v>0</v>
      </c>
      <c r="M489" s="57" t="s">
        <v>121</v>
      </c>
      <c r="N489" s="63" t="b">
        <v>0</v>
      </c>
    </row>
    <row r="490" ht="13.5" customHeight="1">
      <c r="A490" s="80"/>
      <c r="B490" s="102" t="s">
        <v>33</v>
      </c>
      <c r="C490" s="70" t="s">
        <v>37</v>
      </c>
      <c r="D490" s="33"/>
      <c r="E490" s="71"/>
      <c r="F490" s="71"/>
      <c r="G490" s="71"/>
      <c r="H490" s="71"/>
      <c r="I490" s="71"/>
      <c r="J490" s="71"/>
      <c r="K490" s="72" t="s">
        <v>38</v>
      </c>
      <c r="L490" s="73">
        <f>L489-L488</f>
        <v>0</v>
      </c>
      <c r="M490" s="74" t="s">
        <v>122</v>
      </c>
      <c r="N490" s="75" t="b">
        <v>0</v>
      </c>
    </row>
    <row r="491" ht="13.5" customHeight="1">
      <c r="A491" s="99" t="s">
        <v>23</v>
      </c>
      <c r="B491" s="100" t="s">
        <v>124</v>
      </c>
      <c r="C491" s="53" t="s">
        <v>30</v>
      </c>
      <c r="D491" s="54"/>
      <c r="E491" s="60"/>
      <c r="F491" s="60"/>
      <c r="G491" s="60"/>
      <c r="H491" s="60"/>
      <c r="I491" s="60"/>
      <c r="J491" s="60"/>
      <c r="K491" s="61" t="s">
        <v>30</v>
      </c>
      <c r="L491" s="62">
        <f>(E491*E487)+(F491*F487)+(G491*G487)+(H491*H487)+(I491*I487)+(J491*J487)</f>
        <v>0</v>
      </c>
      <c r="M491" s="57" t="s">
        <v>119</v>
      </c>
      <c r="N491" s="63" t="b">
        <v>0</v>
      </c>
    </row>
    <row r="492" ht="13.5" customHeight="1">
      <c r="A492" s="103"/>
      <c r="B492" s="59"/>
      <c r="C492" s="53" t="s">
        <v>34</v>
      </c>
      <c r="D492" s="54"/>
      <c r="E492" s="66"/>
      <c r="F492" s="66"/>
      <c r="G492" s="66"/>
      <c r="H492" s="66"/>
      <c r="I492" s="66"/>
      <c r="J492" s="66"/>
      <c r="K492" s="67" t="s">
        <v>35</v>
      </c>
      <c r="L492" s="62">
        <f>(E492*E487)+(F492*F487)+(G492*G487)+(H492*H487)+(I492*I487)+(J492*J487)</f>
        <v>0</v>
      </c>
      <c r="M492" s="57" t="s">
        <v>121</v>
      </c>
      <c r="N492" s="63" t="b">
        <v>0</v>
      </c>
    </row>
    <row r="493" ht="13.5" customHeight="1">
      <c r="A493" s="80"/>
      <c r="B493" s="102" t="s">
        <v>42</v>
      </c>
      <c r="C493" s="70" t="s">
        <v>37</v>
      </c>
      <c r="D493" s="33"/>
      <c r="E493" s="71"/>
      <c r="F493" s="71"/>
      <c r="G493" s="71"/>
      <c r="H493" s="71"/>
      <c r="I493" s="71"/>
      <c r="J493" s="71"/>
      <c r="K493" s="72" t="s">
        <v>38</v>
      </c>
      <c r="L493" s="73">
        <f>L492-L491</f>
        <v>0</v>
      </c>
      <c r="M493" s="74" t="s">
        <v>122</v>
      </c>
      <c r="N493" s="75" t="b">
        <v>0</v>
      </c>
    </row>
    <row r="494" ht="15.0" customHeight="1">
      <c r="A494" s="99" t="s">
        <v>23</v>
      </c>
      <c r="B494" s="100" t="s">
        <v>124</v>
      </c>
      <c r="C494" s="53" t="s">
        <v>30</v>
      </c>
      <c r="D494" s="54"/>
      <c r="E494" s="60"/>
      <c r="F494" s="60"/>
      <c r="G494" s="60"/>
      <c r="H494" s="60"/>
      <c r="I494" s="60"/>
      <c r="J494" s="60"/>
      <c r="K494" s="61" t="s">
        <v>30</v>
      </c>
      <c r="L494" s="62">
        <f>(E494*E487)+(F494*F487)+(G494*G487)+(H494*H487)+(I494*I487)+(J494*J487)</f>
        <v>0</v>
      </c>
      <c r="M494" s="57" t="s">
        <v>119</v>
      </c>
      <c r="N494" s="63" t="b">
        <v>0</v>
      </c>
    </row>
    <row r="495" ht="13.5" customHeight="1">
      <c r="A495" s="103"/>
      <c r="B495" s="59"/>
      <c r="C495" s="53" t="s">
        <v>34</v>
      </c>
      <c r="D495" s="54"/>
      <c r="E495" s="66"/>
      <c r="F495" s="66"/>
      <c r="G495" s="66"/>
      <c r="H495" s="66"/>
      <c r="I495" s="66"/>
      <c r="J495" s="66"/>
      <c r="K495" s="67" t="s">
        <v>35</v>
      </c>
      <c r="L495" s="62">
        <f>(E495*E487)+(F495*F487)+(G495*G487)+(H495*H487)+(I495*I487)+(J495*J487)</f>
        <v>0</v>
      </c>
      <c r="M495" s="57" t="s">
        <v>121</v>
      </c>
      <c r="N495" s="63" t="b">
        <v>0</v>
      </c>
    </row>
    <row r="496" ht="13.5" customHeight="1">
      <c r="A496" s="80"/>
      <c r="B496" s="102" t="s">
        <v>47</v>
      </c>
      <c r="C496" s="70" t="s">
        <v>37</v>
      </c>
      <c r="D496" s="33"/>
      <c r="E496" s="71"/>
      <c r="F496" s="71"/>
      <c r="G496" s="71"/>
      <c r="H496" s="71"/>
      <c r="I496" s="71"/>
      <c r="J496" s="71"/>
      <c r="K496" s="72" t="s">
        <v>38</v>
      </c>
      <c r="L496" s="73">
        <f>L495-L494</f>
        <v>0</v>
      </c>
      <c r="M496" s="74" t="s">
        <v>122</v>
      </c>
      <c r="N496" s="75" t="b">
        <v>0</v>
      </c>
    </row>
    <row r="497" ht="13.5" customHeight="1">
      <c r="A497" s="99" t="s">
        <v>23</v>
      </c>
      <c r="B497" s="100" t="s">
        <v>124</v>
      </c>
      <c r="C497" s="53" t="s">
        <v>30</v>
      </c>
      <c r="D497" s="54"/>
      <c r="E497" s="60"/>
      <c r="F497" s="60"/>
      <c r="G497" s="60"/>
      <c r="H497" s="60"/>
      <c r="I497" s="60"/>
      <c r="J497" s="60"/>
      <c r="K497" s="61" t="s">
        <v>30</v>
      </c>
      <c r="L497" s="62">
        <f>(E497*E487)+(F497*F487)+(G497*G487)+(H497*H487)+(I497*I487)+(J497*J487)</f>
        <v>0</v>
      </c>
      <c r="M497" s="57" t="s">
        <v>119</v>
      </c>
      <c r="N497" s="63" t="b">
        <v>0</v>
      </c>
    </row>
    <row r="498" ht="13.5" customHeight="1">
      <c r="A498" s="103"/>
      <c r="B498" s="59"/>
      <c r="C498" s="53" t="s">
        <v>34</v>
      </c>
      <c r="D498" s="54"/>
      <c r="E498" s="66"/>
      <c r="F498" s="66"/>
      <c r="G498" s="66"/>
      <c r="H498" s="66"/>
      <c r="I498" s="66"/>
      <c r="J498" s="66"/>
      <c r="K498" s="67" t="s">
        <v>35</v>
      </c>
      <c r="L498" s="62">
        <f>(E498*E487)+(F498*F487)+(G498*G487)+(H498*H487)+(I498*I487)+(J498*J487)</f>
        <v>0</v>
      </c>
      <c r="M498" s="57" t="s">
        <v>121</v>
      </c>
      <c r="N498" s="63" t="b">
        <v>0</v>
      </c>
    </row>
    <row r="499" ht="13.5" customHeight="1">
      <c r="A499" s="80"/>
      <c r="B499" s="102" t="s">
        <v>49</v>
      </c>
      <c r="C499" s="70" t="s">
        <v>37</v>
      </c>
      <c r="D499" s="33"/>
      <c r="E499" s="71"/>
      <c r="F499" s="71"/>
      <c r="G499" s="71"/>
      <c r="H499" s="71"/>
      <c r="I499" s="71"/>
      <c r="J499" s="71"/>
      <c r="K499" s="72" t="s">
        <v>38</v>
      </c>
      <c r="L499" s="73">
        <f>L498-L497</f>
        <v>0</v>
      </c>
      <c r="M499" s="74" t="s">
        <v>122</v>
      </c>
      <c r="N499" s="75" t="b">
        <v>0</v>
      </c>
    </row>
    <row r="500" ht="18.75" customHeight="1">
      <c r="A500" s="94" t="s">
        <v>125</v>
      </c>
      <c r="B500" s="95" t="s">
        <v>20</v>
      </c>
      <c r="C500" s="96"/>
      <c r="D500" s="10"/>
      <c r="E500" s="97">
        <f t="shared" ref="E500:J500" si="129">E6</f>
        <v>17</v>
      </c>
      <c r="F500" s="97">
        <f t="shared" si="129"/>
        <v>27</v>
      </c>
      <c r="G500" s="97">
        <f t="shared" si="129"/>
        <v>27</v>
      </c>
      <c r="H500" s="97">
        <f t="shared" si="129"/>
        <v>27</v>
      </c>
      <c r="I500" s="97">
        <f t="shared" si="129"/>
        <v>32</v>
      </c>
      <c r="J500" s="97">
        <f t="shared" si="129"/>
        <v>37</v>
      </c>
      <c r="K500" s="95" t="s">
        <v>21</v>
      </c>
      <c r="L500" s="10"/>
      <c r="M500" s="98" t="s">
        <v>118</v>
      </c>
      <c r="N500" s="10"/>
    </row>
    <row r="501" ht="13.5" customHeight="1">
      <c r="A501" s="99" t="s">
        <v>23</v>
      </c>
      <c r="B501" s="100" t="s">
        <v>125</v>
      </c>
      <c r="C501" s="53" t="s">
        <v>30</v>
      </c>
      <c r="D501" s="54"/>
      <c r="E501" s="60"/>
      <c r="F501" s="60"/>
      <c r="G501" s="60"/>
      <c r="H501" s="60"/>
      <c r="I501" s="60"/>
      <c r="J501" s="60"/>
      <c r="K501" s="61" t="s">
        <v>30</v>
      </c>
      <c r="L501" s="62">
        <f>(E501*E500)+(F501*F500)+(G501*G500)+(H501*H500)+(I501*I500)+(J501*J500)</f>
        <v>0</v>
      </c>
      <c r="M501" s="57" t="s">
        <v>119</v>
      </c>
      <c r="N501" s="63" t="b">
        <v>0</v>
      </c>
    </row>
    <row r="502" ht="13.5" customHeight="1">
      <c r="A502" s="103"/>
      <c r="B502" s="59"/>
      <c r="C502" s="53" t="s">
        <v>34</v>
      </c>
      <c r="D502" s="54"/>
      <c r="E502" s="66"/>
      <c r="F502" s="66"/>
      <c r="G502" s="66"/>
      <c r="H502" s="66"/>
      <c r="I502" s="66"/>
      <c r="J502" s="66"/>
      <c r="K502" s="67" t="s">
        <v>35</v>
      </c>
      <c r="L502" s="62">
        <f>(E502*E500)+(F502*F500)+(G502*G500)+(H502*H500)+(I502*I500)+(J502*J500)</f>
        <v>0</v>
      </c>
      <c r="M502" s="57" t="s">
        <v>121</v>
      </c>
      <c r="N502" s="63" t="b">
        <v>0</v>
      </c>
    </row>
    <row r="503" ht="17.25" customHeight="1">
      <c r="A503" s="80"/>
      <c r="B503" s="102" t="s">
        <v>33</v>
      </c>
      <c r="C503" s="70" t="s">
        <v>37</v>
      </c>
      <c r="D503" s="33"/>
      <c r="E503" s="71"/>
      <c r="F503" s="71"/>
      <c r="G503" s="71"/>
      <c r="H503" s="71"/>
      <c r="I503" s="71"/>
      <c r="J503" s="71"/>
      <c r="K503" s="72" t="s">
        <v>38</v>
      </c>
      <c r="L503" s="73">
        <f>L502-L501</f>
        <v>0</v>
      </c>
      <c r="M503" s="74" t="s">
        <v>122</v>
      </c>
      <c r="N503" s="75" t="b">
        <v>0</v>
      </c>
    </row>
    <row r="504" ht="13.5" customHeight="1">
      <c r="A504" s="99" t="s">
        <v>23</v>
      </c>
      <c r="B504" s="100" t="s">
        <v>125</v>
      </c>
      <c r="C504" s="53" t="s">
        <v>30</v>
      </c>
      <c r="D504" s="54"/>
      <c r="E504" s="60"/>
      <c r="F504" s="60"/>
      <c r="G504" s="60"/>
      <c r="H504" s="60"/>
      <c r="I504" s="60"/>
      <c r="J504" s="60"/>
      <c r="K504" s="61" t="s">
        <v>30</v>
      </c>
      <c r="L504" s="62">
        <f>(E504*E500)+(F504*F500)+(G504*G500)+(H504*H500)+(I504*I500)+(J504*J500)</f>
        <v>0</v>
      </c>
      <c r="M504" s="57" t="s">
        <v>119</v>
      </c>
      <c r="N504" s="63" t="b">
        <v>0</v>
      </c>
    </row>
    <row r="505" ht="13.5" customHeight="1">
      <c r="A505" s="103"/>
      <c r="B505" s="59"/>
      <c r="C505" s="53" t="s">
        <v>34</v>
      </c>
      <c r="D505" s="54"/>
      <c r="E505" s="66"/>
      <c r="F505" s="66"/>
      <c r="G505" s="66"/>
      <c r="H505" s="66"/>
      <c r="I505" s="66"/>
      <c r="J505" s="66"/>
      <c r="K505" s="67" t="s">
        <v>35</v>
      </c>
      <c r="L505" s="62">
        <f>(E505*E500)+(F505*F500)+(G505*G500)+(H505*H500)+(I505*I500)+(J505*J500)</f>
        <v>0</v>
      </c>
      <c r="M505" s="57" t="s">
        <v>121</v>
      </c>
      <c r="N505" s="63" t="b">
        <v>0</v>
      </c>
    </row>
    <row r="506" ht="13.5" customHeight="1">
      <c r="A506" s="80"/>
      <c r="B506" s="102" t="s">
        <v>42</v>
      </c>
      <c r="C506" s="70" t="s">
        <v>37</v>
      </c>
      <c r="D506" s="33"/>
      <c r="E506" s="71"/>
      <c r="F506" s="71"/>
      <c r="G506" s="71"/>
      <c r="H506" s="71"/>
      <c r="I506" s="71"/>
      <c r="J506" s="71"/>
      <c r="K506" s="72" t="s">
        <v>38</v>
      </c>
      <c r="L506" s="73">
        <f>L505-L504</f>
        <v>0</v>
      </c>
      <c r="M506" s="74" t="s">
        <v>122</v>
      </c>
      <c r="N506" s="75" t="b">
        <v>0</v>
      </c>
    </row>
    <row r="507" ht="13.5" customHeight="1">
      <c r="A507" s="99" t="s">
        <v>23</v>
      </c>
      <c r="B507" s="100" t="s">
        <v>125</v>
      </c>
      <c r="C507" s="53" t="s">
        <v>30</v>
      </c>
      <c r="D507" s="54"/>
      <c r="E507" s="60"/>
      <c r="F507" s="60"/>
      <c r="G507" s="60"/>
      <c r="H507" s="60"/>
      <c r="I507" s="60"/>
      <c r="J507" s="60"/>
      <c r="K507" s="61" t="s">
        <v>30</v>
      </c>
      <c r="L507" s="62">
        <f>(E507*E500)+(F507*F500)+(G507*G500)+(H507*H500)+(I507*I500)+(J507*J500)</f>
        <v>0</v>
      </c>
      <c r="M507" s="57" t="s">
        <v>119</v>
      </c>
      <c r="N507" s="63" t="b">
        <v>0</v>
      </c>
    </row>
    <row r="508" ht="13.5" customHeight="1">
      <c r="A508" s="103"/>
      <c r="B508" s="59"/>
      <c r="C508" s="53" t="s">
        <v>34</v>
      </c>
      <c r="D508" s="54"/>
      <c r="E508" s="66"/>
      <c r="F508" s="66"/>
      <c r="G508" s="66"/>
      <c r="H508" s="66"/>
      <c r="I508" s="66"/>
      <c r="J508" s="66"/>
      <c r="K508" s="67" t="s">
        <v>35</v>
      </c>
      <c r="L508" s="62">
        <f>(E508*E500)+(F508*F500)+(G508*G500)+(H508*H500)+(I508*I500)+(J508*J500)</f>
        <v>0</v>
      </c>
      <c r="M508" s="57" t="s">
        <v>121</v>
      </c>
      <c r="N508" s="63" t="b">
        <v>0</v>
      </c>
    </row>
    <row r="509" ht="13.5" customHeight="1">
      <c r="A509" s="80"/>
      <c r="B509" s="102" t="s">
        <v>47</v>
      </c>
      <c r="C509" s="70" t="s">
        <v>37</v>
      </c>
      <c r="D509" s="33"/>
      <c r="E509" s="71"/>
      <c r="F509" s="71"/>
      <c r="G509" s="71"/>
      <c r="H509" s="71"/>
      <c r="I509" s="71"/>
      <c r="J509" s="71"/>
      <c r="K509" s="72" t="s">
        <v>38</v>
      </c>
      <c r="L509" s="73">
        <f>L508-L507</f>
        <v>0</v>
      </c>
      <c r="M509" s="74" t="s">
        <v>122</v>
      </c>
      <c r="N509" s="75" t="b">
        <v>0</v>
      </c>
    </row>
    <row r="510" ht="18.75" customHeight="1">
      <c r="A510" s="99" t="s">
        <v>23</v>
      </c>
      <c r="B510" s="100" t="s">
        <v>125</v>
      </c>
      <c r="C510" s="53" t="s">
        <v>30</v>
      </c>
      <c r="D510" s="54"/>
      <c r="E510" s="60"/>
      <c r="F510" s="60"/>
      <c r="G510" s="60"/>
      <c r="H510" s="60"/>
      <c r="I510" s="60"/>
      <c r="J510" s="60"/>
      <c r="K510" s="61" t="s">
        <v>30</v>
      </c>
      <c r="L510" s="62">
        <f>(E510*E500)+(F510*F500)+(G510*G500)+(H510*H500)+(I510*I500)+(J510*J500)</f>
        <v>0</v>
      </c>
      <c r="M510" s="57" t="s">
        <v>119</v>
      </c>
      <c r="N510" s="63" t="b">
        <v>0</v>
      </c>
    </row>
    <row r="511" ht="13.5" customHeight="1">
      <c r="A511" s="103"/>
      <c r="B511" s="59"/>
      <c r="C511" s="53" t="s">
        <v>34</v>
      </c>
      <c r="D511" s="54"/>
      <c r="E511" s="66"/>
      <c r="F511" s="66"/>
      <c r="G511" s="66"/>
      <c r="H511" s="66"/>
      <c r="I511" s="66"/>
      <c r="J511" s="66"/>
      <c r="K511" s="67" t="s">
        <v>35</v>
      </c>
      <c r="L511" s="62">
        <f>(E511*E500)+(F511*F500)+(G511*G500)+(H511*H500)+(I511*I500)+(J511*J500)</f>
        <v>0</v>
      </c>
      <c r="M511" s="57" t="s">
        <v>121</v>
      </c>
      <c r="N511" s="63" t="b">
        <v>0</v>
      </c>
    </row>
    <row r="512" ht="13.5" customHeight="1">
      <c r="A512" s="80"/>
      <c r="B512" s="102" t="s">
        <v>49</v>
      </c>
      <c r="C512" s="70" t="s">
        <v>37</v>
      </c>
      <c r="D512" s="33"/>
      <c r="E512" s="71"/>
      <c r="F512" s="71"/>
      <c r="G512" s="71"/>
      <c r="H512" s="71"/>
      <c r="I512" s="71"/>
      <c r="J512" s="71"/>
      <c r="K512" s="72" t="s">
        <v>38</v>
      </c>
      <c r="L512" s="73">
        <f>L511-L510</f>
        <v>0</v>
      </c>
      <c r="M512" s="74" t="s">
        <v>122</v>
      </c>
      <c r="N512" s="75" t="b">
        <v>0</v>
      </c>
    </row>
    <row r="513" ht="13.5" customHeight="1">
      <c r="A513" s="94" t="s">
        <v>126</v>
      </c>
      <c r="B513" s="95" t="s">
        <v>20</v>
      </c>
      <c r="C513" s="96"/>
      <c r="D513" s="10"/>
      <c r="E513" s="97">
        <f t="shared" ref="E513:J513" si="130">E6</f>
        <v>17</v>
      </c>
      <c r="F513" s="97">
        <f t="shared" si="130"/>
        <v>27</v>
      </c>
      <c r="G513" s="97">
        <f t="shared" si="130"/>
        <v>27</v>
      </c>
      <c r="H513" s="97">
        <f t="shared" si="130"/>
        <v>27</v>
      </c>
      <c r="I513" s="97">
        <f t="shared" si="130"/>
        <v>32</v>
      </c>
      <c r="J513" s="97">
        <f t="shared" si="130"/>
        <v>37</v>
      </c>
      <c r="K513" s="95" t="s">
        <v>21</v>
      </c>
      <c r="L513" s="10"/>
      <c r="M513" s="98" t="s">
        <v>118</v>
      </c>
      <c r="N513" s="10"/>
    </row>
    <row r="514" ht="13.5" customHeight="1">
      <c r="A514" s="99" t="s">
        <v>23</v>
      </c>
      <c r="B514" s="100" t="s">
        <v>126</v>
      </c>
      <c r="C514" s="53" t="s">
        <v>30</v>
      </c>
      <c r="D514" s="54"/>
      <c r="E514" s="60"/>
      <c r="F514" s="60"/>
      <c r="G514" s="60"/>
      <c r="H514" s="60"/>
      <c r="I514" s="60"/>
      <c r="J514" s="60"/>
      <c r="K514" s="61" t="s">
        <v>30</v>
      </c>
      <c r="L514" s="62">
        <f>(E514*E513)+(F514*F513)+(G514*G513)+(H514*H513)+(I514*I513)+(J514*J513)</f>
        <v>0</v>
      </c>
      <c r="M514" s="57" t="s">
        <v>119</v>
      </c>
      <c r="N514" s="63" t="b">
        <v>0</v>
      </c>
    </row>
    <row r="515" ht="15.0" customHeight="1">
      <c r="A515" s="103"/>
      <c r="B515" s="59"/>
      <c r="C515" s="53" t="s">
        <v>34</v>
      </c>
      <c r="D515" s="54"/>
      <c r="E515" s="66"/>
      <c r="F515" s="66"/>
      <c r="G515" s="66"/>
      <c r="H515" s="66"/>
      <c r="I515" s="66"/>
      <c r="J515" s="66"/>
      <c r="K515" s="67" t="s">
        <v>35</v>
      </c>
      <c r="L515" s="62">
        <f>(E515*E513)+(F515*F513)+(G515*G513)+(H515*H513)+(I515*I513)+(J515*J513)</f>
        <v>0</v>
      </c>
      <c r="M515" s="57" t="s">
        <v>121</v>
      </c>
      <c r="N515" s="63" t="b">
        <v>0</v>
      </c>
    </row>
    <row r="516" ht="13.5" customHeight="1">
      <c r="A516" s="80"/>
      <c r="B516" s="102" t="s">
        <v>33</v>
      </c>
      <c r="C516" s="70" t="s">
        <v>37</v>
      </c>
      <c r="D516" s="33"/>
      <c r="E516" s="71"/>
      <c r="F516" s="71"/>
      <c r="G516" s="71"/>
      <c r="H516" s="71"/>
      <c r="I516" s="71"/>
      <c r="J516" s="71"/>
      <c r="K516" s="72" t="s">
        <v>38</v>
      </c>
      <c r="L516" s="73">
        <f>L515-L514</f>
        <v>0</v>
      </c>
      <c r="M516" s="74" t="s">
        <v>122</v>
      </c>
      <c r="N516" s="75" t="b">
        <v>0</v>
      </c>
    </row>
    <row r="517" ht="13.5" customHeight="1">
      <c r="A517" s="99" t="s">
        <v>23</v>
      </c>
      <c r="B517" s="100" t="s">
        <v>126</v>
      </c>
      <c r="C517" s="53" t="s">
        <v>30</v>
      </c>
      <c r="D517" s="54"/>
      <c r="E517" s="60"/>
      <c r="F517" s="60"/>
      <c r="G517" s="60"/>
      <c r="H517" s="60"/>
      <c r="I517" s="60"/>
      <c r="J517" s="60"/>
      <c r="K517" s="61" t="s">
        <v>30</v>
      </c>
      <c r="L517" s="62">
        <f>(E517*E513)+(F517*F513)+(G517*G513)+(H517*H513)+(I517*I513)+(J517*J513)</f>
        <v>0</v>
      </c>
      <c r="M517" s="57" t="s">
        <v>119</v>
      </c>
      <c r="N517" s="63" t="b">
        <v>0</v>
      </c>
    </row>
    <row r="518" ht="13.5" customHeight="1">
      <c r="A518" s="103"/>
      <c r="B518" s="59"/>
      <c r="C518" s="53" t="s">
        <v>34</v>
      </c>
      <c r="D518" s="54"/>
      <c r="E518" s="66"/>
      <c r="F518" s="66"/>
      <c r="G518" s="66"/>
      <c r="H518" s="66"/>
      <c r="I518" s="66"/>
      <c r="J518" s="66"/>
      <c r="K518" s="67" t="s">
        <v>35</v>
      </c>
      <c r="L518" s="62">
        <f>(E518*E513)+(F518*F513)+(G518*G513)+(H518*H513)+(I518*I513)+(J518*J513)</f>
        <v>0</v>
      </c>
      <c r="M518" s="57" t="s">
        <v>121</v>
      </c>
      <c r="N518" s="63" t="b">
        <v>0</v>
      </c>
    </row>
    <row r="519" ht="20.25" customHeight="1">
      <c r="A519" s="80"/>
      <c r="B519" s="102" t="s">
        <v>42</v>
      </c>
      <c r="C519" s="70" t="s">
        <v>37</v>
      </c>
      <c r="D519" s="33"/>
      <c r="E519" s="71"/>
      <c r="F519" s="71"/>
      <c r="G519" s="71"/>
      <c r="H519" s="71"/>
      <c r="I519" s="71"/>
      <c r="J519" s="71"/>
      <c r="K519" s="72" t="s">
        <v>38</v>
      </c>
      <c r="L519" s="73">
        <f>L518-L517</f>
        <v>0</v>
      </c>
      <c r="M519" s="74" t="s">
        <v>122</v>
      </c>
      <c r="N519" s="75" t="b">
        <v>0</v>
      </c>
    </row>
    <row r="520" ht="13.5" customHeight="1">
      <c r="A520" s="99" t="s">
        <v>23</v>
      </c>
      <c r="B520" s="100" t="s">
        <v>126</v>
      </c>
      <c r="C520" s="53" t="s">
        <v>30</v>
      </c>
      <c r="D520" s="54"/>
      <c r="E520" s="60"/>
      <c r="F520" s="60"/>
      <c r="G520" s="60"/>
      <c r="H520" s="60"/>
      <c r="I520" s="60"/>
      <c r="J520" s="60"/>
      <c r="K520" s="61" t="s">
        <v>30</v>
      </c>
      <c r="L520" s="62">
        <f>(E520*E513)+(F520*F513)+(G520*G513)+(H520*H513)+(I520*I513)+(J520*J513)</f>
        <v>0</v>
      </c>
      <c r="M520" s="57" t="s">
        <v>119</v>
      </c>
      <c r="N520" s="63" t="b">
        <v>0</v>
      </c>
    </row>
    <row r="521" ht="13.5" customHeight="1">
      <c r="A521" s="103"/>
      <c r="B521" s="59"/>
      <c r="C521" s="53" t="s">
        <v>34</v>
      </c>
      <c r="D521" s="54"/>
      <c r="E521" s="66"/>
      <c r="F521" s="66"/>
      <c r="G521" s="66"/>
      <c r="H521" s="66"/>
      <c r="I521" s="66"/>
      <c r="J521" s="66"/>
      <c r="K521" s="67" t="s">
        <v>35</v>
      </c>
      <c r="L521" s="62">
        <f>(E521*E513)+(F521*F513)+(G521*G513)+(H521*H513)+(I521*I513)+(J521*J513)</f>
        <v>0</v>
      </c>
      <c r="M521" s="57" t="s">
        <v>121</v>
      </c>
      <c r="N521" s="63" t="b">
        <v>0</v>
      </c>
    </row>
    <row r="522" ht="13.5" customHeight="1">
      <c r="A522" s="80"/>
      <c r="B522" s="102" t="s">
        <v>47</v>
      </c>
      <c r="C522" s="70" t="s">
        <v>37</v>
      </c>
      <c r="D522" s="33"/>
      <c r="E522" s="71"/>
      <c r="F522" s="71"/>
      <c r="G522" s="71"/>
      <c r="H522" s="71"/>
      <c r="I522" s="71"/>
      <c r="J522" s="71"/>
      <c r="K522" s="72" t="s">
        <v>38</v>
      </c>
      <c r="L522" s="73">
        <f>L521-L520</f>
        <v>0</v>
      </c>
      <c r="M522" s="74" t="s">
        <v>122</v>
      </c>
      <c r="N522" s="75" t="b">
        <v>0</v>
      </c>
    </row>
    <row r="523" ht="13.5" customHeight="1">
      <c r="A523" s="99" t="s">
        <v>23</v>
      </c>
      <c r="B523" s="100" t="s">
        <v>126</v>
      </c>
      <c r="C523" s="53" t="s">
        <v>30</v>
      </c>
      <c r="D523" s="54"/>
      <c r="E523" s="60"/>
      <c r="F523" s="60"/>
      <c r="G523" s="60"/>
      <c r="H523" s="60"/>
      <c r="I523" s="60"/>
      <c r="J523" s="60"/>
      <c r="K523" s="61" t="s">
        <v>30</v>
      </c>
      <c r="L523" s="62">
        <f>(E523*E513)+(F523*F513)+(G523*G513)+(H523*H513)+(I523*I513)+(J523*J513)</f>
        <v>0</v>
      </c>
      <c r="M523" s="57" t="s">
        <v>119</v>
      </c>
      <c r="N523" s="63" t="b">
        <v>0</v>
      </c>
    </row>
    <row r="524" ht="13.5" customHeight="1">
      <c r="A524" s="103"/>
      <c r="B524" s="59"/>
      <c r="C524" s="53" t="s">
        <v>34</v>
      </c>
      <c r="D524" s="54"/>
      <c r="E524" s="66"/>
      <c r="F524" s="66"/>
      <c r="G524" s="66"/>
      <c r="H524" s="66"/>
      <c r="I524" s="66"/>
      <c r="J524" s="66"/>
      <c r="K524" s="67" t="s">
        <v>35</v>
      </c>
      <c r="L524" s="62">
        <f>(E524*E513)+(F524*F513)+(G524*G513)+(H524*H513)+(I524*I513)+(J524*J513)</f>
        <v>0</v>
      </c>
      <c r="M524" s="57" t="s">
        <v>121</v>
      </c>
      <c r="N524" s="63" t="b">
        <v>0</v>
      </c>
    </row>
    <row r="525" ht="13.5" customHeight="1">
      <c r="A525" s="80"/>
      <c r="B525" s="102" t="s">
        <v>49</v>
      </c>
      <c r="C525" s="70" t="s">
        <v>37</v>
      </c>
      <c r="D525" s="33"/>
      <c r="E525" s="71"/>
      <c r="F525" s="71"/>
      <c r="G525" s="71"/>
      <c r="H525" s="71"/>
      <c r="I525" s="71"/>
      <c r="J525" s="71"/>
      <c r="K525" s="72" t="s">
        <v>38</v>
      </c>
      <c r="L525" s="73">
        <f>L524-L523</f>
        <v>0</v>
      </c>
      <c r="M525" s="74" t="s">
        <v>122</v>
      </c>
      <c r="N525" s="75" t="b">
        <v>0</v>
      </c>
    </row>
    <row r="526" ht="13.5" customHeight="1">
      <c r="A526" s="94" t="s">
        <v>127</v>
      </c>
      <c r="B526" s="95" t="s">
        <v>20</v>
      </c>
      <c r="C526" s="96"/>
      <c r="D526" s="10"/>
      <c r="E526" s="97">
        <f t="shared" ref="E526:J526" si="131">E6</f>
        <v>17</v>
      </c>
      <c r="F526" s="97">
        <f t="shared" si="131"/>
        <v>27</v>
      </c>
      <c r="G526" s="97">
        <f t="shared" si="131"/>
        <v>27</v>
      </c>
      <c r="H526" s="97">
        <f t="shared" si="131"/>
        <v>27</v>
      </c>
      <c r="I526" s="97">
        <f t="shared" si="131"/>
        <v>32</v>
      </c>
      <c r="J526" s="97">
        <f t="shared" si="131"/>
        <v>37</v>
      </c>
      <c r="K526" s="95" t="s">
        <v>21</v>
      </c>
      <c r="L526" s="10"/>
      <c r="M526" s="98" t="s">
        <v>118</v>
      </c>
      <c r="N526" s="10"/>
    </row>
    <row r="527" ht="13.5" customHeight="1">
      <c r="A527" s="99" t="s">
        <v>23</v>
      </c>
      <c r="B527" s="100" t="s">
        <v>127</v>
      </c>
      <c r="C527" s="53" t="s">
        <v>30</v>
      </c>
      <c r="D527" s="54"/>
      <c r="E527" s="60"/>
      <c r="F527" s="60"/>
      <c r="G527" s="60"/>
      <c r="H527" s="60"/>
      <c r="I527" s="60"/>
      <c r="J527" s="60"/>
      <c r="K527" s="61" t="s">
        <v>30</v>
      </c>
      <c r="L527" s="62">
        <f>(E527*E526)+(F527*F526)+(G527*G526)+(H527*H526)+(I527*I526)+(J527*J526)</f>
        <v>0</v>
      </c>
      <c r="M527" s="57" t="s">
        <v>119</v>
      </c>
      <c r="N527" s="63" t="b">
        <v>0</v>
      </c>
    </row>
    <row r="528" ht="13.5" customHeight="1">
      <c r="A528" s="103"/>
      <c r="B528" s="59"/>
      <c r="C528" s="53" t="s">
        <v>34</v>
      </c>
      <c r="D528" s="54"/>
      <c r="E528" s="66"/>
      <c r="F528" s="66"/>
      <c r="G528" s="66"/>
      <c r="H528" s="66"/>
      <c r="I528" s="66"/>
      <c r="J528" s="66"/>
      <c r="K528" s="67" t="s">
        <v>35</v>
      </c>
      <c r="L528" s="62">
        <f>(E528*E526)+(F528*F526)+(G528*G526)+(H528*H526)+(I528*I526)+(J528*J526)</f>
        <v>0</v>
      </c>
      <c r="M528" s="57" t="s">
        <v>121</v>
      </c>
      <c r="N528" s="63" t="b">
        <v>0</v>
      </c>
    </row>
    <row r="529" ht="13.5" customHeight="1">
      <c r="A529" s="80"/>
      <c r="B529" s="102" t="s">
        <v>33</v>
      </c>
      <c r="C529" s="70" t="s">
        <v>37</v>
      </c>
      <c r="D529" s="33"/>
      <c r="E529" s="71"/>
      <c r="F529" s="71"/>
      <c r="G529" s="71"/>
      <c r="H529" s="71"/>
      <c r="I529" s="71"/>
      <c r="J529" s="71"/>
      <c r="K529" s="72" t="s">
        <v>38</v>
      </c>
      <c r="L529" s="73">
        <f>L528-L527</f>
        <v>0</v>
      </c>
      <c r="M529" s="74" t="s">
        <v>122</v>
      </c>
      <c r="N529" s="75" t="b">
        <v>0</v>
      </c>
    </row>
    <row r="530" ht="13.5" customHeight="1">
      <c r="A530" s="99" t="s">
        <v>23</v>
      </c>
      <c r="B530" s="100" t="s">
        <v>127</v>
      </c>
      <c r="C530" s="53" t="s">
        <v>30</v>
      </c>
      <c r="D530" s="54"/>
      <c r="E530" s="60"/>
      <c r="F530" s="60"/>
      <c r="G530" s="60"/>
      <c r="H530" s="60"/>
      <c r="I530" s="60"/>
      <c r="J530" s="60"/>
      <c r="K530" s="61" t="s">
        <v>30</v>
      </c>
      <c r="L530" s="62">
        <f>(E530*E526)+(F530*F526)+(G530*G526)+(H530*H526)+(I530*I526)+(J530*J526)</f>
        <v>0</v>
      </c>
      <c r="M530" s="57" t="s">
        <v>119</v>
      </c>
      <c r="N530" s="63" t="b">
        <v>0</v>
      </c>
    </row>
    <row r="531" ht="19.5" customHeight="1">
      <c r="A531" s="103"/>
      <c r="B531" s="59"/>
      <c r="C531" s="53" t="s">
        <v>34</v>
      </c>
      <c r="D531" s="54"/>
      <c r="E531" s="66"/>
      <c r="F531" s="66"/>
      <c r="G531" s="66"/>
      <c r="H531" s="66"/>
      <c r="I531" s="66"/>
      <c r="J531" s="66"/>
      <c r="K531" s="67" t="s">
        <v>35</v>
      </c>
      <c r="L531" s="62">
        <f>(E531*E526)+(F531*F526)+(G531*G526)+(H531*H526)+(I531*I526)+(J531*J526)</f>
        <v>0</v>
      </c>
      <c r="M531" s="57" t="s">
        <v>121</v>
      </c>
      <c r="N531" s="63" t="b">
        <v>0</v>
      </c>
    </row>
    <row r="532" ht="13.5" customHeight="1">
      <c r="A532" s="80"/>
      <c r="B532" s="102" t="s">
        <v>42</v>
      </c>
      <c r="C532" s="70" t="s">
        <v>37</v>
      </c>
      <c r="D532" s="33"/>
      <c r="E532" s="71"/>
      <c r="F532" s="71"/>
      <c r="G532" s="71"/>
      <c r="H532" s="71"/>
      <c r="I532" s="71"/>
      <c r="J532" s="71"/>
      <c r="K532" s="72" t="s">
        <v>38</v>
      </c>
      <c r="L532" s="73">
        <f>L531-L530</f>
        <v>0</v>
      </c>
      <c r="M532" s="74" t="s">
        <v>122</v>
      </c>
      <c r="N532" s="75" t="b">
        <v>0</v>
      </c>
    </row>
    <row r="533" ht="13.5" customHeight="1">
      <c r="A533" s="99" t="s">
        <v>23</v>
      </c>
      <c r="B533" s="100" t="s">
        <v>127</v>
      </c>
      <c r="C533" s="53" t="s">
        <v>30</v>
      </c>
      <c r="D533" s="54"/>
      <c r="E533" s="60"/>
      <c r="F533" s="60"/>
      <c r="G533" s="60"/>
      <c r="H533" s="60"/>
      <c r="I533" s="60"/>
      <c r="J533" s="60"/>
      <c r="K533" s="61" t="s">
        <v>30</v>
      </c>
      <c r="L533" s="62">
        <f>(E533*E526)+(F533*F526)+(G533*G526)+(H533*H526)+(I533*I526)+(J533*J526)</f>
        <v>0</v>
      </c>
      <c r="M533" s="57" t="s">
        <v>119</v>
      </c>
      <c r="N533" s="63" t="b">
        <v>0</v>
      </c>
    </row>
    <row r="534" ht="13.5" customHeight="1">
      <c r="A534" s="103"/>
      <c r="B534" s="59"/>
      <c r="C534" s="53" t="s">
        <v>34</v>
      </c>
      <c r="D534" s="54"/>
      <c r="E534" s="66"/>
      <c r="F534" s="66"/>
      <c r="G534" s="66"/>
      <c r="H534" s="66"/>
      <c r="I534" s="66"/>
      <c r="J534" s="66"/>
      <c r="K534" s="67" t="s">
        <v>35</v>
      </c>
      <c r="L534" s="62">
        <f>(E534*E526)+(F534*F526)+(G534*G526)+(H534*H526)+(I534*I526)+(J534*J526)</f>
        <v>0</v>
      </c>
      <c r="M534" s="57" t="s">
        <v>121</v>
      </c>
      <c r="N534" s="63" t="b">
        <v>0</v>
      </c>
    </row>
    <row r="535" ht="15.0" customHeight="1">
      <c r="A535" s="80"/>
      <c r="B535" s="102" t="s">
        <v>47</v>
      </c>
      <c r="C535" s="70" t="s">
        <v>37</v>
      </c>
      <c r="D535" s="33"/>
      <c r="E535" s="71"/>
      <c r="F535" s="71"/>
      <c r="G535" s="71"/>
      <c r="H535" s="71"/>
      <c r="I535" s="71"/>
      <c r="J535" s="71"/>
      <c r="K535" s="72" t="s">
        <v>38</v>
      </c>
      <c r="L535" s="73">
        <f>L534-L533</f>
        <v>0</v>
      </c>
      <c r="M535" s="74" t="s">
        <v>122</v>
      </c>
      <c r="N535" s="75" t="b">
        <v>0</v>
      </c>
    </row>
    <row r="536" ht="13.5" customHeight="1">
      <c r="A536" s="99" t="s">
        <v>23</v>
      </c>
      <c r="B536" s="100" t="s">
        <v>127</v>
      </c>
      <c r="C536" s="53" t="s">
        <v>30</v>
      </c>
      <c r="D536" s="54"/>
      <c r="E536" s="60"/>
      <c r="F536" s="60"/>
      <c r="G536" s="60"/>
      <c r="H536" s="60"/>
      <c r="I536" s="60"/>
      <c r="J536" s="60"/>
      <c r="K536" s="61" t="s">
        <v>30</v>
      </c>
      <c r="L536" s="62">
        <f>(E536*E526)+(F536*F526)+(G536*G526)+(H536*H526)+(I536*I526)+(J536*J526)</f>
        <v>0</v>
      </c>
      <c r="M536" s="57" t="s">
        <v>119</v>
      </c>
      <c r="N536" s="63" t="b">
        <v>0</v>
      </c>
    </row>
    <row r="537" ht="13.5" customHeight="1">
      <c r="A537" s="103"/>
      <c r="B537" s="59"/>
      <c r="C537" s="53" t="s">
        <v>34</v>
      </c>
      <c r="D537" s="54"/>
      <c r="E537" s="66"/>
      <c r="F537" s="66"/>
      <c r="G537" s="66"/>
      <c r="H537" s="66"/>
      <c r="I537" s="66"/>
      <c r="J537" s="66"/>
      <c r="K537" s="67" t="s">
        <v>35</v>
      </c>
      <c r="L537" s="62">
        <f>(E537*E526)+(F537*F526)+(G537*G526)+(H537*H526)+(I537*I526)+(J537*J526)</f>
        <v>0</v>
      </c>
      <c r="M537" s="57" t="s">
        <v>121</v>
      </c>
      <c r="N537" s="63" t="b">
        <v>0</v>
      </c>
    </row>
    <row r="538" ht="13.5" customHeight="1">
      <c r="A538" s="80"/>
      <c r="B538" s="102" t="s">
        <v>49</v>
      </c>
      <c r="C538" s="70" t="s">
        <v>37</v>
      </c>
      <c r="D538" s="33"/>
      <c r="E538" s="71"/>
      <c r="F538" s="71"/>
      <c r="G538" s="71"/>
      <c r="H538" s="71"/>
      <c r="I538" s="71"/>
      <c r="J538" s="71"/>
      <c r="K538" s="72" t="s">
        <v>38</v>
      </c>
      <c r="L538" s="73">
        <f>L537-L536</f>
        <v>0</v>
      </c>
      <c r="M538" s="74" t="s">
        <v>122</v>
      </c>
      <c r="N538" s="75" t="b">
        <v>0</v>
      </c>
    </row>
    <row r="539" ht="18.75" customHeight="1">
      <c r="A539" s="94" t="s">
        <v>128</v>
      </c>
      <c r="B539" s="95" t="s">
        <v>20</v>
      </c>
      <c r="C539" s="96"/>
      <c r="D539" s="10"/>
      <c r="E539" s="97">
        <f t="shared" ref="E539:J539" si="132">E6</f>
        <v>17</v>
      </c>
      <c r="F539" s="97">
        <f t="shared" si="132"/>
        <v>27</v>
      </c>
      <c r="G539" s="97">
        <f t="shared" si="132"/>
        <v>27</v>
      </c>
      <c r="H539" s="97">
        <f t="shared" si="132"/>
        <v>27</v>
      </c>
      <c r="I539" s="97">
        <f t="shared" si="132"/>
        <v>32</v>
      </c>
      <c r="J539" s="97">
        <f t="shared" si="132"/>
        <v>37</v>
      </c>
      <c r="K539" s="95" t="s">
        <v>21</v>
      </c>
      <c r="L539" s="10"/>
      <c r="M539" s="98" t="s">
        <v>118</v>
      </c>
      <c r="N539" s="10"/>
    </row>
    <row r="540" ht="13.5" customHeight="1">
      <c r="A540" s="99" t="s">
        <v>23</v>
      </c>
      <c r="B540" s="100" t="s">
        <v>128</v>
      </c>
      <c r="C540" s="53" t="s">
        <v>30</v>
      </c>
      <c r="D540" s="54"/>
      <c r="E540" s="60"/>
      <c r="F540" s="60"/>
      <c r="G540" s="60"/>
      <c r="H540" s="60"/>
      <c r="I540" s="60"/>
      <c r="J540" s="60"/>
      <c r="K540" s="61" t="s">
        <v>30</v>
      </c>
      <c r="L540" s="62">
        <f>(E540*E539)+(F540*F539)+(G540*G539)+(H540*H539)+(I540*I539)+(J540*J539)</f>
        <v>0</v>
      </c>
      <c r="M540" s="57" t="s">
        <v>119</v>
      </c>
      <c r="N540" s="63" t="b">
        <v>0</v>
      </c>
    </row>
    <row r="541" ht="13.5" customHeight="1">
      <c r="A541" s="103"/>
      <c r="B541" s="59"/>
      <c r="C541" s="53" t="s">
        <v>34</v>
      </c>
      <c r="D541" s="54"/>
      <c r="E541" s="66"/>
      <c r="F541" s="66"/>
      <c r="G541" s="66"/>
      <c r="H541" s="66"/>
      <c r="I541" s="66"/>
      <c r="J541" s="66"/>
      <c r="K541" s="67" t="s">
        <v>35</v>
      </c>
      <c r="L541" s="62">
        <f>(E541*E539)+(F541*F539)+(G541*G539)+(H541*H539)+(I541*I539)+(J541*J539)</f>
        <v>0</v>
      </c>
      <c r="M541" s="57" t="s">
        <v>121</v>
      </c>
      <c r="N541" s="63" t="b">
        <v>0</v>
      </c>
    </row>
    <row r="542" ht="20.25" customHeight="1">
      <c r="A542" s="80"/>
      <c r="B542" s="102" t="s">
        <v>33</v>
      </c>
      <c r="C542" s="70" t="s">
        <v>37</v>
      </c>
      <c r="D542" s="33"/>
      <c r="E542" s="71"/>
      <c r="F542" s="71"/>
      <c r="G542" s="71"/>
      <c r="H542" s="71"/>
      <c r="I542" s="71"/>
      <c r="J542" s="71"/>
      <c r="K542" s="72" t="s">
        <v>38</v>
      </c>
      <c r="L542" s="73">
        <f>L541-L540</f>
        <v>0</v>
      </c>
      <c r="M542" s="74" t="s">
        <v>122</v>
      </c>
      <c r="N542" s="75" t="b">
        <v>0</v>
      </c>
    </row>
    <row r="543" ht="13.5" customHeight="1">
      <c r="A543" s="99" t="s">
        <v>23</v>
      </c>
      <c r="B543" s="100" t="s">
        <v>128</v>
      </c>
      <c r="C543" s="53" t="s">
        <v>30</v>
      </c>
      <c r="D543" s="54"/>
      <c r="E543" s="60"/>
      <c r="F543" s="60"/>
      <c r="G543" s="60"/>
      <c r="H543" s="60"/>
      <c r="I543" s="60"/>
      <c r="J543" s="60"/>
      <c r="K543" s="61" t="s">
        <v>30</v>
      </c>
      <c r="L543" s="62">
        <f>(E543*E539)+(F543*F539)+(G543*G539)+(H543*H539)+(I543*I539)+(J543*J539)</f>
        <v>0</v>
      </c>
      <c r="M543" s="57" t="s">
        <v>119</v>
      </c>
      <c r="N543" s="63" t="b">
        <v>0</v>
      </c>
    </row>
    <row r="544" ht="13.5" customHeight="1">
      <c r="A544" s="103"/>
      <c r="B544" s="59"/>
      <c r="C544" s="53" t="s">
        <v>34</v>
      </c>
      <c r="D544" s="54"/>
      <c r="E544" s="66"/>
      <c r="F544" s="66"/>
      <c r="G544" s="66"/>
      <c r="H544" s="66"/>
      <c r="I544" s="66"/>
      <c r="J544" s="66"/>
      <c r="K544" s="67" t="s">
        <v>35</v>
      </c>
      <c r="L544" s="62">
        <f>(E544*E539)+(F544*F539)+(G544*G539)+(H544*H539)+(I544*I539)+(J544*J539)</f>
        <v>0</v>
      </c>
      <c r="M544" s="57" t="s">
        <v>121</v>
      </c>
      <c r="N544" s="63" t="b">
        <v>0</v>
      </c>
    </row>
    <row r="545" ht="13.5" customHeight="1">
      <c r="A545" s="80"/>
      <c r="B545" s="102" t="s">
        <v>42</v>
      </c>
      <c r="C545" s="70" t="s">
        <v>37</v>
      </c>
      <c r="D545" s="33"/>
      <c r="E545" s="71"/>
      <c r="F545" s="71"/>
      <c r="G545" s="71"/>
      <c r="H545" s="71"/>
      <c r="I545" s="71"/>
      <c r="J545" s="71"/>
      <c r="K545" s="72" t="s">
        <v>38</v>
      </c>
      <c r="L545" s="73">
        <f>L544-L543</f>
        <v>0</v>
      </c>
      <c r="M545" s="74" t="s">
        <v>122</v>
      </c>
      <c r="N545" s="75" t="b">
        <v>0</v>
      </c>
    </row>
    <row r="546" ht="13.5" customHeight="1">
      <c r="A546" s="99" t="s">
        <v>23</v>
      </c>
      <c r="B546" s="100" t="s">
        <v>128</v>
      </c>
      <c r="C546" s="53" t="s">
        <v>30</v>
      </c>
      <c r="D546" s="54"/>
      <c r="E546" s="60"/>
      <c r="F546" s="60"/>
      <c r="G546" s="60"/>
      <c r="H546" s="60"/>
      <c r="I546" s="60"/>
      <c r="J546" s="60"/>
      <c r="K546" s="61" t="s">
        <v>30</v>
      </c>
      <c r="L546" s="62">
        <f>(E546*E539)+(F546*F539)+(G546*G539)+(H546*H539)+(I546*I539)+(J546*J539)</f>
        <v>0</v>
      </c>
      <c r="M546" s="57" t="s">
        <v>119</v>
      </c>
      <c r="N546" s="63" t="b">
        <v>0</v>
      </c>
    </row>
    <row r="547" ht="15.0" customHeight="1">
      <c r="A547" s="103"/>
      <c r="B547" s="59"/>
      <c r="C547" s="53" t="s">
        <v>34</v>
      </c>
      <c r="D547" s="54"/>
      <c r="E547" s="66"/>
      <c r="F547" s="66"/>
      <c r="G547" s="66"/>
      <c r="H547" s="66"/>
      <c r="I547" s="66"/>
      <c r="J547" s="66"/>
      <c r="K547" s="67" t="s">
        <v>35</v>
      </c>
      <c r="L547" s="62">
        <f>(E547*E539)+(F547*F539)+(G547*G539)+(H547*H539)+(I547*I539)+(J547*J539)</f>
        <v>0</v>
      </c>
      <c r="M547" s="57" t="s">
        <v>121</v>
      </c>
      <c r="N547" s="63" t="b">
        <v>0</v>
      </c>
    </row>
    <row r="548" ht="13.5" customHeight="1">
      <c r="A548" s="80"/>
      <c r="B548" s="102" t="s">
        <v>47</v>
      </c>
      <c r="C548" s="70" t="s">
        <v>37</v>
      </c>
      <c r="D548" s="33"/>
      <c r="E548" s="71"/>
      <c r="F548" s="71"/>
      <c r="G548" s="71"/>
      <c r="H548" s="71"/>
      <c r="I548" s="71"/>
      <c r="J548" s="71"/>
      <c r="K548" s="72" t="s">
        <v>38</v>
      </c>
      <c r="L548" s="73">
        <f>L547-L546</f>
        <v>0</v>
      </c>
      <c r="M548" s="74" t="s">
        <v>122</v>
      </c>
      <c r="N548" s="75" t="b">
        <v>0</v>
      </c>
    </row>
    <row r="549" ht="13.5" customHeight="1">
      <c r="A549" s="99" t="s">
        <v>23</v>
      </c>
      <c r="B549" s="100" t="s">
        <v>128</v>
      </c>
      <c r="C549" s="53" t="s">
        <v>30</v>
      </c>
      <c r="D549" s="54"/>
      <c r="E549" s="60"/>
      <c r="F549" s="60"/>
      <c r="G549" s="60"/>
      <c r="H549" s="60"/>
      <c r="I549" s="60"/>
      <c r="J549" s="60"/>
      <c r="K549" s="61" t="s">
        <v>30</v>
      </c>
      <c r="L549" s="62">
        <f>(E549*E539)+(F549*F539)+(G549*G539)+(H549*H539)+(I549*I539)+(J549*J539)</f>
        <v>0</v>
      </c>
      <c r="M549" s="57" t="s">
        <v>119</v>
      </c>
      <c r="N549" s="63" t="b">
        <v>0</v>
      </c>
    </row>
    <row r="550" ht="13.5" customHeight="1">
      <c r="A550" s="103"/>
      <c r="B550" s="59"/>
      <c r="C550" s="53" t="s">
        <v>34</v>
      </c>
      <c r="D550" s="54"/>
      <c r="E550" s="66"/>
      <c r="F550" s="66"/>
      <c r="G550" s="66"/>
      <c r="H550" s="66"/>
      <c r="I550" s="66"/>
      <c r="J550" s="66"/>
      <c r="K550" s="67" t="s">
        <v>35</v>
      </c>
      <c r="L550" s="62">
        <f>(E550*E539)+(F550*F539)+(G550*G539)+(H550*H539)+(I550*I539)+(J550*J539)</f>
        <v>0</v>
      </c>
      <c r="M550" s="57" t="s">
        <v>121</v>
      </c>
      <c r="N550" s="63" t="b">
        <v>0</v>
      </c>
    </row>
    <row r="551" ht="18.0" customHeight="1">
      <c r="A551" s="80"/>
      <c r="B551" s="102" t="s">
        <v>49</v>
      </c>
      <c r="C551" s="70" t="s">
        <v>37</v>
      </c>
      <c r="D551" s="33"/>
      <c r="E551" s="71"/>
      <c r="F551" s="71"/>
      <c r="G551" s="71"/>
      <c r="H551" s="71"/>
      <c r="I551" s="71"/>
      <c r="J551" s="71"/>
      <c r="K551" s="72" t="s">
        <v>38</v>
      </c>
      <c r="L551" s="73">
        <f>L550-L549</f>
        <v>0</v>
      </c>
      <c r="M551" s="74" t="s">
        <v>122</v>
      </c>
      <c r="N551" s="75" t="b">
        <v>0</v>
      </c>
    </row>
    <row r="552" ht="13.5" customHeight="1">
      <c r="A552" s="94" t="s">
        <v>129</v>
      </c>
      <c r="B552" s="95" t="s">
        <v>20</v>
      </c>
      <c r="C552" s="96"/>
      <c r="D552" s="10"/>
      <c r="E552" s="97">
        <f t="shared" ref="E552:J552" si="133">E6</f>
        <v>17</v>
      </c>
      <c r="F552" s="97">
        <f t="shared" si="133"/>
        <v>27</v>
      </c>
      <c r="G552" s="97">
        <f t="shared" si="133"/>
        <v>27</v>
      </c>
      <c r="H552" s="97">
        <f t="shared" si="133"/>
        <v>27</v>
      </c>
      <c r="I552" s="97">
        <f t="shared" si="133"/>
        <v>32</v>
      </c>
      <c r="J552" s="97">
        <f t="shared" si="133"/>
        <v>37</v>
      </c>
      <c r="K552" s="95" t="s">
        <v>21</v>
      </c>
      <c r="L552" s="10"/>
      <c r="M552" s="98" t="s">
        <v>118</v>
      </c>
      <c r="N552" s="10"/>
    </row>
    <row r="553" ht="13.5" customHeight="1">
      <c r="A553" s="99" t="s">
        <v>23</v>
      </c>
      <c r="B553" s="100" t="s">
        <v>129</v>
      </c>
      <c r="C553" s="53" t="s">
        <v>30</v>
      </c>
      <c r="D553" s="54"/>
      <c r="E553" s="60"/>
      <c r="F553" s="60"/>
      <c r="G553" s="60"/>
      <c r="H553" s="60"/>
      <c r="I553" s="60"/>
      <c r="J553" s="60"/>
      <c r="K553" s="61" t="s">
        <v>30</v>
      </c>
      <c r="L553" s="62">
        <f>(E553*E552)+(F553*F552)+(G553*G552)+(H553*H552)+(I553*I552)+(J553*J552)</f>
        <v>0</v>
      </c>
      <c r="M553" s="57" t="s">
        <v>119</v>
      </c>
      <c r="N553" s="63" t="b">
        <v>0</v>
      </c>
    </row>
    <row r="554" ht="18.0" customHeight="1">
      <c r="A554" s="103"/>
      <c r="B554" s="59"/>
      <c r="C554" s="53" t="s">
        <v>34</v>
      </c>
      <c r="D554" s="54"/>
      <c r="E554" s="66"/>
      <c r="F554" s="66"/>
      <c r="G554" s="66"/>
      <c r="H554" s="66"/>
      <c r="I554" s="66"/>
      <c r="J554" s="66"/>
      <c r="K554" s="67" t="s">
        <v>35</v>
      </c>
      <c r="L554" s="62">
        <f>(E554*E552)+(F554*F552)+(G554*G552)+(H554*H552)+(I554*I552)+(J554*J552)</f>
        <v>0</v>
      </c>
      <c r="M554" s="57" t="s">
        <v>121</v>
      </c>
      <c r="N554" s="63" t="b">
        <v>0</v>
      </c>
    </row>
    <row r="555" ht="13.5" customHeight="1">
      <c r="A555" s="80"/>
      <c r="B555" s="102" t="s">
        <v>33</v>
      </c>
      <c r="C555" s="70" t="s">
        <v>37</v>
      </c>
      <c r="D555" s="33"/>
      <c r="E555" s="71"/>
      <c r="F555" s="71"/>
      <c r="G555" s="71"/>
      <c r="H555" s="71"/>
      <c r="I555" s="71"/>
      <c r="J555" s="71"/>
      <c r="K555" s="72" t="s">
        <v>38</v>
      </c>
      <c r="L555" s="73">
        <f>L554-L553</f>
        <v>0</v>
      </c>
      <c r="M555" s="74" t="s">
        <v>122</v>
      </c>
      <c r="N555" s="75" t="b">
        <v>0</v>
      </c>
    </row>
    <row r="556" ht="13.5" customHeight="1">
      <c r="A556" s="99" t="s">
        <v>23</v>
      </c>
      <c r="B556" s="100" t="s">
        <v>129</v>
      </c>
      <c r="C556" s="53" t="s">
        <v>30</v>
      </c>
      <c r="D556" s="54"/>
      <c r="E556" s="60"/>
      <c r="F556" s="60"/>
      <c r="G556" s="60"/>
      <c r="H556" s="60"/>
      <c r="I556" s="60"/>
      <c r="J556" s="60"/>
      <c r="K556" s="61" t="s">
        <v>30</v>
      </c>
      <c r="L556" s="62">
        <f>(E556*E552)+(F556*F552)+(G556*G552)+(H556*H552)+(I556*I552)+(J556*J552)</f>
        <v>0</v>
      </c>
      <c r="M556" s="57" t="s">
        <v>119</v>
      </c>
      <c r="N556" s="63" t="b">
        <v>0</v>
      </c>
    </row>
    <row r="557" ht="13.5" customHeight="1">
      <c r="A557" s="103"/>
      <c r="B557" s="59"/>
      <c r="C557" s="53" t="s">
        <v>34</v>
      </c>
      <c r="D557" s="54"/>
      <c r="E557" s="66"/>
      <c r="F557" s="66"/>
      <c r="G557" s="66"/>
      <c r="H557" s="66"/>
      <c r="I557" s="66"/>
      <c r="J557" s="66"/>
      <c r="K557" s="67" t="s">
        <v>35</v>
      </c>
      <c r="L557" s="62">
        <f>(E557*E552)+(F557*F552)+(G557*G552)+(H557*H552)+(I557*I552)+(J557*J552)</f>
        <v>0</v>
      </c>
      <c r="M557" s="57" t="s">
        <v>121</v>
      </c>
      <c r="N557" s="63" t="b">
        <v>0</v>
      </c>
    </row>
    <row r="558" ht="18.75" customHeight="1">
      <c r="A558" s="80"/>
      <c r="B558" s="102" t="s">
        <v>42</v>
      </c>
      <c r="C558" s="70" t="s">
        <v>37</v>
      </c>
      <c r="D558" s="33"/>
      <c r="E558" s="71"/>
      <c r="F558" s="71"/>
      <c r="G558" s="71"/>
      <c r="H558" s="71"/>
      <c r="I558" s="71"/>
      <c r="J558" s="71"/>
      <c r="K558" s="72" t="s">
        <v>38</v>
      </c>
      <c r="L558" s="73">
        <f>L557-L556</f>
        <v>0</v>
      </c>
      <c r="M558" s="74" t="s">
        <v>122</v>
      </c>
      <c r="N558" s="75" t="b">
        <v>0</v>
      </c>
    </row>
    <row r="559" ht="13.5" customHeight="1">
      <c r="A559" s="99" t="s">
        <v>23</v>
      </c>
      <c r="B559" s="100" t="s">
        <v>129</v>
      </c>
      <c r="C559" s="53" t="s">
        <v>30</v>
      </c>
      <c r="D559" s="54"/>
      <c r="E559" s="60"/>
      <c r="F559" s="60"/>
      <c r="G559" s="60"/>
      <c r="H559" s="60"/>
      <c r="I559" s="60"/>
      <c r="J559" s="60"/>
      <c r="K559" s="61" t="s">
        <v>30</v>
      </c>
      <c r="L559" s="62">
        <f>(E559*E552)+(F559*F552)+(G559*G552)+(H559*H552)+(I559*I552)+(J559*J552)</f>
        <v>0</v>
      </c>
      <c r="M559" s="57" t="s">
        <v>119</v>
      </c>
      <c r="N559" s="63" t="b">
        <v>0</v>
      </c>
    </row>
    <row r="560" ht="13.5" customHeight="1">
      <c r="A560" s="103"/>
      <c r="B560" s="59"/>
      <c r="C560" s="53" t="s">
        <v>34</v>
      </c>
      <c r="D560" s="54"/>
      <c r="E560" s="66"/>
      <c r="F560" s="66"/>
      <c r="G560" s="66"/>
      <c r="H560" s="66"/>
      <c r="I560" s="66"/>
      <c r="J560" s="66"/>
      <c r="K560" s="67" t="s">
        <v>35</v>
      </c>
      <c r="L560" s="62">
        <f>(E560*E552)+(F560*F552)+(G560*G552)+(H560*H552)+(I560*I552)+(J560*J552)</f>
        <v>0</v>
      </c>
      <c r="M560" s="57" t="s">
        <v>121</v>
      </c>
      <c r="N560" s="63" t="b">
        <v>0</v>
      </c>
    </row>
    <row r="561" ht="13.5" customHeight="1">
      <c r="A561" s="80"/>
      <c r="B561" s="102" t="s">
        <v>47</v>
      </c>
      <c r="C561" s="70" t="s">
        <v>37</v>
      </c>
      <c r="D561" s="33"/>
      <c r="E561" s="71"/>
      <c r="F561" s="71"/>
      <c r="G561" s="71"/>
      <c r="H561" s="71"/>
      <c r="I561" s="71"/>
      <c r="J561" s="71"/>
      <c r="K561" s="72" t="s">
        <v>38</v>
      </c>
      <c r="L561" s="73">
        <f>L560-L559</f>
        <v>0</v>
      </c>
      <c r="M561" s="74" t="s">
        <v>122</v>
      </c>
      <c r="N561" s="75" t="b">
        <v>0</v>
      </c>
    </row>
    <row r="562" ht="13.5" customHeight="1">
      <c r="A562" s="99" t="s">
        <v>23</v>
      </c>
      <c r="B562" s="100" t="s">
        <v>129</v>
      </c>
      <c r="C562" s="53" t="s">
        <v>30</v>
      </c>
      <c r="D562" s="54"/>
      <c r="E562" s="60"/>
      <c r="F562" s="60"/>
      <c r="G562" s="60"/>
      <c r="H562" s="60"/>
      <c r="I562" s="60"/>
      <c r="J562" s="60"/>
      <c r="K562" s="61" t="s">
        <v>30</v>
      </c>
      <c r="L562" s="62">
        <f>(E562*E552)+(F562*F552)+(G562*G552)+(H562*H552)+(I562*I552)+(J562*J552)</f>
        <v>0</v>
      </c>
      <c r="M562" s="57" t="s">
        <v>119</v>
      </c>
      <c r="N562" s="63" t="b">
        <v>0</v>
      </c>
    </row>
    <row r="563" ht="15.0" customHeight="1">
      <c r="A563" s="103"/>
      <c r="B563" s="59"/>
      <c r="C563" s="53" t="s">
        <v>34</v>
      </c>
      <c r="D563" s="54"/>
      <c r="E563" s="66"/>
      <c r="F563" s="66"/>
      <c r="G563" s="66"/>
      <c r="H563" s="66"/>
      <c r="I563" s="66"/>
      <c r="J563" s="66"/>
      <c r="K563" s="67" t="s">
        <v>35</v>
      </c>
      <c r="L563" s="62">
        <f>(E563*E552)+(F563*F552)+(G563*G552)+(H563*H552)+(I563*I552)+(J563*J552)</f>
        <v>0</v>
      </c>
      <c r="M563" s="57" t="s">
        <v>121</v>
      </c>
      <c r="N563" s="63" t="b">
        <v>0</v>
      </c>
    </row>
    <row r="564" ht="13.5" customHeight="1">
      <c r="A564" s="80"/>
      <c r="B564" s="102" t="s">
        <v>49</v>
      </c>
      <c r="C564" s="70" t="s">
        <v>37</v>
      </c>
      <c r="D564" s="33"/>
      <c r="E564" s="71"/>
      <c r="F564" s="71"/>
      <c r="G564" s="71"/>
      <c r="H564" s="71"/>
      <c r="I564" s="71"/>
      <c r="J564" s="71"/>
      <c r="K564" s="72" t="s">
        <v>38</v>
      </c>
      <c r="L564" s="73">
        <f>L563-L562</f>
        <v>0</v>
      </c>
      <c r="M564" s="74" t="s">
        <v>122</v>
      </c>
      <c r="N564" s="75" t="b">
        <v>0</v>
      </c>
    </row>
    <row r="565" ht="13.5" customHeight="1">
      <c r="A565" s="94" t="s">
        <v>130</v>
      </c>
      <c r="B565" s="95" t="s">
        <v>20</v>
      </c>
      <c r="C565" s="96"/>
      <c r="D565" s="10"/>
      <c r="E565" s="97">
        <f t="shared" ref="E565:J565" si="134">E6</f>
        <v>17</v>
      </c>
      <c r="F565" s="97">
        <f t="shared" si="134"/>
        <v>27</v>
      </c>
      <c r="G565" s="97">
        <f t="shared" si="134"/>
        <v>27</v>
      </c>
      <c r="H565" s="97">
        <f t="shared" si="134"/>
        <v>27</v>
      </c>
      <c r="I565" s="97">
        <f t="shared" si="134"/>
        <v>32</v>
      </c>
      <c r="J565" s="97">
        <f t="shared" si="134"/>
        <v>37</v>
      </c>
      <c r="K565" s="95" t="s">
        <v>21</v>
      </c>
      <c r="L565" s="10"/>
      <c r="M565" s="98" t="s">
        <v>118</v>
      </c>
      <c r="N565" s="10"/>
    </row>
    <row r="566" ht="20.25" customHeight="1">
      <c r="A566" s="99" t="s">
        <v>23</v>
      </c>
      <c r="B566" s="100" t="s">
        <v>130</v>
      </c>
      <c r="C566" s="53" t="s">
        <v>30</v>
      </c>
      <c r="D566" s="54"/>
      <c r="E566" s="60"/>
      <c r="F566" s="60"/>
      <c r="G566" s="60"/>
      <c r="H566" s="60"/>
      <c r="I566" s="60"/>
      <c r="J566" s="60"/>
      <c r="K566" s="61" t="s">
        <v>30</v>
      </c>
      <c r="L566" s="62">
        <f>(E566*E565)+(F566*F565)+(G566*G565)+(H566*H565)+(I566*I565)+(J566*J565)</f>
        <v>0</v>
      </c>
      <c r="M566" s="57" t="s">
        <v>119</v>
      </c>
      <c r="N566" s="63" t="b">
        <v>0</v>
      </c>
    </row>
    <row r="567" ht="13.5" customHeight="1">
      <c r="A567" s="103"/>
      <c r="B567" s="59"/>
      <c r="C567" s="53" t="s">
        <v>34</v>
      </c>
      <c r="D567" s="54"/>
      <c r="E567" s="66"/>
      <c r="F567" s="66"/>
      <c r="G567" s="66"/>
      <c r="H567" s="66"/>
      <c r="I567" s="66"/>
      <c r="J567" s="66"/>
      <c r="K567" s="67" t="s">
        <v>35</v>
      </c>
      <c r="L567" s="62">
        <f>(E567*E565)+(F567*F565)+(G567*G565)+(H567*H565)+(I567*I565)+(J567*J565)</f>
        <v>0</v>
      </c>
      <c r="M567" s="57" t="s">
        <v>121</v>
      </c>
      <c r="N567" s="63" t="b">
        <v>0</v>
      </c>
    </row>
    <row r="568" ht="13.5" customHeight="1">
      <c r="A568" s="80"/>
      <c r="B568" s="102" t="s">
        <v>33</v>
      </c>
      <c r="C568" s="70" t="s">
        <v>37</v>
      </c>
      <c r="D568" s="33"/>
      <c r="E568" s="71"/>
      <c r="F568" s="71"/>
      <c r="G568" s="71"/>
      <c r="H568" s="71"/>
      <c r="I568" s="71"/>
      <c r="J568" s="71"/>
      <c r="K568" s="72" t="s">
        <v>38</v>
      </c>
      <c r="L568" s="73">
        <f>L567-L566</f>
        <v>0</v>
      </c>
      <c r="M568" s="74" t="s">
        <v>122</v>
      </c>
      <c r="N568" s="75" t="b">
        <v>0</v>
      </c>
    </row>
    <row r="569" ht="13.5" customHeight="1">
      <c r="A569" s="99" t="s">
        <v>23</v>
      </c>
      <c r="B569" s="100" t="s">
        <v>130</v>
      </c>
      <c r="C569" s="53" t="s">
        <v>30</v>
      </c>
      <c r="D569" s="54"/>
      <c r="E569" s="60"/>
      <c r="F569" s="60"/>
      <c r="G569" s="60"/>
      <c r="H569" s="60"/>
      <c r="I569" s="60"/>
      <c r="J569" s="60"/>
      <c r="K569" s="61" t="s">
        <v>30</v>
      </c>
      <c r="L569" s="62">
        <f>(E569*E565)+(F569*F565)+(G569*G565)+(H569*H565)+(I569*I565)+(J569*J565)</f>
        <v>0</v>
      </c>
      <c r="M569" s="57" t="s">
        <v>119</v>
      </c>
      <c r="N569" s="63" t="b">
        <v>0</v>
      </c>
    </row>
    <row r="570" ht="15.0" customHeight="1">
      <c r="A570" s="103"/>
      <c r="B570" s="59"/>
      <c r="C570" s="53" t="s">
        <v>34</v>
      </c>
      <c r="D570" s="54"/>
      <c r="E570" s="66"/>
      <c r="F570" s="66"/>
      <c r="G570" s="66"/>
      <c r="H570" s="66"/>
      <c r="I570" s="66"/>
      <c r="J570" s="66"/>
      <c r="K570" s="67" t="s">
        <v>35</v>
      </c>
      <c r="L570" s="62">
        <f>(E570*E565)+(F570*F565)+(G570*G565)+(H570*H565)+(I570*I565)+(J570*J565)</f>
        <v>0</v>
      </c>
      <c r="M570" s="57" t="s">
        <v>121</v>
      </c>
      <c r="N570" s="63" t="b">
        <v>0</v>
      </c>
    </row>
    <row r="571" ht="22.5" customHeight="1">
      <c r="A571" s="80"/>
      <c r="B571" s="102" t="s">
        <v>42</v>
      </c>
      <c r="C571" s="70" t="s">
        <v>37</v>
      </c>
      <c r="D571" s="33"/>
      <c r="E571" s="71"/>
      <c r="F571" s="71"/>
      <c r="G571" s="71"/>
      <c r="H571" s="71"/>
      <c r="I571" s="71"/>
      <c r="J571" s="71"/>
      <c r="K571" s="72" t="s">
        <v>38</v>
      </c>
      <c r="L571" s="73">
        <f>L570-L569</f>
        <v>0</v>
      </c>
      <c r="M571" s="74" t="s">
        <v>122</v>
      </c>
      <c r="N571" s="75" t="b">
        <v>0</v>
      </c>
    </row>
    <row r="572" ht="13.5" customHeight="1">
      <c r="A572" s="99" t="s">
        <v>23</v>
      </c>
      <c r="B572" s="100" t="s">
        <v>130</v>
      </c>
      <c r="C572" s="53" t="s">
        <v>30</v>
      </c>
      <c r="D572" s="54"/>
      <c r="E572" s="60"/>
      <c r="F572" s="60"/>
      <c r="G572" s="60"/>
      <c r="H572" s="60"/>
      <c r="I572" s="60"/>
      <c r="J572" s="60"/>
      <c r="K572" s="61" t="s">
        <v>30</v>
      </c>
      <c r="L572" s="62">
        <f>(E572*E565)+(F572*F565)+(G572*G565)+(H572*H565)+(I572*I565)+(J572*J565)</f>
        <v>0</v>
      </c>
      <c r="M572" s="57" t="s">
        <v>119</v>
      </c>
      <c r="N572" s="63" t="b">
        <v>0</v>
      </c>
    </row>
    <row r="573" ht="13.5" customHeight="1">
      <c r="A573" s="103"/>
      <c r="B573" s="59"/>
      <c r="C573" s="53" t="s">
        <v>34</v>
      </c>
      <c r="D573" s="54"/>
      <c r="E573" s="66"/>
      <c r="F573" s="66"/>
      <c r="G573" s="66"/>
      <c r="H573" s="66"/>
      <c r="I573" s="66"/>
      <c r="J573" s="66"/>
      <c r="K573" s="67" t="s">
        <v>35</v>
      </c>
      <c r="L573" s="62">
        <f>(E573*E565)+(F573*F565)+(G573*G565)+(H573*H565)+(I573*I565)+(J573*J565)</f>
        <v>0</v>
      </c>
      <c r="M573" s="57" t="s">
        <v>121</v>
      </c>
      <c r="N573" s="63" t="b">
        <v>0</v>
      </c>
    </row>
    <row r="574" ht="19.5" customHeight="1">
      <c r="A574" s="80"/>
      <c r="B574" s="102" t="s">
        <v>47</v>
      </c>
      <c r="C574" s="70" t="s">
        <v>37</v>
      </c>
      <c r="D574" s="33"/>
      <c r="E574" s="71"/>
      <c r="F574" s="71"/>
      <c r="G574" s="71"/>
      <c r="H574" s="71"/>
      <c r="I574" s="71"/>
      <c r="J574" s="71"/>
      <c r="K574" s="72" t="s">
        <v>38</v>
      </c>
      <c r="L574" s="73">
        <f>L573-L572</f>
        <v>0</v>
      </c>
      <c r="M574" s="74" t="s">
        <v>122</v>
      </c>
      <c r="N574" s="75" t="b">
        <v>0</v>
      </c>
    </row>
    <row r="575" ht="13.5" customHeight="1">
      <c r="A575" s="99" t="s">
        <v>23</v>
      </c>
      <c r="B575" s="100" t="s">
        <v>130</v>
      </c>
      <c r="C575" s="53" t="s">
        <v>30</v>
      </c>
      <c r="D575" s="54"/>
      <c r="E575" s="60"/>
      <c r="F575" s="60"/>
      <c r="G575" s="60"/>
      <c r="H575" s="60"/>
      <c r="I575" s="60"/>
      <c r="J575" s="60"/>
      <c r="K575" s="61" t="s">
        <v>30</v>
      </c>
      <c r="L575" s="62">
        <f>(E575*E565)+(F575*F565)+(G575*G565)+(H575*H565)+(I575*I565)+(J575*J565)</f>
        <v>0</v>
      </c>
      <c r="M575" s="57" t="s">
        <v>119</v>
      </c>
      <c r="N575" s="63" t="b">
        <v>0</v>
      </c>
    </row>
    <row r="576" ht="13.5" customHeight="1">
      <c r="A576" s="103"/>
      <c r="B576" s="59"/>
      <c r="C576" s="53" t="s">
        <v>34</v>
      </c>
      <c r="D576" s="54"/>
      <c r="E576" s="66"/>
      <c r="F576" s="66"/>
      <c r="G576" s="66"/>
      <c r="H576" s="66"/>
      <c r="I576" s="66"/>
      <c r="J576" s="66"/>
      <c r="K576" s="67" t="s">
        <v>35</v>
      </c>
      <c r="L576" s="62">
        <f>(E576*E565)+(F576*F565)+(G576*G565)+(H576*H565)+(I576*I565)+(J576*J565)</f>
        <v>0</v>
      </c>
      <c r="M576" s="57" t="s">
        <v>121</v>
      </c>
      <c r="N576" s="63" t="b">
        <v>0</v>
      </c>
    </row>
    <row r="577" ht="13.5" customHeight="1">
      <c r="A577" s="80"/>
      <c r="B577" s="102" t="s">
        <v>49</v>
      </c>
      <c r="C577" s="70" t="s">
        <v>37</v>
      </c>
      <c r="D577" s="33"/>
      <c r="E577" s="71"/>
      <c r="F577" s="71"/>
      <c r="G577" s="71"/>
      <c r="H577" s="71"/>
      <c r="I577" s="71"/>
      <c r="J577" s="71"/>
      <c r="K577" s="72" t="s">
        <v>38</v>
      </c>
      <c r="L577" s="73">
        <f>L576-L575</f>
        <v>0</v>
      </c>
      <c r="M577" s="74" t="s">
        <v>122</v>
      </c>
      <c r="N577" s="75" t="b">
        <v>0</v>
      </c>
    </row>
    <row r="578" ht="13.5" customHeight="1">
      <c r="A578" s="94" t="s">
        <v>131</v>
      </c>
      <c r="B578" s="95" t="s">
        <v>20</v>
      </c>
      <c r="C578" s="96"/>
      <c r="D578" s="10"/>
      <c r="E578" s="97">
        <f t="shared" ref="E578:J578" si="135">E6</f>
        <v>17</v>
      </c>
      <c r="F578" s="97">
        <f t="shared" si="135"/>
        <v>27</v>
      </c>
      <c r="G578" s="97">
        <f t="shared" si="135"/>
        <v>27</v>
      </c>
      <c r="H578" s="97">
        <f t="shared" si="135"/>
        <v>27</v>
      </c>
      <c r="I578" s="97">
        <f t="shared" si="135"/>
        <v>32</v>
      </c>
      <c r="J578" s="97">
        <f t="shared" si="135"/>
        <v>37</v>
      </c>
      <c r="K578" s="95" t="s">
        <v>21</v>
      </c>
      <c r="L578" s="10"/>
      <c r="M578" s="98" t="s">
        <v>118</v>
      </c>
      <c r="N578" s="10"/>
    </row>
    <row r="579" ht="13.5" customHeight="1">
      <c r="A579" s="99" t="s">
        <v>23</v>
      </c>
      <c r="B579" s="100" t="s">
        <v>131</v>
      </c>
      <c r="C579" s="53" t="s">
        <v>30</v>
      </c>
      <c r="D579" s="54"/>
      <c r="E579" s="60"/>
      <c r="F579" s="60"/>
      <c r="G579" s="60"/>
      <c r="H579" s="60"/>
      <c r="I579" s="60"/>
      <c r="J579" s="60"/>
      <c r="K579" s="61" t="s">
        <v>30</v>
      </c>
      <c r="L579" s="62">
        <f>(E579*E578)+(F579*F578)+(G579*G578)+(H579*H578)+(I579*I578)+(J579*J578)</f>
        <v>0</v>
      </c>
      <c r="M579" s="57" t="s">
        <v>119</v>
      </c>
      <c r="N579" s="63" t="b">
        <v>0</v>
      </c>
    </row>
    <row r="580" ht="13.5" customHeight="1">
      <c r="A580" s="103"/>
      <c r="B580" s="59"/>
      <c r="C580" s="53" t="s">
        <v>34</v>
      </c>
      <c r="D580" s="54"/>
      <c r="E580" s="66"/>
      <c r="F580" s="66"/>
      <c r="G580" s="66"/>
      <c r="H580" s="66"/>
      <c r="I580" s="66"/>
      <c r="J580" s="66"/>
      <c r="K580" s="67" t="s">
        <v>35</v>
      </c>
      <c r="L580" s="62">
        <f>(E580*E578)+(F580*F578)+(G580*G578)+(H580*H578)+(I580*I578)+(J580*J578)</f>
        <v>0</v>
      </c>
      <c r="M580" s="57" t="s">
        <v>121</v>
      </c>
      <c r="N580" s="63" t="b">
        <v>0</v>
      </c>
    </row>
    <row r="581" ht="13.5" customHeight="1">
      <c r="A581" s="80"/>
      <c r="B581" s="102" t="s">
        <v>33</v>
      </c>
      <c r="C581" s="70" t="s">
        <v>37</v>
      </c>
      <c r="D581" s="33"/>
      <c r="E581" s="71"/>
      <c r="F581" s="71"/>
      <c r="G581" s="71"/>
      <c r="H581" s="71"/>
      <c r="I581" s="71"/>
      <c r="J581" s="71"/>
      <c r="K581" s="72" t="s">
        <v>38</v>
      </c>
      <c r="L581" s="73">
        <f>L580-L579</f>
        <v>0</v>
      </c>
      <c r="M581" s="74" t="s">
        <v>122</v>
      </c>
      <c r="N581" s="75" t="b">
        <v>0</v>
      </c>
    </row>
    <row r="582" ht="19.5" customHeight="1">
      <c r="A582" s="99" t="s">
        <v>23</v>
      </c>
      <c r="B582" s="100" t="s">
        <v>131</v>
      </c>
      <c r="C582" s="53" t="s">
        <v>30</v>
      </c>
      <c r="D582" s="54"/>
      <c r="E582" s="60"/>
      <c r="F582" s="60"/>
      <c r="G582" s="60"/>
      <c r="H582" s="60"/>
      <c r="I582" s="60"/>
      <c r="J582" s="60"/>
      <c r="K582" s="61" t="s">
        <v>30</v>
      </c>
      <c r="L582" s="62">
        <f>(E582*E578)+(F582*F578)+(G582*G578)+(H582*H578)+(I582*I578)+(J582*J578)</f>
        <v>0</v>
      </c>
      <c r="M582" s="57" t="s">
        <v>119</v>
      </c>
      <c r="N582" s="63" t="b">
        <v>0</v>
      </c>
    </row>
    <row r="583" ht="13.5" customHeight="1">
      <c r="A583" s="103"/>
      <c r="B583" s="59"/>
      <c r="C583" s="53" t="s">
        <v>34</v>
      </c>
      <c r="D583" s="54"/>
      <c r="E583" s="66"/>
      <c r="F583" s="66"/>
      <c r="G583" s="66"/>
      <c r="H583" s="66"/>
      <c r="I583" s="66"/>
      <c r="J583" s="66"/>
      <c r="K583" s="67" t="s">
        <v>35</v>
      </c>
      <c r="L583" s="62">
        <f>(E583*E578)+(F583*F578)+(G583*G578)+(H583*H578)+(I583*I578)+(J583*J578)</f>
        <v>0</v>
      </c>
      <c r="M583" s="57" t="s">
        <v>121</v>
      </c>
      <c r="N583" s="63" t="b">
        <v>0</v>
      </c>
    </row>
    <row r="584" ht="13.5" customHeight="1">
      <c r="A584" s="80"/>
      <c r="B584" s="102" t="s">
        <v>42</v>
      </c>
      <c r="C584" s="70" t="s">
        <v>37</v>
      </c>
      <c r="D584" s="33"/>
      <c r="E584" s="71"/>
      <c r="F584" s="71"/>
      <c r="G584" s="71"/>
      <c r="H584" s="71"/>
      <c r="I584" s="71"/>
      <c r="J584" s="71"/>
      <c r="K584" s="72" t="s">
        <v>38</v>
      </c>
      <c r="L584" s="73">
        <f>L583-L582</f>
        <v>0</v>
      </c>
      <c r="M584" s="74" t="s">
        <v>122</v>
      </c>
      <c r="N584" s="75" t="b">
        <v>0</v>
      </c>
    </row>
    <row r="585" ht="13.5" customHeight="1">
      <c r="A585" s="99" t="s">
        <v>23</v>
      </c>
      <c r="B585" s="100" t="s">
        <v>131</v>
      </c>
      <c r="C585" s="53" t="s">
        <v>30</v>
      </c>
      <c r="D585" s="54"/>
      <c r="E585" s="60"/>
      <c r="F585" s="60"/>
      <c r="G585" s="60"/>
      <c r="H585" s="60"/>
      <c r="I585" s="60"/>
      <c r="J585" s="60"/>
      <c r="K585" s="61" t="s">
        <v>30</v>
      </c>
      <c r="L585" s="62">
        <f>(E585*E578)+(F585*F578)+(G585*G578)+(H585*H578)+(I585*I578)+(J585*J578)</f>
        <v>0</v>
      </c>
      <c r="M585" s="57" t="s">
        <v>119</v>
      </c>
      <c r="N585" s="63" t="b">
        <v>0</v>
      </c>
    </row>
    <row r="586" ht="15.0" customHeight="1">
      <c r="A586" s="103"/>
      <c r="B586" s="59"/>
      <c r="C586" s="53" t="s">
        <v>34</v>
      </c>
      <c r="D586" s="54"/>
      <c r="E586" s="66"/>
      <c r="F586" s="66"/>
      <c r="G586" s="66"/>
      <c r="H586" s="66"/>
      <c r="I586" s="66"/>
      <c r="J586" s="66"/>
      <c r="K586" s="67" t="s">
        <v>35</v>
      </c>
      <c r="L586" s="62">
        <f>(E586*E578)+(F586*F578)+(G586*G578)+(H586*H578)+(I586*I578)+(J586*J578)</f>
        <v>0</v>
      </c>
      <c r="M586" s="57" t="s">
        <v>121</v>
      </c>
      <c r="N586" s="63" t="b">
        <v>0</v>
      </c>
    </row>
    <row r="587" ht="13.5" customHeight="1">
      <c r="A587" s="80"/>
      <c r="B587" s="102" t="s">
        <v>47</v>
      </c>
      <c r="C587" s="70" t="s">
        <v>37</v>
      </c>
      <c r="D587" s="33"/>
      <c r="E587" s="71"/>
      <c r="F587" s="71"/>
      <c r="G587" s="71"/>
      <c r="H587" s="71"/>
      <c r="I587" s="71"/>
      <c r="J587" s="71"/>
      <c r="K587" s="72" t="s">
        <v>38</v>
      </c>
      <c r="L587" s="73">
        <f>L586-L585</f>
        <v>0</v>
      </c>
      <c r="M587" s="74" t="s">
        <v>122</v>
      </c>
      <c r="N587" s="75" t="b">
        <v>0</v>
      </c>
    </row>
    <row r="588" ht="13.5" customHeight="1">
      <c r="A588" s="99" t="s">
        <v>23</v>
      </c>
      <c r="B588" s="100" t="s">
        <v>131</v>
      </c>
      <c r="C588" s="53" t="s">
        <v>30</v>
      </c>
      <c r="D588" s="54"/>
      <c r="E588" s="60"/>
      <c r="F588" s="60"/>
      <c r="G588" s="60"/>
      <c r="H588" s="60"/>
      <c r="I588" s="60"/>
      <c r="J588" s="60"/>
      <c r="K588" s="61" t="s">
        <v>30</v>
      </c>
      <c r="L588" s="62">
        <f>(E588*E578)+(F588*F578)+(G588*G578)+(H588*H578)+(I588*I578)+(J588*J578)</f>
        <v>0</v>
      </c>
      <c r="M588" s="57" t="s">
        <v>119</v>
      </c>
      <c r="N588" s="63" t="b">
        <v>0</v>
      </c>
    </row>
    <row r="589" ht="13.5" customHeight="1">
      <c r="A589" s="103"/>
      <c r="B589" s="59"/>
      <c r="C589" s="53" t="s">
        <v>34</v>
      </c>
      <c r="D589" s="54"/>
      <c r="E589" s="66"/>
      <c r="F589" s="66"/>
      <c r="G589" s="66"/>
      <c r="H589" s="66"/>
      <c r="I589" s="66"/>
      <c r="J589" s="66"/>
      <c r="K589" s="67" t="s">
        <v>35</v>
      </c>
      <c r="L589" s="62">
        <f>(E589*E578)+(F589*F578)+(G589*G578)+(H589*H578)+(I589*I578)+(J589*J578)</f>
        <v>0</v>
      </c>
      <c r="M589" s="57" t="s">
        <v>121</v>
      </c>
      <c r="N589" s="63" t="b">
        <v>0</v>
      </c>
    </row>
    <row r="590" ht="18.75" customHeight="1">
      <c r="A590" s="80"/>
      <c r="B590" s="102" t="s">
        <v>49</v>
      </c>
      <c r="C590" s="70" t="s">
        <v>37</v>
      </c>
      <c r="D590" s="33"/>
      <c r="E590" s="71"/>
      <c r="F590" s="71"/>
      <c r="G590" s="71"/>
      <c r="H590" s="71"/>
      <c r="I590" s="71"/>
      <c r="J590" s="71"/>
      <c r="K590" s="72" t="s">
        <v>38</v>
      </c>
      <c r="L590" s="73">
        <f>L589-L588</f>
        <v>0</v>
      </c>
      <c r="M590" s="74" t="s">
        <v>122</v>
      </c>
      <c r="N590" s="75" t="b">
        <v>0</v>
      </c>
    </row>
    <row r="591" ht="13.5" customHeight="1">
      <c r="A591" s="104" t="s">
        <v>132</v>
      </c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5"/>
    </row>
    <row r="592" ht="13.5" customHeight="1">
      <c r="A592" s="105"/>
      <c r="B592" s="10"/>
      <c r="C592" s="106" t="s">
        <v>133</v>
      </c>
      <c r="D592" s="24"/>
      <c r="E592" s="24"/>
      <c r="F592" s="24"/>
      <c r="G592" s="24"/>
      <c r="H592" s="24"/>
      <c r="I592" s="24"/>
      <c r="J592" s="24"/>
      <c r="K592" s="24"/>
      <c r="L592" s="25"/>
      <c r="M592" s="107"/>
      <c r="N592" s="108"/>
    </row>
    <row r="593" ht="13.5" customHeight="1">
      <c r="A593" s="109" t="s">
        <v>133</v>
      </c>
      <c r="B593" s="59"/>
      <c r="C593" s="110" t="s">
        <v>15</v>
      </c>
      <c r="D593" s="111"/>
      <c r="E593" s="112">
        <f t="shared" ref="E593:J593" si="136">E7-(E15+E33+E51+E69+E87+E105+E123+E141+E159+E177+E195+E213+E231+E249+E267+E285+E303+E321+E339+E357+E375+E393+E411+E429+E447+E463+E476+E489+E502+E515+E528+E541+E554+E567+E580)</f>
        <v>0</v>
      </c>
      <c r="F593" s="112">
        <f t="shared" si="136"/>
        <v>-31</v>
      </c>
      <c r="G593" s="112">
        <f t="shared" si="136"/>
        <v>-31</v>
      </c>
      <c r="H593" s="112">
        <f t="shared" si="136"/>
        <v>-18</v>
      </c>
      <c r="I593" s="112">
        <f t="shared" si="136"/>
        <v>-23</v>
      </c>
      <c r="J593" s="113">
        <f t="shared" si="136"/>
        <v>-34</v>
      </c>
      <c r="K593" s="114" t="s">
        <v>134</v>
      </c>
      <c r="L593" s="115">
        <f>L16+L34+L52+L70+L88+L106+L124+L142+L160+L178+L196+L214+L232+L250+L268+L286+L304+L322+L340+L358+L376+L394+L412+L430+L448+L464+L477+L490+L503+L516+L529+L542+L555+L568+L581</f>
        <v>3222</v>
      </c>
      <c r="M593" s="116"/>
      <c r="N593" s="117"/>
    </row>
    <row r="594" ht="13.5" customHeight="1">
      <c r="A594" s="38"/>
      <c r="B594" s="59"/>
      <c r="C594" s="118" t="s">
        <v>135</v>
      </c>
      <c r="D594" s="111"/>
      <c r="E594" s="119"/>
      <c r="F594" s="119"/>
      <c r="G594" s="119"/>
      <c r="H594" s="119"/>
      <c r="I594" s="119"/>
      <c r="J594" s="120"/>
      <c r="K594" s="59"/>
      <c r="L594" s="5"/>
      <c r="N594" s="59"/>
    </row>
    <row r="595" ht="13.5" customHeight="1">
      <c r="A595" s="38"/>
      <c r="B595" s="59"/>
      <c r="C595" s="121" t="s">
        <v>136</v>
      </c>
      <c r="D595" s="25"/>
      <c r="E595" s="122">
        <f t="shared" ref="E595:J595" si="137">E593-E594</f>
        <v>0</v>
      </c>
      <c r="F595" s="122">
        <f t="shared" si="137"/>
        <v>-31</v>
      </c>
      <c r="G595" s="122">
        <f t="shared" si="137"/>
        <v>-31</v>
      </c>
      <c r="H595" s="122">
        <f t="shared" si="137"/>
        <v>-18</v>
      </c>
      <c r="I595" s="122">
        <f t="shared" si="137"/>
        <v>-23</v>
      </c>
      <c r="J595" s="123">
        <f t="shared" si="137"/>
        <v>-34</v>
      </c>
      <c r="K595" s="59"/>
      <c r="L595" s="5"/>
      <c r="N595" s="59"/>
    </row>
    <row r="596" ht="13.5" customHeight="1">
      <c r="A596" s="38"/>
      <c r="B596" s="59"/>
      <c r="C596" s="110" t="s">
        <v>137</v>
      </c>
      <c r="D596" s="111"/>
      <c r="E596" s="112">
        <f t="shared" ref="E596:J596" si="138">E14+E32+E50+E68+E86+E104+E122+E140+E158+E176+E194+E212+E230+E248+E266+E284+E302+E320+E338+E356+E374+E392+E410+E428+E446+E462+E475+E488+E501+E514+E527+E540+E553+E566+E579</f>
        <v>0</v>
      </c>
      <c r="F596" s="112">
        <f t="shared" si="138"/>
        <v>3</v>
      </c>
      <c r="G596" s="112">
        <f t="shared" si="138"/>
        <v>7</v>
      </c>
      <c r="H596" s="112">
        <f t="shared" si="138"/>
        <v>10</v>
      </c>
      <c r="I596" s="112">
        <f t="shared" si="138"/>
        <v>3</v>
      </c>
      <c r="J596" s="113">
        <f t="shared" si="138"/>
        <v>8</v>
      </c>
      <c r="K596" s="54"/>
      <c r="L596" s="111"/>
      <c r="N596" s="59"/>
    </row>
    <row r="597" ht="13.5" customHeight="1">
      <c r="A597" s="38"/>
      <c r="B597" s="59"/>
      <c r="C597" s="118" t="s">
        <v>135</v>
      </c>
      <c r="D597" s="111"/>
      <c r="E597" s="119"/>
      <c r="F597" s="119"/>
      <c r="G597" s="119"/>
      <c r="H597" s="119"/>
      <c r="I597" s="119"/>
      <c r="J597" s="120"/>
      <c r="K597" s="124" t="s">
        <v>135</v>
      </c>
      <c r="L597" s="125"/>
      <c r="N597" s="59"/>
    </row>
    <row r="598" ht="13.5" customHeight="1">
      <c r="A598" s="126"/>
      <c r="B598" s="33"/>
      <c r="C598" s="121" t="s">
        <v>136</v>
      </c>
      <c r="D598" s="25"/>
      <c r="E598" s="122">
        <f t="shared" ref="E598:J598" si="139">E596-E597</f>
        <v>0</v>
      </c>
      <c r="F598" s="122">
        <f t="shared" si="139"/>
        <v>3</v>
      </c>
      <c r="G598" s="122">
        <f t="shared" si="139"/>
        <v>7</v>
      </c>
      <c r="H598" s="122">
        <f t="shared" si="139"/>
        <v>10</v>
      </c>
      <c r="I598" s="122">
        <f t="shared" si="139"/>
        <v>3</v>
      </c>
      <c r="J598" s="123">
        <f t="shared" si="139"/>
        <v>8</v>
      </c>
      <c r="K598" s="127" t="s">
        <v>136</v>
      </c>
      <c r="L598" s="128">
        <f>L593-L597</f>
        <v>3222</v>
      </c>
      <c r="M598" s="129"/>
      <c r="N598" s="54"/>
    </row>
    <row r="599" ht="13.5" customHeight="1">
      <c r="A599" s="105"/>
      <c r="B599" s="10"/>
      <c r="C599" s="130" t="s">
        <v>138</v>
      </c>
      <c r="D599" s="24"/>
      <c r="E599" s="24"/>
      <c r="F599" s="24"/>
      <c r="G599" s="24"/>
      <c r="H599" s="24"/>
      <c r="I599" s="24"/>
      <c r="J599" s="24"/>
      <c r="K599" s="24"/>
      <c r="L599" s="25"/>
      <c r="M599" s="131"/>
      <c r="N599" s="108"/>
    </row>
    <row r="600" ht="13.5" customHeight="1">
      <c r="A600" s="109" t="s">
        <v>138</v>
      </c>
      <c r="B600" s="59"/>
      <c r="C600" s="110" t="s">
        <v>15</v>
      </c>
      <c r="D600" s="111"/>
      <c r="E600" s="112">
        <f t="shared" ref="E600:J600" si="140">E8-(E19+E37+E55+E73+E91+E109+E127+E145+E163+E181+E199+E217+E235+E253+E271+E289+E307+E325+E343+E361+E379+E397+E415+E433+E451+E466+E479+E492+E505+E518+E531+E544+E557+E570+E583)</f>
        <v>0</v>
      </c>
      <c r="F600" s="112">
        <f t="shared" si="140"/>
        <v>-32</v>
      </c>
      <c r="G600" s="112">
        <f t="shared" si="140"/>
        <v>-31</v>
      </c>
      <c r="H600" s="112">
        <f t="shared" si="140"/>
        <v>-23</v>
      </c>
      <c r="I600" s="112">
        <f t="shared" si="140"/>
        <v>-21</v>
      </c>
      <c r="J600" s="113">
        <f t="shared" si="140"/>
        <v>-31</v>
      </c>
      <c r="K600" s="114" t="s">
        <v>139</v>
      </c>
      <c r="L600" s="115">
        <f>L20+L38+L56+L74+L92+L110+L128+L146+L164+L182+L200+L218+L236+L254+L272+L290+L308+L326+L344+L362+L380+L398+L416+L434+L452+L467+L480+L493+L506+L519+L532+L545+L558+L571+L584</f>
        <v>3211</v>
      </c>
      <c r="M600" s="116"/>
      <c r="N600" s="117"/>
    </row>
    <row r="601" ht="13.5" customHeight="1">
      <c r="A601" s="38"/>
      <c r="B601" s="59"/>
      <c r="C601" s="118" t="s">
        <v>135</v>
      </c>
      <c r="D601" s="111"/>
      <c r="E601" s="119"/>
      <c r="F601" s="119"/>
      <c r="G601" s="119"/>
      <c r="H601" s="119"/>
      <c r="I601" s="119"/>
      <c r="J601" s="120"/>
      <c r="K601" s="59"/>
      <c r="L601" s="5"/>
      <c r="N601" s="59"/>
    </row>
    <row r="602" ht="13.5" customHeight="1">
      <c r="A602" s="38"/>
      <c r="B602" s="59"/>
      <c r="C602" s="121" t="s">
        <v>136</v>
      </c>
      <c r="D602" s="25"/>
      <c r="E602" s="122">
        <f t="shared" ref="E602:J602" si="141">E600-E601</f>
        <v>0</v>
      </c>
      <c r="F602" s="122">
        <f t="shared" si="141"/>
        <v>-32</v>
      </c>
      <c r="G602" s="122">
        <f t="shared" si="141"/>
        <v>-31</v>
      </c>
      <c r="H602" s="122">
        <f t="shared" si="141"/>
        <v>-23</v>
      </c>
      <c r="I602" s="122">
        <f t="shared" si="141"/>
        <v>-21</v>
      </c>
      <c r="J602" s="123">
        <f t="shared" si="141"/>
        <v>-31</v>
      </c>
      <c r="K602" s="59"/>
      <c r="L602" s="5"/>
      <c r="N602" s="59"/>
    </row>
    <row r="603" ht="13.5" customHeight="1">
      <c r="A603" s="38"/>
      <c r="B603" s="59"/>
      <c r="C603" s="110" t="s">
        <v>137</v>
      </c>
      <c r="D603" s="111"/>
      <c r="E603" s="112">
        <f t="shared" ref="E603:J603" si="142">E18+E36+E54+E72+E90+E108+E126+E144+E162+E180+E198+E216+E234+E252+E270+E288+E306+E324+E342+E360+E378+E396+E414+E432+E450+E465+E478+E491+E504+E517+E530+E543+E556+E569+E582</f>
        <v>0</v>
      </c>
      <c r="F603" s="112">
        <f t="shared" si="142"/>
        <v>3</v>
      </c>
      <c r="G603" s="112">
        <f t="shared" si="142"/>
        <v>8</v>
      </c>
      <c r="H603" s="112">
        <f t="shared" si="142"/>
        <v>5</v>
      </c>
      <c r="I603" s="112">
        <f t="shared" si="142"/>
        <v>4</v>
      </c>
      <c r="J603" s="112">
        <f t="shared" si="142"/>
        <v>10</v>
      </c>
      <c r="K603" s="54"/>
      <c r="L603" s="111"/>
      <c r="N603" s="59"/>
    </row>
    <row r="604" ht="13.5" customHeight="1">
      <c r="A604" s="38"/>
      <c r="B604" s="59"/>
      <c r="C604" s="118" t="s">
        <v>135</v>
      </c>
      <c r="D604" s="111"/>
      <c r="E604" s="119"/>
      <c r="F604" s="119"/>
      <c r="G604" s="119"/>
      <c r="H604" s="119"/>
      <c r="I604" s="119"/>
      <c r="J604" s="120"/>
      <c r="K604" s="124" t="s">
        <v>135</v>
      </c>
      <c r="L604" s="125"/>
      <c r="N604" s="59"/>
    </row>
    <row r="605" ht="13.5" customHeight="1">
      <c r="A605" s="126"/>
      <c r="B605" s="33"/>
      <c r="C605" s="121" t="s">
        <v>136</v>
      </c>
      <c r="D605" s="25"/>
      <c r="E605" s="122">
        <f t="shared" ref="E605:J605" si="143">E603-E604</f>
        <v>0</v>
      </c>
      <c r="F605" s="122">
        <f t="shared" si="143"/>
        <v>3</v>
      </c>
      <c r="G605" s="122">
        <f t="shared" si="143"/>
        <v>8</v>
      </c>
      <c r="H605" s="122">
        <f t="shared" si="143"/>
        <v>5</v>
      </c>
      <c r="I605" s="122">
        <f t="shared" si="143"/>
        <v>4</v>
      </c>
      <c r="J605" s="123">
        <f t="shared" si="143"/>
        <v>10</v>
      </c>
      <c r="K605" s="127" t="s">
        <v>136</v>
      </c>
      <c r="L605" s="128">
        <f>L600-L604</f>
        <v>3211</v>
      </c>
      <c r="M605" s="129"/>
      <c r="N605" s="54"/>
    </row>
    <row r="606" ht="13.5" customHeight="1">
      <c r="A606" s="105"/>
      <c r="B606" s="10"/>
      <c r="C606" s="130" t="s">
        <v>140</v>
      </c>
      <c r="D606" s="24"/>
      <c r="E606" s="24"/>
      <c r="F606" s="24"/>
      <c r="G606" s="24"/>
      <c r="H606" s="24"/>
      <c r="I606" s="24"/>
      <c r="J606" s="24"/>
      <c r="K606" s="24"/>
      <c r="L606" s="25"/>
      <c r="M606" s="131"/>
      <c r="N606" s="108"/>
    </row>
    <row r="607" ht="13.5" customHeight="1">
      <c r="A607" s="109" t="s">
        <v>140</v>
      </c>
      <c r="B607" s="59"/>
      <c r="C607" s="110" t="s">
        <v>15</v>
      </c>
      <c r="D607" s="111"/>
      <c r="E607" s="112">
        <f t="shared" ref="E607:J607" si="144">E9-(E23+E41+E59+E77+E95+E113+E131+E149+E167+E185+E203+E221+E239+E257+E275+E293+E311+E329+E347+E365+E383+E401+E419+E437+E455+E469+E482+E495+E508+E521+E534+E547+E560+E573+E586)</f>
        <v>0</v>
      </c>
      <c r="F607" s="112">
        <f t="shared" si="144"/>
        <v>5</v>
      </c>
      <c r="G607" s="112">
        <f t="shared" si="144"/>
        <v>12</v>
      </c>
      <c r="H607" s="112">
        <f t="shared" si="144"/>
        <v>17</v>
      </c>
      <c r="I607" s="112">
        <f t="shared" si="144"/>
        <v>13</v>
      </c>
      <c r="J607" s="113">
        <f t="shared" si="144"/>
        <v>23</v>
      </c>
      <c r="K607" s="114" t="s">
        <v>141</v>
      </c>
      <c r="L607" s="115">
        <f>L24+L42+L60+L78+L96+L114+L132+L150+L168+L186+L204+L222+L240+L258+L276+L294+L312+L330+L348+L366+L384+L402+L420+L438+L456+L470+L483+L496+L509+L522+L535+L548+L561+L574+L587</f>
        <v>2224</v>
      </c>
      <c r="M607" s="116"/>
      <c r="N607" s="117"/>
    </row>
    <row r="608" ht="13.5" customHeight="1">
      <c r="A608" s="38"/>
      <c r="B608" s="59"/>
      <c r="C608" s="118" t="s">
        <v>135</v>
      </c>
      <c r="D608" s="111"/>
      <c r="E608" s="119"/>
      <c r="F608" s="119"/>
      <c r="G608" s="119"/>
      <c r="H608" s="119"/>
      <c r="I608" s="119"/>
      <c r="J608" s="120"/>
      <c r="K608" s="59"/>
      <c r="L608" s="5"/>
      <c r="N608" s="59"/>
    </row>
    <row r="609" ht="13.5" customHeight="1">
      <c r="A609" s="38"/>
      <c r="B609" s="59"/>
      <c r="C609" s="121" t="s">
        <v>136</v>
      </c>
      <c r="D609" s="25"/>
      <c r="E609" s="122">
        <f t="shared" ref="E609:J609" si="145">E607-E608</f>
        <v>0</v>
      </c>
      <c r="F609" s="122">
        <f t="shared" si="145"/>
        <v>5</v>
      </c>
      <c r="G609" s="122">
        <f t="shared" si="145"/>
        <v>12</v>
      </c>
      <c r="H609" s="122">
        <f t="shared" si="145"/>
        <v>17</v>
      </c>
      <c r="I609" s="122">
        <f t="shared" si="145"/>
        <v>13</v>
      </c>
      <c r="J609" s="123">
        <f t="shared" si="145"/>
        <v>23</v>
      </c>
      <c r="K609" s="59"/>
      <c r="L609" s="5"/>
      <c r="N609" s="59"/>
    </row>
    <row r="610" ht="13.5" customHeight="1">
      <c r="A610" s="38"/>
      <c r="B610" s="59"/>
      <c r="C610" s="110" t="s">
        <v>137</v>
      </c>
      <c r="D610" s="111"/>
      <c r="E610" s="112">
        <f t="shared" ref="E610:J610" si="146">E22+E40+E58+E76+E94+E112+E130+E148+E166+E184+E202+E220+E238+E256+E274+E292+E310+E328+E346+E364+E382+E400+E418+E436+E454+E468+E481+E494+E507+E520+E533+E546+E559+E572+E585</f>
        <v>0</v>
      </c>
      <c r="F610" s="112">
        <f t="shared" si="146"/>
        <v>0</v>
      </c>
      <c r="G610" s="112">
        <f t="shared" si="146"/>
        <v>4</v>
      </c>
      <c r="H610" s="112">
        <f t="shared" si="146"/>
        <v>3</v>
      </c>
      <c r="I610" s="112">
        <f t="shared" si="146"/>
        <v>4</v>
      </c>
      <c r="J610" s="113">
        <f t="shared" si="146"/>
        <v>3</v>
      </c>
      <c r="K610" s="54"/>
      <c r="L610" s="111"/>
      <c r="N610" s="59"/>
    </row>
    <row r="611" ht="13.5" customHeight="1">
      <c r="A611" s="38"/>
      <c r="B611" s="59"/>
      <c r="C611" s="118" t="s">
        <v>135</v>
      </c>
      <c r="D611" s="111"/>
      <c r="E611" s="119"/>
      <c r="F611" s="119"/>
      <c r="G611" s="119"/>
      <c r="H611" s="119"/>
      <c r="I611" s="119"/>
      <c r="J611" s="120"/>
      <c r="K611" s="124" t="s">
        <v>135</v>
      </c>
      <c r="L611" s="125"/>
      <c r="N611" s="59"/>
    </row>
    <row r="612" ht="13.5" customHeight="1">
      <c r="A612" s="126"/>
      <c r="B612" s="33"/>
      <c r="C612" s="121" t="s">
        <v>136</v>
      </c>
      <c r="D612" s="25"/>
      <c r="E612" s="122">
        <f t="shared" ref="E612:J612" si="147">E610-E611</f>
        <v>0</v>
      </c>
      <c r="F612" s="122">
        <f t="shared" si="147"/>
        <v>0</v>
      </c>
      <c r="G612" s="122">
        <f t="shared" si="147"/>
        <v>4</v>
      </c>
      <c r="H612" s="122">
        <f t="shared" si="147"/>
        <v>3</v>
      </c>
      <c r="I612" s="122">
        <f t="shared" si="147"/>
        <v>4</v>
      </c>
      <c r="J612" s="123">
        <f t="shared" si="147"/>
        <v>3</v>
      </c>
      <c r="K612" s="127" t="s">
        <v>136</v>
      </c>
      <c r="L612" s="128">
        <f>L607-L611</f>
        <v>2224</v>
      </c>
      <c r="M612" s="129"/>
      <c r="N612" s="54"/>
    </row>
    <row r="613" ht="13.5" customHeight="1">
      <c r="A613" s="105"/>
      <c r="B613" s="10"/>
      <c r="C613" s="106" t="s">
        <v>142</v>
      </c>
      <c r="D613" s="24"/>
      <c r="E613" s="24"/>
      <c r="F613" s="24"/>
      <c r="G613" s="24"/>
      <c r="H613" s="24"/>
      <c r="I613" s="24"/>
      <c r="J613" s="24"/>
      <c r="K613" s="24"/>
      <c r="L613" s="25"/>
      <c r="M613" s="131"/>
      <c r="N613" s="108"/>
    </row>
    <row r="614" ht="13.5" customHeight="1">
      <c r="A614" s="109" t="s">
        <v>142</v>
      </c>
      <c r="B614" s="59"/>
      <c r="C614" s="110" t="s">
        <v>15</v>
      </c>
      <c r="D614" s="111"/>
      <c r="E614" s="112">
        <f t="shared" ref="E614:J614" si="148">E10-(E27+E45+E63+E81+E99+E117+E135+E153+E171+E189+E207+E225+E243+E261+E279+E297+E315+E333+E351+E369+E387+E405+E423+E441+E459+E472+E485+E498+E511+E524+E537+E550+E563+E576+E589)</f>
        <v>0</v>
      </c>
      <c r="F614" s="112">
        <f t="shared" si="148"/>
        <v>0</v>
      </c>
      <c r="G614" s="112">
        <f t="shared" si="148"/>
        <v>0</v>
      </c>
      <c r="H614" s="112">
        <f t="shared" si="148"/>
        <v>0</v>
      </c>
      <c r="I614" s="112">
        <f t="shared" si="148"/>
        <v>0</v>
      </c>
      <c r="J614" s="113">
        <f t="shared" si="148"/>
        <v>0</v>
      </c>
      <c r="K614" s="132" t="s">
        <v>143</v>
      </c>
      <c r="L614" s="133">
        <f>L28+L46+L64+L82+L100+L118+L136+L154+L172+L190+L208+L226+L244+L262+L280+L298+L316+L334+L352+L370+L388+L406+L424+L442+L460+L473+L486+L499+L512+L525+L538+L551+L564+L577+L590</f>
        <v>0</v>
      </c>
      <c r="M614" s="116"/>
      <c r="N614" s="117"/>
    </row>
    <row r="615" ht="13.5" customHeight="1">
      <c r="A615" s="38"/>
      <c r="B615" s="59"/>
      <c r="C615" s="118" t="s">
        <v>135</v>
      </c>
      <c r="D615" s="111"/>
      <c r="E615" s="119"/>
      <c r="F615" s="119"/>
      <c r="G615" s="119"/>
      <c r="H615" s="119"/>
      <c r="I615" s="119"/>
      <c r="J615" s="120"/>
      <c r="K615" s="59"/>
      <c r="L615" s="5"/>
      <c r="N615" s="59"/>
    </row>
    <row r="616" ht="13.5" customHeight="1">
      <c r="A616" s="38"/>
      <c r="B616" s="59"/>
      <c r="C616" s="121" t="s">
        <v>136</v>
      </c>
      <c r="D616" s="25"/>
      <c r="E616" s="122">
        <f t="shared" ref="E616:J616" si="149">E614-E615</f>
        <v>0</v>
      </c>
      <c r="F616" s="122">
        <f t="shared" si="149"/>
        <v>0</v>
      </c>
      <c r="G616" s="122">
        <f t="shared" si="149"/>
        <v>0</v>
      </c>
      <c r="H616" s="122">
        <f t="shared" si="149"/>
        <v>0</v>
      </c>
      <c r="I616" s="122">
        <f t="shared" si="149"/>
        <v>0</v>
      </c>
      <c r="J616" s="123">
        <f t="shared" si="149"/>
        <v>0</v>
      </c>
      <c r="K616" s="59"/>
      <c r="L616" s="5"/>
      <c r="N616" s="59"/>
    </row>
    <row r="617" ht="13.5" customHeight="1">
      <c r="A617" s="38"/>
      <c r="B617" s="59"/>
      <c r="C617" s="110" t="s">
        <v>137</v>
      </c>
      <c r="D617" s="111"/>
      <c r="E617" s="112">
        <f t="shared" ref="E617:J617" si="150">E26+E44+E62+E80+E98+E116+E134+E152+E170+E188+E206+E224+E242+E260+E278+E296+E314+E332+E350+E368+E386+E404+E422+E440+E458+E471+E484+E497+E510+E523+E536+E549+E562+E575+E588</f>
        <v>0</v>
      </c>
      <c r="F617" s="112">
        <f t="shared" si="150"/>
        <v>0</v>
      </c>
      <c r="G617" s="112">
        <f t="shared" si="150"/>
        <v>0</v>
      </c>
      <c r="H617" s="112">
        <f t="shared" si="150"/>
        <v>0</v>
      </c>
      <c r="I617" s="112">
        <f t="shared" si="150"/>
        <v>0</v>
      </c>
      <c r="J617" s="113">
        <f t="shared" si="150"/>
        <v>0</v>
      </c>
      <c r="K617" s="54"/>
      <c r="L617" s="111"/>
      <c r="N617" s="59"/>
    </row>
    <row r="618" ht="13.5" customHeight="1">
      <c r="A618" s="38"/>
      <c r="B618" s="59"/>
      <c r="C618" s="118" t="s">
        <v>135</v>
      </c>
      <c r="D618" s="111"/>
      <c r="E618" s="119"/>
      <c r="F618" s="119"/>
      <c r="G618" s="119"/>
      <c r="H618" s="119"/>
      <c r="I618" s="119"/>
      <c r="J618" s="120"/>
      <c r="K618" s="134" t="s">
        <v>135</v>
      </c>
      <c r="L618" s="135"/>
      <c r="N618" s="59"/>
    </row>
    <row r="619" ht="13.5" customHeight="1">
      <c r="A619" s="126"/>
      <c r="B619" s="33"/>
      <c r="C619" s="121" t="s">
        <v>136</v>
      </c>
      <c r="D619" s="25"/>
      <c r="E619" s="122">
        <f t="shared" ref="E619:J619" si="151">E617-E618</f>
        <v>0</v>
      </c>
      <c r="F619" s="122">
        <f t="shared" si="151"/>
        <v>0</v>
      </c>
      <c r="G619" s="122">
        <f t="shared" si="151"/>
        <v>0</v>
      </c>
      <c r="H619" s="122">
        <f t="shared" si="151"/>
        <v>0</v>
      </c>
      <c r="I619" s="122">
        <f t="shared" si="151"/>
        <v>0</v>
      </c>
      <c r="J619" s="123">
        <f t="shared" si="151"/>
        <v>0</v>
      </c>
      <c r="K619" s="136" t="s">
        <v>136</v>
      </c>
      <c r="L619" s="137">
        <f>L614-L618</f>
        <v>0</v>
      </c>
      <c r="M619" s="129"/>
      <c r="N619" s="54"/>
    </row>
    <row r="620" ht="13.5" customHeight="1">
      <c r="A620" s="138" t="s">
        <v>144</v>
      </c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5"/>
    </row>
    <row r="621" ht="13.5" customHeight="1">
      <c r="A621" s="139"/>
      <c r="B621" s="140"/>
      <c r="C621" s="140"/>
      <c r="D621" s="140"/>
      <c r="E621" s="141" t="s">
        <v>7</v>
      </c>
      <c r="F621" s="141" t="s">
        <v>145</v>
      </c>
      <c r="G621" s="141" t="s">
        <v>9</v>
      </c>
      <c r="H621" s="141" t="s">
        <v>10</v>
      </c>
      <c r="I621" s="141" t="s">
        <v>11</v>
      </c>
      <c r="J621" s="142" t="s">
        <v>146</v>
      </c>
      <c r="K621" s="140"/>
      <c r="L621" s="140"/>
      <c r="M621" s="140"/>
      <c r="N621" s="140"/>
    </row>
    <row r="622" ht="13.5" customHeight="1">
      <c r="A622" s="143">
        <v>1.0</v>
      </c>
      <c r="B622" s="144" t="s">
        <v>147</v>
      </c>
      <c r="C622" s="129"/>
      <c r="D622" s="111"/>
      <c r="E622" s="145">
        <f t="shared" ref="E622:J622" si="152">E13+E31+E49+E67+E85+E103+E121+E139+E157+E175+E193+E211+E229+E247+E265+E283+E301+E319+E337+E355+E373+E391+E409+E427+E445</f>
        <v>0</v>
      </c>
      <c r="F622" s="145">
        <f t="shared" si="152"/>
        <v>-3</v>
      </c>
      <c r="G622" s="145">
        <f t="shared" si="152"/>
        <v>-7</v>
      </c>
      <c r="H622" s="145">
        <f t="shared" si="152"/>
        <v>-10</v>
      </c>
      <c r="I622" s="145">
        <f t="shared" si="152"/>
        <v>-3</v>
      </c>
      <c r="J622" s="146">
        <f t="shared" si="152"/>
        <v>-8</v>
      </c>
      <c r="K622" s="147"/>
      <c r="L622" s="2"/>
      <c r="M622" s="2"/>
      <c r="N622" s="3"/>
    </row>
    <row r="623" ht="13.5" customHeight="1">
      <c r="A623" s="68"/>
      <c r="B623" s="148" t="s">
        <v>148</v>
      </c>
      <c r="C623" s="129"/>
      <c r="D623" s="54"/>
      <c r="E623" s="149">
        <f t="shared" ref="E623:J623" si="153">E15+E33+E51+E69+E87+E105+E123+E141+E159+E177+E195+E213+E231+E249+E267+E285+E303+E321+E339+E357+E375+E393+E411+E429+E447+E463+E476+E489+E502+E515+E528+E541+E554+E567+E580</f>
        <v>0</v>
      </c>
      <c r="F623" s="149">
        <f t="shared" si="153"/>
        <v>31</v>
      </c>
      <c r="G623" s="149">
        <f t="shared" si="153"/>
        <v>31</v>
      </c>
      <c r="H623" s="149">
        <f t="shared" si="153"/>
        <v>18</v>
      </c>
      <c r="I623" s="149">
        <f t="shared" si="153"/>
        <v>23</v>
      </c>
      <c r="J623" s="150">
        <f t="shared" si="153"/>
        <v>34</v>
      </c>
      <c r="K623" s="38"/>
      <c r="N623" s="5"/>
    </row>
    <row r="624" ht="13.5" customHeight="1">
      <c r="A624" s="68"/>
      <c r="B624" s="148" t="s">
        <v>149</v>
      </c>
      <c r="C624" s="129"/>
      <c r="D624" s="54"/>
      <c r="E624" s="151">
        <f t="shared" ref="E624:J624" si="154">E16+E34+E52+E70+E88+E106+E124+E142+E160+E178+E196+E214+E232+E250+E268+E286+E304+E322+E340+E358+E376+E394+E412+E430+E448+E464+E477+E490+E503+E516+E529+E542+E555+E568+E581</f>
        <v>0</v>
      </c>
      <c r="F624" s="151">
        <f t="shared" si="154"/>
        <v>0</v>
      </c>
      <c r="G624" s="151">
        <f t="shared" si="154"/>
        <v>0</v>
      </c>
      <c r="H624" s="151">
        <f t="shared" si="154"/>
        <v>0</v>
      </c>
      <c r="I624" s="151">
        <f t="shared" si="154"/>
        <v>0</v>
      </c>
      <c r="J624" s="152">
        <f t="shared" si="154"/>
        <v>0</v>
      </c>
      <c r="K624" s="38"/>
      <c r="N624" s="5"/>
    </row>
    <row r="625" ht="13.5" customHeight="1">
      <c r="A625" s="68"/>
      <c r="B625" s="148" t="s">
        <v>150</v>
      </c>
      <c r="C625" s="129"/>
      <c r="D625" s="54"/>
      <c r="E625" s="153">
        <f t="shared" ref="E625:J625" si="155">E14+E32+E50+E68+E86+E104+E122+E140+E158+E176+E194+E212+E230+E248+E266+E284+E302+E320+E338+E356+E374+E392+E410+E428+E446+E462+E475+E488+E501+E514+E527+E540+E553+E566+E579</f>
        <v>0</v>
      </c>
      <c r="F625" s="153">
        <f t="shared" si="155"/>
        <v>3</v>
      </c>
      <c r="G625" s="153">
        <f t="shared" si="155"/>
        <v>7</v>
      </c>
      <c r="H625" s="153">
        <f t="shared" si="155"/>
        <v>10</v>
      </c>
      <c r="I625" s="153">
        <f t="shared" si="155"/>
        <v>3</v>
      </c>
      <c r="J625" s="154">
        <f t="shared" si="155"/>
        <v>8</v>
      </c>
      <c r="K625" s="38"/>
      <c r="N625" s="5"/>
    </row>
    <row r="626" ht="13.5" customHeight="1">
      <c r="A626" s="80"/>
      <c r="B626" s="155" t="s">
        <v>151</v>
      </c>
      <c r="C626" s="24"/>
      <c r="D626" s="33"/>
      <c r="E626" s="156">
        <f t="shared" ref="E626:J626" si="156">(E623+E624)</f>
        <v>0</v>
      </c>
      <c r="F626" s="156">
        <f t="shared" si="156"/>
        <v>31</v>
      </c>
      <c r="G626" s="156">
        <f t="shared" si="156"/>
        <v>31</v>
      </c>
      <c r="H626" s="156">
        <f t="shared" si="156"/>
        <v>18</v>
      </c>
      <c r="I626" s="156">
        <f t="shared" si="156"/>
        <v>23</v>
      </c>
      <c r="J626" s="157">
        <f t="shared" si="156"/>
        <v>34</v>
      </c>
      <c r="K626" s="126"/>
      <c r="L626" s="24"/>
      <c r="M626" s="24"/>
      <c r="N626" s="25"/>
    </row>
    <row r="627" ht="13.5" customHeight="1">
      <c r="A627" s="139"/>
      <c r="B627" s="140"/>
      <c r="C627" s="140"/>
      <c r="D627" s="140"/>
      <c r="E627" s="141" t="s">
        <v>7</v>
      </c>
      <c r="F627" s="141" t="s">
        <v>145</v>
      </c>
      <c r="G627" s="141" t="s">
        <v>9</v>
      </c>
      <c r="H627" s="141" t="s">
        <v>10</v>
      </c>
      <c r="I627" s="141" t="s">
        <v>11</v>
      </c>
      <c r="J627" s="142" t="s">
        <v>146</v>
      </c>
      <c r="K627" s="140"/>
      <c r="L627" s="140"/>
      <c r="M627" s="140"/>
      <c r="N627" s="140"/>
    </row>
    <row r="628" ht="13.5" customHeight="1">
      <c r="A628" s="143">
        <v>2.0</v>
      </c>
      <c r="B628" s="144" t="s">
        <v>147</v>
      </c>
      <c r="C628" s="129"/>
      <c r="D628" s="111"/>
      <c r="E628" s="145">
        <f t="shared" ref="E628:J628" si="157">E17+E35+E53+E71+E89+E107+E125+E143+E161+E179+E197+E215+E233+E251+E269+E287+E305+E323+E341+E359+E377+E395+E413+E431+E449</f>
        <v>0</v>
      </c>
      <c r="F628" s="145">
        <f t="shared" si="157"/>
        <v>28</v>
      </c>
      <c r="G628" s="145">
        <f t="shared" si="157"/>
        <v>23</v>
      </c>
      <c r="H628" s="145">
        <f t="shared" si="157"/>
        <v>13</v>
      </c>
      <c r="I628" s="145">
        <f t="shared" si="157"/>
        <v>19</v>
      </c>
      <c r="J628" s="146">
        <f t="shared" si="157"/>
        <v>24</v>
      </c>
      <c r="K628" s="147"/>
      <c r="L628" s="2"/>
      <c r="M628" s="2"/>
      <c r="N628" s="3"/>
    </row>
    <row r="629" ht="13.5" customHeight="1">
      <c r="A629" s="68"/>
      <c r="B629" s="148" t="s">
        <v>148</v>
      </c>
      <c r="C629" s="129"/>
      <c r="D629" s="54"/>
      <c r="E629" s="149">
        <f t="shared" ref="E629:J629" si="158">E19+E37+E55+E73+E91+E109+E127+E145+E163+E181+E199+E217+E235+E253+E271+E289+E307+E325+E343+E361+E379+E397+E415+E433+E451+E466+E479+E492+E505+E518+E531+E544+E557+E570+E583</f>
        <v>0</v>
      </c>
      <c r="F629" s="149">
        <f t="shared" si="158"/>
        <v>32</v>
      </c>
      <c r="G629" s="149">
        <f t="shared" si="158"/>
        <v>31</v>
      </c>
      <c r="H629" s="149">
        <f t="shared" si="158"/>
        <v>23</v>
      </c>
      <c r="I629" s="149">
        <f t="shared" si="158"/>
        <v>21</v>
      </c>
      <c r="J629" s="150">
        <f t="shared" si="158"/>
        <v>31</v>
      </c>
      <c r="K629" s="38"/>
      <c r="N629" s="5"/>
    </row>
    <row r="630" ht="13.5" customHeight="1">
      <c r="A630" s="68"/>
      <c r="B630" s="148" t="s">
        <v>149</v>
      </c>
      <c r="C630" s="129"/>
      <c r="D630" s="54"/>
      <c r="E630" s="151">
        <f t="shared" ref="E630:J630" si="159">E20+E38+E56+E74+E92+E110+E128+E146+E164+E182+E200+E218+E236+E254+E272+E290+E308+E326+E344+E362+E380+E398+E416+E434+E452+E467+E480+E493+E506+E519+E532+E545+E558+E571+E584</f>
        <v>0</v>
      </c>
      <c r="F630" s="151">
        <f t="shared" si="159"/>
        <v>0</v>
      </c>
      <c r="G630" s="151">
        <f t="shared" si="159"/>
        <v>0</v>
      </c>
      <c r="H630" s="151">
        <f t="shared" si="159"/>
        <v>0</v>
      </c>
      <c r="I630" s="151">
        <f t="shared" si="159"/>
        <v>0</v>
      </c>
      <c r="J630" s="152">
        <f t="shared" si="159"/>
        <v>0</v>
      </c>
      <c r="K630" s="38"/>
      <c r="N630" s="5"/>
    </row>
    <row r="631" ht="13.5" customHeight="1">
      <c r="A631" s="68"/>
      <c r="B631" s="148" t="s">
        <v>150</v>
      </c>
      <c r="C631" s="129"/>
      <c r="D631" s="54"/>
      <c r="E631" s="153">
        <f t="shared" ref="E631:J631" si="160">E18+E36+E54+E72+E90+E108+E126+E144+E162+E180+E198+E216+E234+E252+E270+E288+E306+E324+E342+E360+E378+E396+E414+E432+E450+E465+E478+E491+E504+E517+E530+E543+E556+E569+E582</f>
        <v>0</v>
      </c>
      <c r="F631" s="153">
        <f t="shared" si="160"/>
        <v>3</v>
      </c>
      <c r="G631" s="153">
        <f t="shared" si="160"/>
        <v>8</v>
      </c>
      <c r="H631" s="153">
        <f t="shared" si="160"/>
        <v>5</v>
      </c>
      <c r="I631" s="153">
        <f t="shared" si="160"/>
        <v>4</v>
      </c>
      <c r="J631" s="154">
        <f t="shared" si="160"/>
        <v>10</v>
      </c>
      <c r="K631" s="38"/>
      <c r="N631" s="5"/>
    </row>
    <row r="632" ht="13.5" customHeight="1">
      <c r="A632" s="80"/>
      <c r="B632" s="155" t="s">
        <v>151</v>
      </c>
      <c r="C632" s="24"/>
      <c r="D632" s="33"/>
      <c r="E632" s="156">
        <f t="shared" ref="E632:J632" si="161">(E629+E630)</f>
        <v>0</v>
      </c>
      <c r="F632" s="156">
        <f t="shared" si="161"/>
        <v>32</v>
      </c>
      <c r="G632" s="156">
        <f t="shared" si="161"/>
        <v>31</v>
      </c>
      <c r="H632" s="156">
        <f t="shared" si="161"/>
        <v>23</v>
      </c>
      <c r="I632" s="156">
        <f t="shared" si="161"/>
        <v>21</v>
      </c>
      <c r="J632" s="157">
        <f t="shared" si="161"/>
        <v>31</v>
      </c>
      <c r="K632" s="126"/>
      <c r="L632" s="24"/>
      <c r="M632" s="24"/>
      <c r="N632" s="25"/>
    </row>
    <row r="633" ht="13.5" customHeight="1">
      <c r="A633" s="139"/>
      <c r="B633" s="140"/>
      <c r="C633" s="140"/>
      <c r="D633" s="140"/>
      <c r="E633" s="141" t="s">
        <v>7</v>
      </c>
      <c r="F633" s="141" t="s">
        <v>145</v>
      </c>
      <c r="G633" s="141" t="s">
        <v>9</v>
      </c>
      <c r="H633" s="141" t="s">
        <v>10</v>
      </c>
      <c r="I633" s="141" t="s">
        <v>11</v>
      </c>
      <c r="J633" s="142" t="s">
        <v>146</v>
      </c>
      <c r="K633" s="140"/>
      <c r="L633" s="140"/>
      <c r="M633" s="140"/>
      <c r="N633" s="140"/>
    </row>
    <row r="634" ht="13.5" customHeight="1">
      <c r="A634" s="143">
        <v>3.0</v>
      </c>
      <c r="B634" s="144" t="s">
        <v>147</v>
      </c>
      <c r="C634" s="129"/>
      <c r="D634" s="111"/>
      <c r="E634" s="145">
        <f t="shared" ref="E634:J634" si="162">E21+E39+E57+E75+E93+E111+E129+E147+E165+E183+E201+E219+E237+E255+E273+E291+E309+E327+E345+E363+E381+E399+E417+E435+E453</f>
        <v>0</v>
      </c>
      <c r="F634" s="145">
        <f t="shared" si="162"/>
        <v>32</v>
      </c>
      <c r="G634" s="145">
        <f t="shared" si="162"/>
        <v>27</v>
      </c>
      <c r="H634" s="145">
        <f t="shared" si="162"/>
        <v>20</v>
      </c>
      <c r="I634" s="145">
        <f t="shared" si="162"/>
        <v>17</v>
      </c>
      <c r="J634" s="146">
        <f t="shared" si="162"/>
        <v>28</v>
      </c>
      <c r="K634" s="147"/>
      <c r="L634" s="2"/>
      <c r="M634" s="2"/>
      <c r="N634" s="3"/>
    </row>
    <row r="635" ht="13.5" customHeight="1">
      <c r="A635" s="68"/>
      <c r="B635" s="148" t="s">
        <v>148</v>
      </c>
      <c r="C635" s="129"/>
      <c r="D635" s="54"/>
      <c r="E635" s="158">
        <f t="shared" ref="E635:J635" si="163">E23+E41+E59+E77+E95+E113+E131+E149+E167+E185+E203+E221+E239+E257+E275+E293+E311+E329+E347+E365+E383+E401+E419+E437+E455+E469+E482+E495+E508+E521+E534+E547+E573+E586</f>
        <v>0</v>
      </c>
      <c r="F635" s="158">
        <f t="shared" si="163"/>
        <v>42</v>
      </c>
      <c r="G635" s="158">
        <f t="shared" si="163"/>
        <v>13</v>
      </c>
      <c r="H635" s="158">
        <f t="shared" si="163"/>
        <v>11</v>
      </c>
      <c r="I635" s="158">
        <f t="shared" si="163"/>
        <v>11</v>
      </c>
      <c r="J635" s="159">
        <f t="shared" si="163"/>
        <v>14</v>
      </c>
      <c r="K635" s="38"/>
      <c r="N635" s="5"/>
    </row>
    <row r="636" ht="13.5" customHeight="1">
      <c r="A636" s="68"/>
      <c r="B636" s="148" t="s">
        <v>149</v>
      </c>
      <c r="C636" s="129"/>
      <c r="D636" s="54"/>
      <c r="E636" s="160">
        <f t="shared" ref="E636:J636" si="164">E24+E42+E60+E78+E96+E114+E132+E150+E168+E186+E204+E222+E240+E258+E276+E294+E312+E330+E348+E366+E384+E402+E420+E438+E456+E470+E483+E496+E509+E522+E535+E548+E561+E574+E587</f>
        <v>0</v>
      </c>
      <c r="F636" s="160">
        <f t="shared" si="164"/>
        <v>0</v>
      </c>
      <c r="G636" s="160">
        <f t="shared" si="164"/>
        <v>0</v>
      </c>
      <c r="H636" s="160">
        <f t="shared" si="164"/>
        <v>0</v>
      </c>
      <c r="I636" s="160">
        <f t="shared" si="164"/>
        <v>0</v>
      </c>
      <c r="J636" s="161">
        <f t="shared" si="164"/>
        <v>0</v>
      </c>
      <c r="K636" s="38"/>
      <c r="N636" s="5"/>
    </row>
    <row r="637" ht="13.5" customHeight="1">
      <c r="A637" s="68"/>
      <c r="B637" s="148" t="s">
        <v>150</v>
      </c>
      <c r="C637" s="129"/>
      <c r="D637" s="54"/>
      <c r="E637" s="162">
        <f t="shared" ref="E637:J637" si="165">E22+E40+E58+E76+E94+E112+E130+E148+E166+E184+E202+E220+E238+E256+E274+E292+E310+E328+E346+E364+E382+E400+E418+E436+E454+E468+E481+E494+E507+E520+E533+E546+E559+E572+E585</f>
        <v>0</v>
      </c>
      <c r="F637" s="162">
        <f t="shared" si="165"/>
        <v>0</v>
      </c>
      <c r="G637" s="162">
        <f t="shared" si="165"/>
        <v>4</v>
      </c>
      <c r="H637" s="162">
        <f t="shared" si="165"/>
        <v>3</v>
      </c>
      <c r="I637" s="162">
        <f t="shared" si="165"/>
        <v>4</v>
      </c>
      <c r="J637" s="163">
        <f t="shared" si="165"/>
        <v>3</v>
      </c>
      <c r="K637" s="38"/>
      <c r="N637" s="5"/>
    </row>
    <row r="638" ht="13.5" customHeight="1">
      <c r="A638" s="80"/>
      <c r="B638" s="155" t="s">
        <v>151</v>
      </c>
      <c r="C638" s="24"/>
      <c r="D638" s="33"/>
      <c r="E638" s="164">
        <f t="shared" ref="E638:J638" si="166">(E635+E636)</f>
        <v>0</v>
      </c>
      <c r="F638" s="164">
        <f t="shared" si="166"/>
        <v>42</v>
      </c>
      <c r="G638" s="164">
        <f t="shared" si="166"/>
        <v>13</v>
      </c>
      <c r="H638" s="164">
        <f t="shared" si="166"/>
        <v>11</v>
      </c>
      <c r="I638" s="164">
        <f t="shared" si="166"/>
        <v>11</v>
      </c>
      <c r="J638" s="165">
        <f t="shared" si="166"/>
        <v>14</v>
      </c>
      <c r="K638" s="126"/>
      <c r="L638" s="24"/>
      <c r="M638" s="24"/>
      <c r="N638" s="25"/>
    </row>
    <row r="639" ht="13.5" customHeight="1">
      <c r="A639" s="139"/>
      <c r="B639" s="140"/>
      <c r="C639" s="140"/>
      <c r="D639" s="140"/>
      <c r="E639" s="141" t="s">
        <v>7</v>
      </c>
      <c r="F639" s="141" t="s">
        <v>145</v>
      </c>
      <c r="G639" s="141" t="s">
        <v>9</v>
      </c>
      <c r="H639" s="141" t="s">
        <v>10</v>
      </c>
      <c r="I639" s="141" t="s">
        <v>11</v>
      </c>
      <c r="J639" s="142" t="s">
        <v>146</v>
      </c>
      <c r="K639" s="140"/>
      <c r="L639" s="140"/>
      <c r="M639" s="140"/>
      <c r="N639" s="140"/>
    </row>
    <row r="640" ht="13.5" customHeight="1">
      <c r="A640" s="143">
        <v>4.0</v>
      </c>
      <c r="B640" s="144" t="s">
        <v>147</v>
      </c>
      <c r="C640" s="129"/>
      <c r="D640" s="111"/>
      <c r="E640" s="145">
        <f t="shared" ref="E640:J640" si="167">E25+E43+E61+E79+E97+E115+E133+E151+E169+E187+E205+E223+E241+E259+E277+E295+E313+E331+E349+E367+E385+E403+E421+E439+E457</f>
        <v>0</v>
      </c>
      <c r="F640" s="145">
        <f t="shared" si="167"/>
        <v>12</v>
      </c>
      <c r="G640" s="145">
        <f t="shared" si="167"/>
        <v>13</v>
      </c>
      <c r="H640" s="145">
        <f t="shared" si="167"/>
        <v>11</v>
      </c>
      <c r="I640" s="145">
        <f t="shared" si="167"/>
        <v>11</v>
      </c>
      <c r="J640" s="146">
        <f t="shared" si="167"/>
        <v>14</v>
      </c>
      <c r="K640" s="147"/>
      <c r="L640" s="2"/>
      <c r="M640" s="2"/>
      <c r="N640" s="3"/>
    </row>
    <row r="641" ht="13.5" customHeight="1">
      <c r="A641" s="68"/>
      <c r="B641" s="148" t="s">
        <v>148</v>
      </c>
      <c r="C641" s="129"/>
      <c r="D641" s="54"/>
      <c r="E641" s="149">
        <f t="shared" ref="E641:J641" si="168">E27+E45+E63+E81+E99+E117+E135+E153+E171+E189+E207+E225+E243+E261+E279+E297+E315+E333+E351+E369+E387+E405+E423+E441+E459+E472+E485+E498+E511+E524+E537+E550+E563+E576+E589</f>
        <v>0</v>
      </c>
      <c r="F641" s="149">
        <f t="shared" si="168"/>
        <v>0</v>
      </c>
      <c r="G641" s="149">
        <f t="shared" si="168"/>
        <v>0</v>
      </c>
      <c r="H641" s="149">
        <f t="shared" si="168"/>
        <v>0</v>
      </c>
      <c r="I641" s="149">
        <f t="shared" si="168"/>
        <v>0</v>
      </c>
      <c r="J641" s="150">
        <f t="shared" si="168"/>
        <v>0</v>
      </c>
      <c r="K641" s="38"/>
      <c r="N641" s="5"/>
    </row>
    <row r="642" ht="13.5" customHeight="1">
      <c r="A642" s="68"/>
      <c r="B642" s="148" t="s">
        <v>149</v>
      </c>
      <c r="C642" s="129"/>
      <c r="D642" s="54"/>
      <c r="E642" s="151">
        <f t="shared" ref="E642:J642" si="169">E28+E46+E64+E82+E100+E118+E136+E154+E172+E190+E208+E226+E244+E262+E280+E298+E316+E334+E352+E370+E388+E406+E424+E442+E460+E473+E486+E499+E512+E525+E538+E551+E564+E577+E590</f>
        <v>0</v>
      </c>
      <c r="F642" s="151">
        <f t="shared" si="169"/>
        <v>0</v>
      </c>
      <c r="G642" s="151">
        <f t="shared" si="169"/>
        <v>0</v>
      </c>
      <c r="H642" s="151">
        <f t="shared" si="169"/>
        <v>0</v>
      </c>
      <c r="I642" s="151">
        <f t="shared" si="169"/>
        <v>0</v>
      </c>
      <c r="J642" s="152">
        <f t="shared" si="169"/>
        <v>0</v>
      </c>
      <c r="K642" s="38"/>
      <c r="N642" s="5"/>
    </row>
    <row r="643" ht="13.5" customHeight="1">
      <c r="A643" s="68"/>
      <c r="B643" s="148" t="s">
        <v>150</v>
      </c>
      <c r="C643" s="129"/>
      <c r="D643" s="54"/>
      <c r="E643" s="153">
        <f t="shared" ref="E643:J643" si="170">E26+E44+E62+E80+E98+E116+E134+E152+E170+E188+E206+E224+E242+E260+E278+E296+E314+E332+E350+E368+E386+E404+E422+E440+E458+E471+E484+E497+E510+E523+E536+E549+E562+E575+E588</f>
        <v>0</v>
      </c>
      <c r="F643" s="153">
        <f t="shared" si="170"/>
        <v>0</v>
      </c>
      <c r="G643" s="153">
        <f t="shared" si="170"/>
        <v>0</v>
      </c>
      <c r="H643" s="153">
        <f t="shared" si="170"/>
        <v>0</v>
      </c>
      <c r="I643" s="153">
        <f t="shared" si="170"/>
        <v>0</v>
      </c>
      <c r="J643" s="154">
        <f t="shared" si="170"/>
        <v>0</v>
      </c>
      <c r="K643" s="38"/>
      <c r="N643" s="5"/>
    </row>
    <row r="644" ht="13.5" customHeight="1">
      <c r="A644" s="80"/>
      <c r="B644" s="155" t="s">
        <v>151</v>
      </c>
      <c r="C644" s="24"/>
      <c r="D644" s="33"/>
      <c r="E644" s="156">
        <f t="shared" ref="E644:J644" si="171">(E641+E642)</f>
        <v>0</v>
      </c>
      <c r="F644" s="156">
        <f t="shared" si="171"/>
        <v>0</v>
      </c>
      <c r="G644" s="156">
        <f t="shared" si="171"/>
        <v>0</v>
      </c>
      <c r="H644" s="156">
        <f t="shared" si="171"/>
        <v>0</v>
      </c>
      <c r="I644" s="156">
        <f t="shared" si="171"/>
        <v>0</v>
      </c>
      <c r="J644" s="157">
        <f t="shared" si="171"/>
        <v>0</v>
      </c>
      <c r="K644" s="126"/>
      <c r="L644" s="24"/>
      <c r="M644" s="24"/>
      <c r="N644" s="25"/>
    </row>
    <row r="645" ht="13.5" customHeight="1">
      <c r="A645" s="166" t="s">
        <v>152</v>
      </c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5"/>
    </row>
    <row r="646" ht="13.5" customHeight="1">
      <c r="A646" s="139"/>
      <c r="B646" s="140"/>
      <c r="C646" s="140"/>
      <c r="D646" s="140"/>
      <c r="E646" s="141" t="s">
        <v>7</v>
      </c>
      <c r="F646" s="141" t="s">
        <v>145</v>
      </c>
      <c r="G646" s="141" t="s">
        <v>9</v>
      </c>
      <c r="H646" s="141" t="s">
        <v>10</v>
      </c>
      <c r="I646" s="141" t="s">
        <v>11</v>
      </c>
      <c r="J646" s="142" t="s">
        <v>146</v>
      </c>
      <c r="K646" s="140"/>
      <c r="L646" s="140"/>
      <c r="M646" s="140"/>
      <c r="N646" s="140"/>
    </row>
    <row r="647" ht="13.5" customHeight="1">
      <c r="A647" s="167" t="s">
        <v>2</v>
      </c>
      <c r="B647" s="144" t="s">
        <v>147</v>
      </c>
      <c r="C647" s="129"/>
      <c r="D647" s="111"/>
      <c r="E647" s="145">
        <f t="shared" ref="E647:J647" si="172">E622+E628+E634+E640</f>
        <v>0</v>
      </c>
      <c r="F647" s="145">
        <f t="shared" si="172"/>
        <v>69</v>
      </c>
      <c r="G647" s="145">
        <f t="shared" si="172"/>
        <v>56</v>
      </c>
      <c r="H647" s="145">
        <f t="shared" si="172"/>
        <v>34</v>
      </c>
      <c r="I647" s="145">
        <f t="shared" si="172"/>
        <v>44</v>
      </c>
      <c r="J647" s="146">
        <f t="shared" si="172"/>
        <v>58</v>
      </c>
      <c r="K647" s="147"/>
      <c r="L647" s="2"/>
      <c r="M647" s="2"/>
      <c r="N647" s="3"/>
    </row>
    <row r="648" ht="13.5" customHeight="1">
      <c r="A648" s="68"/>
      <c r="B648" s="148" t="s">
        <v>148</v>
      </c>
      <c r="C648" s="129"/>
      <c r="D648" s="54"/>
      <c r="E648" s="149">
        <f t="shared" ref="E648:J648" si="173">E623+E629+E635+E641</f>
        <v>0</v>
      </c>
      <c r="F648" s="149">
        <f t="shared" si="173"/>
        <v>105</v>
      </c>
      <c r="G648" s="149">
        <f t="shared" si="173"/>
        <v>75</v>
      </c>
      <c r="H648" s="149">
        <f t="shared" si="173"/>
        <v>52</v>
      </c>
      <c r="I648" s="149">
        <f t="shared" si="173"/>
        <v>55</v>
      </c>
      <c r="J648" s="150">
        <f t="shared" si="173"/>
        <v>79</v>
      </c>
      <c r="K648" s="38"/>
      <c r="N648" s="5"/>
    </row>
    <row r="649" ht="13.5" customHeight="1">
      <c r="A649" s="68"/>
      <c r="B649" s="148" t="s">
        <v>149</v>
      </c>
      <c r="C649" s="129"/>
      <c r="D649" s="54"/>
      <c r="E649" s="151">
        <f t="shared" ref="E649:J649" si="174">E624+E630+E636+E642</f>
        <v>0</v>
      </c>
      <c r="F649" s="151">
        <f t="shared" si="174"/>
        <v>0</v>
      </c>
      <c r="G649" s="151">
        <f t="shared" si="174"/>
        <v>0</v>
      </c>
      <c r="H649" s="151">
        <f t="shared" si="174"/>
        <v>0</v>
      </c>
      <c r="I649" s="151">
        <f t="shared" si="174"/>
        <v>0</v>
      </c>
      <c r="J649" s="152">
        <f t="shared" si="174"/>
        <v>0</v>
      </c>
      <c r="K649" s="38"/>
      <c r="N649" s="5"/>
    </row>
    <row r="650" ht="13.5" customHeight="1">
      <c r="A650" s="68"/>
      <c r="B650" s="148" t="s">
        <v>153</v>
      </c>
      <c r="C650" s="129"/>
      <c r="D650" s="54"/>
      <c r="E650" s="153">
        <f t="shared" ref="E650:J650" si="175">E625+E631+E637+E643</f>
        <v>0</v>
      </c>
      <c r="F650" s="153">
        <f t="shared" si="175"/>
        <v>6</v>
      </c>
      <c r="G650" s="153">
        <f t="shared" si="175"/>
        <v>19</v>
      </c>
      <c r="H650" s="153">
        <f t="shared" si="175"/>
        <v>18</v>
      </c>
      <c r="I650" s="153">
        <f t="shared" si="175"/>
        <v>11</v>
      </c>
      <c r="J650" s="154">
        <f t="shared" si="175"/>
        <v>21</v>
      </c>
      <c r="K650" s="38"/>
      <c r="N650" s="5"/>
    </row>
    <row r="651" ht="13.5" customHeight="1">
      <c r="A651" s="80"/>
      <c r="B651" s="155" t="s">
        <v>151</v>
      </c>
      <c r="C651" s="24"/>
      <c r="D651" s="25"/>
      <c r="E651" s="156">
        <f t="shared" ref="E651:J651" si="176">(E648+E649)-E650</f>
        <v>0</v>
      </c>
      <c r="F651" s="156">
        <f t="shared" si="176"/>
        <v>99</v>
      </c>
      <c r="G651" s="156">
        <f t="shared" si="176"/>
        <v>56</v>
      </c>
      <c r="H651" s="156">
        <f t="shared" si="176"/>
        <v>34</v>
      </c>
      <c r="I651" s="156">
        <f t="shared" si="176"/>
        <v>44</v>
      </c>
      <c r="J651" s="157">
        <f t="shared" si="176"/>
        <v>58</v>
      </c>
      <c r="K651" s="126"/>
      <c r="L651" s="24"/>
      <c r="M651" s="24"/>
      <c r="N651" s="25"/>
    </row>
  </sheetData>
  <mergeCells count="1188">
    <mergeCell ref="B327:B328"/>
    <mergeCell ref="B331:B332"/>
    <mergeCell ref="C331:D331"/>
    <mergeCell ref="A332:A334"/>
    <mergeCell ref="C332:D332"/>
    <mergeCell ref="C333:D333"/>
    <mergeCell ref="C334:D334"/>
    <mergeCell ref="B335:D335"/>
    <mergeCell ref="C336:D336"/>
    <mergeCell ref="C337:D337"/>
    <mergeCell ref="C338:D338"/>
    <mergeCell ref="A339:A340"/>
    <mergeCell ref="C339:D339"/>
    <mergeCell ref="C340:D340"/>
    <mergeCell ref="C398:D398"/>
    <mergeCell ref="C399:D399"/>
    <mergeCell ref="B391:B392"/>
    <mergeCell ref="B395:B396"/>
    <mergeCell ref="C395:D395"/>
    <mergeCell ref="C396:D396"/>
    <mergeCell ref="C397:D397"/>
    <mergeCell ref="B399:B400"/>
    <mergeCell ref="C400:D400"/>
    <mergeCell ref="C404:D404"/>
    <mergeCell ref="C405:D405"/>
    <mergeCell ref="A396:A397"/>
    <mergeCell ref="A401:A402"/>
    <mergeCell ref="C401:D401"/>
    <mergeCell ref="C402:D402"/>
    <mergeCell ref="B403:B404"/>
    <mergeCell ref="C403:D403"/>
    <mergeCell ref="A404:A406"/>
    <mergeCell ref="C411:D411"/>
    <mergeCell ref="C412:D412"/>
    <mergeCell ref="C406:D406"/>
    <mergeCell ref="B407:D407"/>
    <mergeCell ref="C408:D408"/>
    <mergeCell ref="B409:B410"/>
    <mergeCell ref="C409:D409"/>
    <mergeCell ref="C410:D410"/>
    <mergeCell ref="A411:A412"/>
    <mergeCell ref="C417:D417"/>
    <mergeCell ref="C418:D418"/>
    <mergeCell ref="B413:B414"/>
    <mergeCell ref="C413:D413"/>
    <mergeCell ref="A414:A415"/>
    <mergeCell ref="C414:D414"/>
    <mergeCell ref="C415:D415"/>
    <mergeCell ref="C416:D416"/>
    <mergeCell ref="B417:B418"/>
    <mergeCell ref="C423:D423"/>
    <mergeCell ref="C424:D424"/>
    <mergeCell ref="A419:A420"/>
    <mergeCell ref="C419:D419"/>
    <mergeCell ref="C420:D420"/>
    <mergeCell ref="B421:B422"/>
    <mergeCell ref="C421:D421"/>
    <mergeCell ref="A422:A424"/>
    <mergeCell ref="C422:D422"/>
    <mergeCell ref="B427:B428"/>
    <mergeCell ref="B431:B432"/>
    <mergeCell ref="B425:D425"/>
    <mergeCell ref="C426:D426"/>
    <mergeCell ref="C427:D427"/>
    <mergeCell ref="C428:D428"/>
    <mergeCell ref="C429:D429"/>
    <mergeCell ref="C430:D430"/>
    <mergeCell ref="C431:D431"/>
    <mergeCell ref="B381:B382"/>
    <mergeCell ref="B385:B386"/>
    <mergeCell ref="C385:D385"/>
    <mergeCell ref="A386:A388"/>
    <mergeCell ref="C386:D386"/>
    <mergeCell ref="C387:D387"/>
    <mergeCell ref="C388:D388"/>
    <mergeCell ref="B389:D389"/>
    <mergeCell ref="C390:D390"/>
    <mergeCell ref="C391:D391"/>
    <mergeCell ref="C392:D392"/>
    <mergeCell ref="A393:A394"/>
    <mergeCell ref="C393:D393"/>
    <mergeCell ref="C394:D394"/>
    <mergeCell ref="A432:A433"/>
    <mergeCell ref="A437:A438"/>
    <mergeCell ref="A429:A430"/>
    <mergeCell ref="C432:D432"/>
    <mergeCell ref="C433:D433"/>
    <mergeCell ref="C434:D434"/>
    <mergeCell ref="B435:B436"/>
    <mergeCell ref="C435:D435"/>
    <mergeCell ref="C436:D436"/>
    <mergeCell ref="C195:D195"/>
    <mergeCell ref="C196:D196"/>
    <mergeCell ref="C190:D190"/>
    <mergeCell ref="B191:D191"/>
    <mergeCell ref="C192:D192"/>
    <mergeCell ref="B193:B194"/>
    <mergeCell ref="C193:D193"/>
    <mergeCell ref="C194:D194"/>
    <mergeCell ref="A195:A196"/>
    <mergeCell ref="C201:D201"/>
    <mergeCell ref="C202:D202"/>
    <mergeCell ref="B197:B198"/>
    <mergeCell ref="C197:D197"/>
    <mergeCell ref="A198:A199"/>
    <mergeCell ref="C198:D198"/>
    <mergeCell ref="C199:D199"/>
    <mergeCell ref="C200:D200"/>
    <mergeCell ref="B201:B202"/>
    <mergeCell ref="C207:D207"/>
    <mergeCell ref="C208:D208"/>
    <mergeCell ref="A203:A204"/>
    <mergeCell ref="C203:D203"/>
    <mergeCell ref="C204:D204"/>
    <mergeCell ref="B205:B206"/>
    <mergeCell ref="C205:D205"/>
    <mergeCell ref="A206:A208"/>
    <mergeCell ref="C206:D206"/>
    <mergeCell ref="C437:D437"/>
    <mergeCell ref="C438:D438"/>
    <mergeCell ref="B439:B440"/>
    <mergeCell ref="C439:D439"/>
    <mergeCell ref="A440:A442"/>
    <mergeCell ref="C440:D440"/>
    <mergeCell ref="C441:D441"/>
    <mergeCell ref="C459:D459"/>
    <mergeCell ref="C460:D460"/>
    <mergeCell ref="A455:A456"/>
    <mergeCell ref="C455:D455"/>
    <mergeCell ref="C456:D456"/>
    <mergeCell ref="C457:D457"/>
    <mergeCell ref="C458:D458"/>
    <mergeCell ref="B461:D461"/>
    <mergeCell ref="C462:D462"/>
    <mergeCell ref="C477:D477"/>
    <mergeCell ref="C478:D478"/>
    <mergeCell ref="C470:D470"/>
    <mergeCell ref="C471:D471"/>
    <mergeCell ref="C472:D472"/>
    <mergeCell ref="C473:D473"/>
    <mergeCell ref="B474:D474"/>
    <mergeCell ref="C475:D475"/>
    <mergeCell ref="C476:D476"/>
    <mergeCell ref="B481:B482"/>
    <mergeCell ref="B484:B485"/>
    <mergeCell ref="B488:B489"/>
    <mergeCell ref="B491:B492"/>
    <mergeCell ref="B494:B495"/>
    <mergeCell ref="B457:B458"/>
    <mergeCell ref="B462:B463"/>
    <mergeCell ref="B465:B466"/>
    <mergeCell ref="B468:B469"/>
    <mergeCell ref="B471:B472"/>
    <mergeCell ref="B475:B476"/>
    <mergeCell ref="B478:B479"/>
    <mergeCell ref="C486:D486"/>
    <mergeCell ref="B487:D487"/>
    <mergeCell ref="C488:D488"/>
    <mergeCell ref="C479:D479"/>
    <mergeCell ref="C480:D480"/>
    <mergeCell ref="C481:D481"/>
    <mergeCell ref="C482:D482"/>
    <mergeCell ref="C483:D483"/>
    <mergeCell ref="C484:D484"/>
    <mergeCell ref="C485:D485"/>
    <mergeCell ref="C492:D492"/>
    <mergeCell ref="C493:D493"/>
    <mergeCell ref="C494:D494"/>
    <mergeCell ref="A482:A483"/>
    <mergeCell ref="A485:A486"/>
    <mergeCell ref="A489:A490"/>
    <mergeCell ref="C489:D489"/>
    <mergeCell ref="C490:D490"/>
    <mergeCell ref="C491:D491"/>
    <mergeCell ref="A492:A493"/>
    <mergeCell ref="C447:D447"/>
    <mergeCell ref="C448:D448"/>
    <mergeCell ref="C442:D442"/>
    <mergeCell ref="B443:D443"/>
    <mergeCell ref="C444:D444"/>
    <mergeCell ref="B445:B446"/>
    <mergeCell ref="C445:D445"/>
    <mergeCell ref="C446:D446"/>
    <mergeCell ref="A447:A448"/>
    <mergeCell ref="C453:D453"/>
    <mergeCell ref="C454:D454"/>
    <mergeCell ref="B449:B450"/>
    <mergeCell ref="C449:D449"/>
    <mergeCell ref="A450:A451"/>
    <mergeCell ref="C450:D450"/>
    <mergeCell ref="C451:D451"/>
    <mergeCell ref="C452:D452"/>
    <mergeCell ref="B453:B454"/>
    <mergeCell ref="C463:D463"/>
    <mergeCell ref="C464:D464"/>
    <mergeCell ref="C465:D465"/>
    <mergeCell ref="C466:D466"/>
    <mergeCell ref="C467:D467"/>
    <mergeCell ref="C468:D468"/>
    <mergeCell ref="C469:D469"/>
    <mergeCell ref="A458:A460"/>
    <mergeCell ref="A463:A464"/>
    <mergeCell ref="A466:A467"/>
    <mergeCell ref="A469:A470"/>
    <mergeCell ref="A472:A473"/>
    <mergeCell ref="A476:A477"/>
    <mergeCell ref="A479:A480"/>
    <mergeCell ref="A495:A496"/>
    <mergeCell ref="C495:D495"/>
    <mergeCell ref="C496:D496"/>
    <mergeCell ref="B497:B498"/>
    <mergeCell ref="C497:D497"/>
    <mergeCell ref="A498:A499"/>
    <mergeCell ref="C498:D498"/>
    <mergeCell ref="C522:D522"/>
    <mergeCell ref="C523:D523"/>
    <mergeCell ref="C515:D515"/>
    <mergeCell ref="C516:D516"/>
    <mergeCell ref="C517:D517"/>
    <mergeCell ref="C518:D518"/>
    <mergeCell ref="C519:D519"/>
    <mergeCell ref="C520:D520"/>
    <mergeCell ref="C521:D521"/>
    <mergeCell ref="C503:D503"/>
    <mergeCell ref="C504:D504"/>
    <mergeCell ref="B504:B505"/>
    <mergeCell ref="C505:D505"/>
    <mergeCell ref="C499:D499"/>
    <mergeCell ref="B500:D500"/>
    <mergeCell ref="B501:B502"/>
    <mergeCell ref="C501:D501"/>
    <mergeCell ref="A502:A503"/>
    <mergeCell ref="C502:D502"/>
    <mergeCell ref="C506:D506"/>
    <mergeCell ref="B513:D513"/>
    <mergeCell ref="C514:D514"/>
    <mergeCell ref="C507:D507"/>
    <mergeCell ref="C508:D508"/>
    <mergeCell ref="C509:D509"/>
    <mergeCell ref="C510:D510"/>
    <mergeCell ref="C511:D511"/>
    <mergeCell ref="C512:D512"/>
    <mergeCell ref="B514:B515"/>
    <mergeCell ref="B517:B518"/>
    <mergeCell ref="B520:B521"/>
    <mergeCell ref="B523:B524"/>
    <mergeCell ref="B527:B528"/>
    <mergeCell ref="A505:A506"/>
    <mergeCell ref="B507:B508"/>
    <mergeCell ref="A508:A509"/>
    <mergeCell ref="B510:B511"/>
    <mergeCell ref="A511:A512"/>
    <mergeCell ref="A515:A516"/>
    <mergeCell ref="A518:A519"/>
    <mergeCell ref="C549:D549"/>
    <mergeCell ref="C550:D550"/>
    <mergeCell ref="C542:D542"/>
    <mergeCell ref="C543:D543"/>
    <mergeCell ref="C544:D544"/>
    <mergeCell ref="C545:D545"/>
    <mergeCell ref="C546:D546"/>
    <mergeCell ref="C547:D547"/>
    <mergeCell ref="C548:D548"/>
    <mergeCell ref="C556:D556"/>
    <mergeCell ref="C557:D557"/>
    <mergeCell ref="B546:B547"/>
    <mergeCell ref="B549:B550"/>
    <mergeCell ref="C551:D551"/>
    <mergeCell ref="B552:D552"/>
    <mergeCell ref="C553:D553"/>
    <mergeCell ref="C554:D554"/>
    <mergeCell ref="C555:D555"/>
    <mergeCell ref="B562:B563"/>
    <mergeCell ref="B566:B567"/>
    <mergeCell ref="C560:D560"/>
    <mergeCell ref="C561:D561"/>
    <mergeCell ref="C562:D562"/>
    <mergeCell ref="C563:D563"/>
    <mergeCell ref="C564:D564"/>
    <mergeCell ref="B565:D565"/>
    <mergeCell ref="C566:D566"/>
    <mergeCell ref="A583:A584"/>
    <mergeCell ref="B585:B586"/>
    <mergeCell ref="A586:A587"/>
    <mergeCell ref="B588:B589"/>
    <mergeCell ref="A589:A590"/>
    <mergeCell ref="A592:B592"/>
    <mergeCell ref="A593:B598"/>
    <mergeCell ref="A599:B599"/>
    <mergeCell ref="A600:B605"/>
    <mergeCell ref="A606:B606"/>
    <mergeCell ref="A607:B612"/>
    <mergeCell ref="A613:B613"/>
    <mergeCell ref="A614:B619"/>
    <mergeCell ref="A622:A626"/>
    <mergeCell ref="B582:B583"/>
    <mergeCell ref="C583:D583"/>
    <mergeCell ref="C577:D577"/>
    <mergeCell ref="B578:D578"/>
    <mergeCell ref="B579:B580"/>
    <mergeCell ref="C579:D579"/>
    <mergeCell ref="A580:A581"/>
    <mergeCell ref="C580:D580"/>
    <mergeCell ref="C584:D584"/>
    <mergeCell ref="C585:D585"/>
    <mergeCell ref="C586:D586"/>
    <mergeCell ref="C587:D587"/>
    <mergeCell ref="C588:D588"/>
    <mergeCell ref="C589:D589"/>
    <mergeCell ref="C590:D590"/>
    <mergeCell ref="C593:D593"/>
    <mergeCell ref="C594:D594"/>
    <mergeCell ref="C595:D595"/>
    <mergeCell ref="C596:D596"/>
    <mergeCell ref="C597:D597"/>
    <mergeCell ref="C598:D598"/>
    <mergeCell ref="C600:D600"/>
    <mergeCell ref="C601:D601"/>
    <mergeCell ref="C602:D602"/>
    <mergeCell ref="C603:D603"/>
    <mergeCell ref="C604:D604"/>
    <mergeCell ref="C605:D605"/>
    <mergeCell ref="C607:D607"/>
    <mergeCell ref="C608:D608"/>
    <mergeCell ref="C609:D609"/>
    <mergeCell ref="A634:A638"/>
    <mergeCell ref="A640:A644"/>
    <mergeCell ref="A647:A651"/>
    <mergeCell ref="A628:A632"/>
    <mergeCell ref="B632:D632"/>
    <mergeCell ref="B634:D634"/>
    <mergeCell ref="B635:D635"/>
    <mergeCell ref="B636:D636"/>
    <mergeCell ref="B637:D637"/>
    <mergeCell ref="B638:D638"/>
    <mergeCell ref="B651:D651"/>
    <mergeCell ref="A557:A558"/>
    <mergeCell ref="A560:A561"/>
    <mergeCell ref="A550:A551"/>
    <mergeCell ref="B553:B554"/>
    <mergeCell ref="A554:A555"/>
    <mergeCell ref="B556:B557"/>
    <mergeCell ref="C558:D558"/>
    <mergeCell ref="B559:B560"/>
    <mergeCell ref="C559:D559"/>
    <mergeCell ref="C570:D570"/>
    <mergeCell ref="C571:D571"/>
    <mergeCell ref="A563:A564"/>
    <mergeCell ref="A567:A568"/>
    <mergeCell ref="C567:D567"/>
    <mergeCell ref="C568:D568"/>
    <mergeCell ref="B569:B570"/>
    <mergeCell ref="C569:D569"/>
    <mergeCell ref="A570:A571"/>
    <mergeCell ref="C575:D575"/>
    <mergeCell ref="C576:D576"/>
    <mergeCell ref="B572:B573"/>
    <mergeCell ref="C572:D572"/>
    <mergeCell ref="A573:A574"/>
    <mergeCell ref="C573:D573"/>
    <mergeCell ref="C574:D574"/>
    <mergeCell ref="B575:B576"/>
    <mergeCell ref="A576:A577"/>
    <mergeCell ref="C528:D528"/>
    <mergeCell ref="C529:D529"/>
    <mergeCell ref="A521:A522"/>
    <mergeCell ref="A524:A525"/>
    <mergeCell ref="C524:D524"/>
    <mergeCell ref="C525:D525"/>
    <mergeCell ref="B526:D526"/>
    <mergeCell ref="C527:D527"/>
    <mergeCell ref="A528:A529"/>
    <mergeCell ref="C533:D533"/>
    <mergeCell ref="C534:D534"/>
    <mergeCell ref="B530:B531"/>
    <mergeCell ref="C530:D530"/>
    <mergeCell ref="A531:A532"/>
    <mergeCell ref="C531:D531"/>
    <mergeCell ref="C532:D532"/>
    <mergeCell ref="A534:A535"/>
    <mergeCell ref="C535:D535"/>
    <mergeCell ref="C536:D536"/>
    <mergeCell ref="C537:D537"/>
    <mergeCell ref="C538:D538"/>
    <mergeCell ref="B539:D539"/>
    <mergeCell ref="B540:B541"/>
    <mergeCell ref="C540:D540"/>
    <mergeCell ref="C541:D541"/>
    <mergeCell ref="B533:B534"/>
    <mergeCell ref="B536:B537"/>
    <mergeCell ref="A537:A538"/>
    <mergeCell ref="A541:A542"/>
    <mergeCell ref="B543:B544"/>
    <mergeCell ref="A544:A545"/>
    <mergeCell ref="A547:A548"/>
    <mergeCell ref="C581:D581"/>
    <mergeCell ref="C582:D582"/>
    <mergeCell ref="C618:D618"/>
    <mergeCell ref="C619:D619"/>
    <mergeCell ref="C610:D610"/>
    <mergeCell ref="C611:D611"/>
    <mergeCell ref="C612:D612"/>
    <mergeCell ref="C614:D614"/>
    <mergeCell ref="C615:D615"/>
    <mergeCell ref="C616:D616"/>
    <mergeCell ref="C617:D617"/>
    <mergeCell ref="B630:D630"/>
    <mergeCell ref="B631:D631"/>
    <mergeCell ref="B622:D622"/>
    <mergeCell ref="B623:D623"/>
    <mergeCell ref="B624:D624"/>
    <mergeCell ref="B625:D625"/>
    <mergeCell ref="B626:D626"/>
    <mergeCell ref="B628:D628"/>
    <mergeCell ref="B629:D629"/>
    <mergeCell ref="B649:D649"/>
    <mergeCell ref="B650:D650"/>
    <mergeCell ref="B640:D640"/>
    <mergeCell ref="B641:D641"/>
    <mergeCell ref="B642:D642"/>
    <mergeCell ref="B643:D643"/>
    <mergeCell ref="B644:D644"/>
    <mergeCell ref="B647:D647"/>
    <mergeCell ref="B648:D648"/>
    <mergeCell ref="A5:D5"/>
    <mergeCell ref="A6:D6"/>
    <mergeCell ref="A7:B7"/>
    <mergeCell ref="C7:D7"/>
    <mergeCell ref="D3:E3"/>
    <mergeCell ref="A8:B8"/>
    <mergeCell ref="C8:D8"/>
    <mergeCell ref="A9:B9"/>
    <mergeCell ref="C9:D9"/>
    <mergeCell ref="A1:N1"/>
    <mergeCell ref="A2:N2"/>
    <mergeCell ref="F3:J3"/>
    <mergeCell ref="L3:N3"/>
    <mergeCell ref="A4:N4"/>
    <mergeCell ref="K5:N6"/>
    <mergeCell ref="K7:N10"/>
    <mergeCell ref="B13:B14"/>
    <mergeCell ref="B17:B18"/>
    <mergeCell ref="C18:D18"/>
    <mergeCell ref="C19:D19"/>
    <mergeCell ref="A15:A16"/>
    <mergeCell ref="A18:A19"/>
    <mergeCell ref="K39:L39"/>
    <mergeCell ref="K43:L43"/>
    <mergeCell ref="A10:B10"/>
    <mergeCell ref="C10:D10"/>
    <mergeCell ref="B11:D11"/>
    <mergeCell ref="C12:D12"/>
    <mergeCell ref="C13:D13"/>
    <mergeCell ref="C16:D16"/>
    <mergeCell ref="C17:D17"/>
    <mergeCell ref="C23:D23"/>
    <mergeCell ref="C24:D24"/>
    <mergeCell ref="C14:D14"/>
    <mergeCell ref="C15:D15"/>
    <mergeCell ref="C20:D20"/>
    <mergeCell ref="B21:B22"/>
    <mergeCell ref="C21:D21"/>
    <mergeCell ref="C22:D22"/>
    <mergeCell ref="A23:A24"/>
    <mergeCell ref="B25:B26"/>
    <mergeCell ref="B31:B32"/>
    <mergeCell ref="B35:B36"/>
    <mergeCell ref="B39:B40"/>
    <mergeCell ref="B43:B44"/>
    <mergeCell ref="C25:D25"/>
    <mergeCell ref="A26:A28"/>
    <mergeCell ref="C26:D26"/>
    <mergeCell ref="C27:D27"/>
    <mergeCell ref="C28:D28"/>
    <mergeCell ref="B29:D29"/>
    <mergeCell ref="C30:D30"/>
    <mergeCell ref="C31:D31"/>
    <mergeCell ref="C32:D32"/>
    <mergeCell ref="A33:A34"/>
    <mergeCell ref="C33:D33"/>
    <mergeCell ref="C34:D34"/>
    <mergeCell ref="C35:D35"/>
    <mergeCell ref="A36:A37"/>
    <mergeCell ref="C42:D42"/>
    <mergeCell ref="C43:D43"/>
    <mergeCell ref="C41:D41"/>
    <mergeCell ref="C44:D44"/>
    <mergeCell ref="C45:D45"/>
    <mergeCell ref="C46:D46"/>
    <mergeCell ref="C36:D36"/>
    <mergeCell ref="C37:D37"/>
    <mergeCell ref="C38:D38"/>
    <mergeCell ref="C39:D39"/>
    <mergeCell ref="C40:D40"/>
    <mergeCell ref="A41:A42"/>
    <mergeCell ref="A44:A46"/>
    <mergeCell ref="B49:B50"/>
    <mergeCell ref="B53:B54"/>
    <mergeCell ref="B57:B58"/>
    <mergeCell ref="B61:B62"/>
    <mergeCell ref="A51:A52"/>
    <mergeCell ref="A54:A55"/>
    <mergeCell ref="A59:A60"/>
    <mergeCell ref="A62:A64"/>
    <mergeCell ref="B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89:D89"/>
    <mergeCell ref="C90:D90"/>
    <mergeCell ref="C85:D85"/>
    <mergeCell ref="C86:D86"/>
    <mergeCell ref="A87:A88"/>
    <mergeCell ref="C87:D87"/>
    <mergeCell ref="C88:D88"/>
    <mergeCell ref="B89:B90"/>
    <mergeCell ref="A90:A91"/>
    <mergeCell ref="C61:D61"/>
    <mergeCell ref="C62:D62"/>
    <mergeCell ref="C63:D63"/>
    <mergeCell ref="C64:D64"/>
    <mergeCell ref="B65:D65"/>
    <mergeCell ref="C66:D66"/>
    <mergeCell ref="B67:B68"/>
    <mergeCell ref="C71:D71"/>
    <mergeCell ref="C72:D72"/>
    <mergeCell ref="C67:D67"/>
    <mergeCell ref="C68:D68"/>
    <mergeCell ref="A69:A70"/>
    <mergeCell ref="C69:D69"/>
    <mergeCell ref="C70:D70"/>
    <mergeCell ref="B71:B72"/>
    <mergeCell ref="A72:A73"/>
    <mergeCell ref="B75:B76"/>
    <mergeCell ref="B79:B80"/>
    <mergeCell ref="A80:A82"/>
    <mergeCell ref="C73:D73"/>
    <mergeCell ref="C74:D74"/>
    <mergeCell ref="C75:D75"/>
    <mergeCell ref="C76:D76"/>
    <mergeCell ref="A77:A78"/>
    <mergeCell ref="C77:D77"/>
    <mergeCell ref="C78:D78"/>
    <mergeCell ref="C79:D79"/>
    <mergeCell ref="C80:D80"/>
    <mergeCell ref="C81:D81"/>
    <mergeCell ref="C82:D82"/>
    <mergeCell ref="B83:D83"/>
    <mergeCell ref="C84:D84"/>
    <mergeCell ref="B85:B86"/>
    <mergeCell ref="C97:D97"/>
    <mergeCell ref="C98:D98"/>
    <mergeCell ref="B121:B122"/>
    <mergeCell ref="B125:B126"/>
    <mergeCell ref="B119:D119"/>
    <mergeCell ref="C120:D120"/>
    <mergeCell ref="C121:D121"/>
    <mergeCell ref="C122:D122"/>
    <mergeCell ref="C123:D123"/>
    <mergeCell ref="C124:D124"/>
    <mergeCell ref="C125:D125"/>
    <mergeCell ref="C126:D126"/>
    <mergeCell ref="K103:L103"/>
    <mergeCell ref="K107:L107"/>
    <mergeCell ref="K111:L111"/>
    <mergeCell ref="K115:L115"/>
    <mergeCell ref="K119:L119"/>
    <mergeCell ref="M119:N119"/>
    <mergeCell ref="M120:N120"/>
    <mergeCell ref="K120:L120"/>
    <mergeCell ref="K121:L121"/>
    <mergeCell ref="K125:L125"/>
    <mergeCell ref="K129:L129"/>
    <mergeCell ref="K133:L133"/>
    <mergeCell ref="K137:L137"/>
    <mergeCell ref="M137:N137"/>
    <mergeCell ref="C130:D130"/>
    <mergeCell ref="C131:D131"/>
    <mergeCell ref="A123:A124"/>
    <mergeCell ref="A126:A127"/>
    <mergeCell ref="C127:D127"/>
    <mergeCell ref="C128:D128"/>
    <mergeCell ref="C129:D129"/>
    <mergeCell ref="A131:A132"/>
    <mergeCell ref="C132:D132"/>
    <mergeCell ref="C146:D146"/>
    <mergeCell ref="C147:D147"/>
    <mergeCell ref="B139:B140"/>
    <mergeCell ref="B143:B144"/>
    <mergeCell ref="C143:D143"/>
    <mergeCell ref="C144:D144"/>
    <mergeCell ref="C145:D145"/>
    <mergeCell ref="B147:B148"/>
    <mergeCell ref="C148:D148"/>
    <mergeCell ref="C152:D152"/>
    <mergeCell ref="C153:D153"/>
    <mergeCell ref="A144:A145"/>
    <mergeCell ref="A149:A150"/>
    <mergeCell ref="C149:D149"/>
    <mergeCell ref="C150:D150"/>
    <mergeCell ref="B151:B152"/>
    <mergeCell ref="C151:D151"/>
    <mergeCell ref="A152:A154"/>
    <mergeCell ref="C159:D159"/>
    <mergeCell ref="C160:D160"/>
    <mergeCell ref="C154:D154"/>
    <mergeCell ref="B155:D155"/>
    <mergeCell ref="C156:D156"/>
    <mergeCell ref="B157:B158"/>
    <mergeCell ref="C157:D157"/>
    <mergeCell ref="C158:D158"/>
    <mergeCell ref="A159:A160"/>
    <mergeCell ref="C165:D165"/>
    <mergeCell ref="C166:D166"/>
    <mergeCell ref="B161:B162"/>
    <mergeCell ref="C161:D161"/>
    <mergeCell ref="A162:A163"/>
    <mergeCell ref="C162:D162"/>
    <mergeCell ref="C163:D163"/>
    <mergeCell ref="C164:D164"/>
    <mergeCell ref="B165:B166"/>
    <mergeCell ref="C171:D171"/>
    <mergeCell ref="C172:D172"/>
    <mergeCell ref="A167:A168"/>
    <mergeCell ref="C167:D167"/>
    <mergeCell ref="C168:D168"/>
    <mergeCell ref="B169:B170"/>
    <mergeCell ref="C169:D169"/>
    <mergeCell ref="A170:A172"/>
    <mergeCell ref="C170:D170"/>
    <mergeCell ref="B175:B176"/>
    <mergeCell ref="B179:B180"/>
    <mergeCell ref="B173:D173"/>
    <mergeCell ref="C174:D174"/>
    <mergeCell ref="C175:D175"/>
    <mergeCell ref="C176:D176"/>
    <mergeCell ref="C177:D177"/>
    <mergeCell ref="C178:D178"/>
    <mergeCell ref="C179:D179"/>
    <mergeCell ref="B129:B130"/>
    <mergeCell ref="B133:B134"/>
    <mergeCell ref="C133:D133"/>
    <mergeCell ref="A134:A136"/>
    <mergeCell ref="C134:D134"/>
    <mergeCell ref="C135:D135"/>
    <mergeCell ref="C136:D136"/>
    <mergeCell ref="B137:D137"/>
    <mergeCell ref="C138:D138"/>
    <mergeCell ref="C139:D139"/>
    <mergeCell ref="C140:D140"/>
    <mergeCell ref="A141:A142"/>
    <mergeCell ref="C141:D141"/>
    <mergeCell ref="C142:D142"/>
    <mergeCell ref="A180:A181"/>
    <mergeCell ref="A185:A186"/>
    <mergeCell ref="A177:A178"/>
    <mergeCell ref="C180:D180"/>
    <mergeCell ref="C181:D181"/>
    <mergeCell ref="C182:D182"/>
    <mergeCell ref="B183:B184"/>
    <mergeCell ref="C183:D183"/>
    <mergeCell ref="C184:D184"/>
    <mergeCell ref="C91:D91"/>
    <mergeCell ref="C92:D92"/>
    <mergeCell ref="C93:D93"/>
    <mergeCell ref="C94:D94"/>
    <mergeCell ref="A95:A96"/>
    <mergeCell ref="C95:D95"/>
    <mergeCell ref="C96:D96"/>
    <mergeCell ref="C99:D99"/>
    <mergeCell ref="C100:D100"/>
    <mergeCell ref="B101:D101"/>
    <mergeCell ref="C102:D102"/>
    <mergeCell ref="B103:B104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B111:B112"/>
    <mergeCell ref="B115:B116"/>
    <mergeCell ref="B93:B94"/>
    <mergeCell ref="B97:B98"/>
    <mergeCell ref="A98:A100"/>
    <mergeCell ref="A105:A106"/>
    <mergeCell ref="B107:B108"/>
    <mergeCell ref="A108:A109"/>
    <mergeCell ref="A113:A114"/>
    <mergeCell ref="A116:A118"/>
    <mergeCell ref="C112:D112"/>
    <mergeCell ref="C113:D113"/>
    <mergeCell ref="C114:D114"/>
    <mergeCell ref="C115:D115"/>
    <mergeCell ref="C116:D116"/>
    <mergeCell ref="C117:D117"/>
    <mergeCell ref="C118:D118"/>
    <mergeCell ref="C185:D185"/>
    <mergeCell ref="C186:D186"/>
    <mergeCell ref="B187:B188"/>
    <mergeCell ref="C187:D187"/>
    <mergeCell ref="A188:A190"/>
    <mergeCell ref="C188:D188"/>
    <mergeCell ref="C189:D189"/>
    <mergeCell ref="B211:B212"/>
    <mergeCell ref="B215:B216"/>
    <mergeCell ref="B209:D209"/>
    <mergeCell ref="C210:D210"/>
    <mergeCell ref="C211:D211"/>
    <mergeCell ref="C212:D212"/>
    <mergeCell ref="C213:D213"/>
    <mergeCell ref="C214:D214"/>
    <mergeCell ref="C215:D215"/>
    <mergeCell ref="C216:D216"/>
    <mergeCell ref="C220:D220"/>
    <mergeCell ref="C221:D221"/>
    <mergeCell ref="A213:A214"/>
    <mergeCell ref="A216:A217"/>
    <mergeCell ref="C217:D217"/>
    <mergeCell ref="C218:D218"/>
    <mergeCell ref="C219:D219"/>
    <mergeCell ref="A221:A222"/>
    <mergeCell ref="C222:D222"/>
    <mergeCell ref="C236:D236"/>
    <mergeCell ref="C237:D237"/>
    <mergeCell ref="B229:B230"/>
    <mergeCell ref="B233:B234"/>
    <mergeCell ref="C233:D233"/>
    <mergeCell ref="C234:D234"/>
    <mergeCell ref="C235:D235"/>
    <mergeCell ref="B237:B238"/>
    <mergeCell ref="C238:D238"/>
    <mergeCell ref="C242:D242"/>
    <mergeCell ref="C243:D243"/>
    <mergeCell ref="A234:A235"/>
    <mergeCell ref="A239:A240"/>
    <mergeCell ref="C239:D239"/>
    <mergeCell ref="C240:D240"/>
    <mergeCell ref="B241:B242"/>
    <mergeCell ref="C241:D241"/>
    <mergeCell ref="A242:A244"/>
    <mergeCell ref="B219:B220"/>
    <mergeCell ref="B223:B224"/>
    <mergeCell ref="C223:D223"/>
    <mergeCell ref="A224:A226"/>
    <mergeCell ref="C224:D224"/>
    <mergeCell ref="C225:D225"/>
    <mergeCell ref="C226:D226"/>
    <mergeCell ref="B227:D227"/>
    <mergeCell ref="C228:D228"/>
    <mergeCell ref="C229:D229"/>
    <mergeCell ref="C230:D230"/>
    <mergeCell ref="A231:A232"/>
    <mergeCell ref="C231:D231"/>
    <mergeCell ref="C232:D232"/>
    <mergeCell ref="C249:D249"/>
    <mergeCell ref="C250:D250"/>
    <mergeCell ref="C244:D244"/>
    <mergeCell ref="B245:D245"/>
    <mergeCell ref="C246:D246"/>
    <mergeCell ref="B247:B248"/>
    <mergeCell ref="C247:D247"/>
    <mergeCell ref="C248:D248"/>
    <mergeCell ref="A249:A250"/>
    <mergeCell ref="C255:D255"/>
    <mergeCell ref="C256:D256"/>
    <mergeCell ref="B251:B252"/>
    <mergeCell ref="C251:D251"/>
    <mergeCell ref="A252:A253"/>
    <mergeCell ref="C252:D252"/>
    <mergeCell ref="C253:D253"/>
    <mergeCell ref="C254:D254"/>
    <mergeCell ref="B255:B256"/>
    <mergeCell ref="C261:D261"/>
    <mergeCell ref="C262:D262"/>
    <mergeCell ref="A257:A258"/>
    <mergeCell ref="C257:D257"/>
    <mergeCell ref="C258:D258"/>
    <mergeCell ref="B259:B260"/>
    <mergeCell ref="C259:D259"/>
    <mergeCell ref="A260:A262"/>
    <mergeCell ref="C260:D260"/>
    <mergeCell ref="B265:B266"/>
    <mergeCell ref="B269:B270"/>
    <mergeCell ref="B263:D263"/>
    <mergeCell ref="C264:D264"/>
    <mergeCell ref="C265:D265"/>
    <mergeCell ref="C266:D266"/>
    <mergeCell ref="C267:D267"/>
    <mergeCell ref="C268:D268"/>
    <mergeCell ref="C269:D269"/>
    <mergeCell ref="C270:D270"/>
    <mergeCell ref="C274:D274"/>
    <mergeCell ref="C275:D275"/>
    <mergeCell ref="A267:A268"/>
    <mergeCell ref="A270:A271"/>
    <mergeCell ref="C271:D271"/>
    <mergeCell ref="C272:D272"/>
    <mergeCell ref="C273:D273"/>
    <mergeCell ref="A275:A276"/>
    <mergeCell ref="C276:D276"/>
    <mergeCell ref="C290:D290"/>
    <mergeCell ref="C291:D291"/>
    <mergeCell ref="B283:B284"/>
    <mergeCell ref="B287:B288"/>
    <mergeCell ref="C287:D287"/>
    <mergeCell ref="C288:D288"/>
    <mergeCell ref="C289:D289"/>
    <mergeCell ref="B291:B292"/>
    <mergeCell ref="C292:D292"/>
    <mergeCell ref="B273:B274"/>
    <mergeCell ref="B277:B278"/>
    <mergeCell ref="C277:D277"/>
    <mergeCell ref="A278:A280"/>
    <mergeCell ref="C278:D278"/>
    <mergeCell ref="C279:D279"/>
    <mergeCell ref="C280:D280"/>
    <mergeCell ref="B281:D281"/>
    <mergeCell ref="C282:D282"/>
    <mergeCell ref="C283:D283"/>
    <mergeCell ref="C284:D284"/>
    <mergeCell ref="A285:A286"/>
    <mergeCell ref="C285:D285"/>
    <mergeCell ref="C286:D286"/>
    <mergeCell ref="C296:D296"/>
    <mergeCell ref="C297:D297"/>
    <mergeCell ref="A288:A289"/>
    <mergeCell ref="A293:A294"/>
    <mergeCell ref="C293:D293"/>
    <mergeCell ref="C294:D294"/>
    <mergeCell ref="B295:B296"/>
    <mergeCell ref="C295:D295"/>
    <mergeCell ref="A296:A298"/>
    <mergeCell ref="C303:D303"/>
    <mergeCell ref="C304:D304"/>
    <mergeCell ref="C298:D298"/>
    <mergeCell ref="B299:D299"/>
    <mergeCell ref="C300:D300"/>
    <mergeCell ref="B301:B302"/>
    <mergeCell ref="C301:D301"/>
    <mergeCell ref="C302:D302"/>
    <mergeCell ref="A303:A304"/>
    <mergeCell ref="C309:D309"/>
    <mergeCell ref="C310:D310"/>
    <mergeCell ref="B305:B306"/>
    <mergeCell ref="C305:D305"/>
    <mergeCell ref="A306:A307"/>
    <mergeCell ref="C306:D306"/>
    <mergeCell ref="C307:D307"/>
    <mergeCell ref="C308:D308"/>
    <mergeCell ref="B309:B310"/>
    <mergeCell ref="C315:D315"/>
    <mergeCell ref="C316:D316"/>
    <mergeCell ref="A311:A312"/>
    <mergeCell ref="C311:D311"/>
    <mergeCell ref="C312:D312"/>
    <mergeCell ref="B313:B314"/>
    <mergeCell ref="C313:D313"/>
    <mergeCell ref="A314:A316"/>
    <mergeCell ref="C314:D314"/>
    <mergeCell ref="B319:B320"/>
    <mergeCell ref="B323:B324"/>
    <mergeCell ref="B317:D317"/>
    <mergeCell ref="C318:D318"/>
    <mergeCell ref="C319:D319"/>
    <mergeCell ref="C320:D320"/>
    <mergeCell ref="C321:D321"/>
    <mergeCell ref="C322:D322"/>
    <mergeCell ref="C323:D323"/>
    <mergeCell ref="C324:D324"/>
    <mergeCell ref="C328:D328"/>
    <mergeCell ref="C329:D329"/>
    <mergeCell ref="A321:A322"/>
    <mergeCell ref="A324:A325"/>
    <mergeCell ref="C325:D325"/>
    <mergeCell ref="C326:D326"/>
    <mergeCell ref="C327:D327"/>
    <mergeCell ref="A329:A330"/>
    <mergeCell ref="C330:D330"/>
    <mergeCell ref="C344:D344"/>
    <mergeCell ref="C345:D345"/>
    <mergeCell ref="B337:B338"/>
    <mergeCell ref="B341:B342"/>
    <mergeCell ref="C341:D341"/>
    <mergeCell ref="C342:D342"/>
    <mergeCell ref="C343:D343"/>
    <mergeCell ref="B345:B346"/>
    <mergeCell ref="C346:D346"/>
    <mergeCell ref="C350:D350"/>
    <mergeCell ref="C351:D351"/>
    <mergeCell ref="A342:A343"/>
    <mergeCell ref="A347:A348"/>
    <mergeCell ref="C347:D347"/>
    <mergeCell ref="C348:D348"/>
    <mergeCell ref="B349:B350"/>
    <mergeCell ref="C349:D349"/>
    <mergeCell ref="A350:A352"/>
    <mergeCell ref="C357:D357"/>
    <mergeCell ref="C358:D358"/>
    <mergeCell ref="C352:D352"/>
    <mergeCell ref="B353:D353"/>
    <mergeCell ref="C354:D354"/>
    <mergeCell ref="B355:B356"/>
    <mergeCell ref="C355:D355"/>
    <mergeCell ref="C356:D356"/>
    <mergeCell ref="A357:A358"/>
    <mergeCell ref="C363:D363"/>
    <mergeCell ref="C364:D364"/>
    <mergeCell ref="B359:B360"/>
    <mergeCell ref="C359:D359"/>
    <mergeCell ref="A360:A361"/>
    <mergeCell ref="C360:D360"/>
    <mergeCell ref="C361:D361"/>
    <mergeCell ref="C362:D362"/>
    <mergeCell ref="B363:B364"/>
    <mergeCell ref="C369:D369"/>
    <mergeCell ref="C370:D370"/>
    <mergeCell ref="A365:A366"/>
    <mergeCell ref="C365:D365"/>
    <mergeCell ref="C366:D366"/>
    <mergeCell ref="B367:B368"/>
    <mergeCell ref="C367:D367"/>
    <mergeCell ref="A368:A370"/>
    <mergeCell ref="C368:D368"/>
    <mergeCell ref="B373:B374"/>
    <mergeCell ref="B377:B378"/>
    <mergeCell ref="B371:D371"/>
    <mergeCell ref="C372:D372"/>
    <mergeCell ref="C373:D373"/>
    <mergeCell ref="C374:D374"/>
    <mergeCell ref="C375:D375"/>
    <mergeCell ref="C376:D376"/>
    <mergeCell ref="C377:D377"/>
    <mergeCell ref="C378:D378"/>
    <mergeCell ref="A375:A376"/>
    <mergeCell ref="A378:A379"/>
    <mergeCell ref="C379:D379"/>
    <mergeCell ref="C380:D380"/>
    <mergeCell ref="C381:D381"/>
    <mergeCell ref="A383:A384"/>
    <mergeCell ref="C384:D384"/>
    <mergeCell ref="C382:D382"/>
    <mergeCell ref="C383:D383"/>
    <mergeCell ref="A591:N591"/>
    <mergeCell ref="C592:L592"/>
    <mergeCell ref="M592:N592"/>
    <mergeCell ref="K593:K596"/>
    <mergeCell ref="M593:N598"/>
    <mergeCell ref="M599:N599"/>
    <mergeCell ref="L593:L596"/>
    <mergeCell ref="C599:L599"/>
    <mergeCell ref="K600:K603"/>
    <mergeCell ref="L600:L603"/>
    <mergeCell ref="M600:N605"/>
    <mergeCell ref="C606:L606"/>
    <mergeCell ref="M606:N606"/>
    <mergeCell ref="M614:N619"/>
    <mergeCell ref="A620:N620"/>
    <mergeCell ref="K622:N626"/>
    <mergeCell ref="K628:N632"/>
    <mergeCell ref="K634:N638"/>
    <mergeCell ref="K640:N644"/>
    <mergeCell ref="A645:N645"/>
    <mergeCell ref="K647:N651"/>
    <mergeCell ref="K607:K610"/>
    <mergeCell ref="L607:L610"/>
    <mergeCell ref="M607:N612"/>
    <mergeCell ref="C613:L613"/>
    <mergeCell ref="M613:N613"/>
    <mergeCell ref="K614:K617"/>
    <mergeCell ref="L614:L617"/>
    <mergeCell ref="K353:L353"/>
    <mergeCell ref="K354:L354"/>
    <mergeCell ref="K355:L355"/>
    <mergeCell ref="K359:L359"/>
    <mergeCell ref="K363:L363"/>
    <mergeCell ref="K367:L367"/>
    <mergeCell ref="M371:N371"/>
    <mergeCell ref="M372:N372"/>
    <mergeCell ref="K371:L371"/>
    <mergeCell ref="K372:L372"/>
    <mergeCell ref="K373:L373"/>
    <mergeCell ref="K377:L377"/>
    <mergeCell ref="K381:L381"/>
    <mergeCell ref="K385:L385"/>
    <mergeCell ref="M389:N389"/>
    <mergeCell ref="K247:L247"/>
    <mergeCell ref="K251:L251"/>
    <mergeCell ref="K255:L255"/>
    <mergeCell ref="K259:L259"/>
    <mergeCell ref="K263:L263"/>
    <mergeCell ref="M263:N263"/>
    <mergeCell ref="M264:N264"/>
    <mergeCell ref="K264:L264"/>
    <mergeCell ref="K265:L265"/>
    <mergeCell ref="K269:L269"/>
    <mergeCell ref="K273:L273"/>
    <mergeCell ref="K277:L277"/>
    <mergeCell ref="K281:L281"/>
    <mergeCell ref="M281:N281"/>
    <mergeCell ref="K282:L282"/>
    <mergeCell ref="M282:N282"/>
    <mergeCell ref="K283:L283"/>
    <mergeCell ref="K287:L287"/>
    <mergeCell ref="K291:L291"/>
    <mergeCell ref="K295:L295"/>
    <mergeCell ref="M299:N299"/>
    <mergeCell ref="M300:N300"/>
    <mergeCell ref="K299:L299"/>
    <mergeCell ref="K300:L300"/>
    <mergeCell ref="K301:L301"/>
    <mergeCell ref="K305:L305"/>
    <mergeCell ref="K309:L309"/>
    <mergeCell ref="K313:L313"/>
    <mergeCell ref="M317:N317"/>
    <mergeCell ref="M318:N318"/>
    <mergeCell ref="K317:L317"/>
    <mergeCell ref="K318:L318"/>
    <mergeCell ref="K319:L319"/>
    <mergeCell ref="K323:L323"/>
    <mergeCell ref="K327:L327"/>
    <mergeCell ref="K331:L331"/>
    <mergeCell ref="M335:N335"/>
    <mergeCell ref="M336:N336"/>
    <mergeCell ref="K335:L335"/>
    <mergeCell ref="K336:L336"/>
    <mergeCell ref="K337:L337"/>
    <mergeCell ref="K341:L341"/>
    <mergeCell ref="K345:L345"/>
    <mergeCell ref="K349:L349"/>
    <mergeCell ref="M353:N353"/>
    <mergeCell ref="M354:N354"/>
    <mergeCell ref="K449:L449"/>
    <mergeCell ref="K453:L453"/>
    <mergeCell ref="K457:L457"/>
    <mergeCell ref="K461:L461"/>
    <mergeCell ref="M461:N461"/>
    <mergeCell ref="K474:L474"/>
    <mergeCell ref="M474:N474"/>
    <mergeCell ref="K138:L138"/>
    <mergeCell ref="M138:N138"/>
    <mergeCell ref="K139:L139"/>
    <mergeCell ref="K143:L143"/>
    <mergeCell ref="K147:L147"/>
    <mergeCell ref="K151:L151"/>
    <mergeCell ref="M155:N155"/>
    <mergeCell ref="M156:N156"/>
    <mergeCell ref="K155:L155"/>
    <mergeCell ref="K156:L156"/>
    <mergeCell ref="K157:L157"/>
    <mergeCell ref="K161:L161"/>
    <mergeCell ref="K165:L165"/>
    <mergeCell ref="K169:L169"/>
    <mergeCell ref="M173:N173"/>
    <mergeCell ref="K173:L173"/>
    <mergeCell ref="K174:L174"/>
    <mergeCell ref="M174:N174"/>
    <mergeCell ref="K175:L175"/>
    <mergeCell ref="K179:L179"/>
    <mergeCell ref="K183:L183"/>
    <mergeCell ref="K187:L187"/>
    <mergeCell ref="K191:L191"/>
    <mergeCell ref="M191:N191"/>
    <mergeCell ref="K192:L192"/>
    <mergeCell ref="M192:N192"/>
    <mergeCell ref="K193:L193"/>
    <mergeCell ref="K197:L197"/>
    <mergeCell ref="K201:L201"/>
    <mergeCell ref="K205:L205"/>
    <mergeCell ref="K209:L209"/>
    <mergeCell ref="M209:N209"/>
    <mergeCell ref="K210:L210"/>
    <mergeCell ref="M210:N210"/>
    <mergeCell ref="K211:L211"/>
    <mergeCell ref="K215:L215"/>
    <mergeCell ref="K219:L219"/>
    <mergeCell ref="K223:L223"/>
    <mergeCell ref="K227:L227"/>
    <mergeCell ref="M227:N227"/>
    <mergeCell ref="K228:L228"/>
    <mergeCell ref="M228:N228"/>
    <mergeCell ref="K229:L229"/>
    <mergeCell ref="K11:L11"/>
    <mergeCell ref="M11:N11"/>
    <mergeCell ref="K12:L12"/>
    <mergeCell ref="M12:N12"/>
    <mergeCell ref="K13:L13"/>
    <mergeCell ref="K17:L17"/>
    <mergeCell ref="K21:L21"/>
    <mergeCell ref="K25:L25"/>
    <mergeCell ref="K29:L29"/>
    <mergeCell ref="M29:N29"/>
    <mergeCell ref="K30:L30"/>
    <mergeCell ref="M30:N30"/>
    <mergeCell ref="K31:L31"/>
    <mergeCell ref="K35:L35"/>
    <mergeCell ref="K47:L47"/>
    <mergeCell ref="M47:N47"/>
    <mergeCell ref="K48:L48"/>
    <mergeCell ref="M48:N48"/>
    <mergeCell ref="K49:L49"/>
    <mergeCell ref="K53:L53"/>
    <mergeCell ref="K57:L57"/>
    <mergeCell ref="K61:L61"/>
    <mergeCell ref="K65:L65"/>
    <mergeCell ref="M65:N65"/>
    <mergeCell ref="K66:L66"/>
    <mergeCell ref="M66:N66"/>
    <mergeCell ref="K67:L67"/>
    <mergeCell ref="K71:L71"/>
    <mergeCell ref="K75:L75"/>
    <mergeCell ref="K79:L79"/>
    <mergeCell ref="K83:L83"/>
    <mergeCell ref="M83:N83"/>
    <mergeCell ref="K84:L84"/>
    <mergeCell ref="M84:N84"/>
    <mergeCell ref="K85:L85"/>
    <mergeCell ref="K89:L89"/>
    <mergeCell ref="K93:L93"/>
    <mergeCell ref="K97:L97"/>
    <mergeCell ref="K101:L101"/>
    <mergeCell ref="M101:N101"/>
    <mergeCell ref="K102:L102"/>
    <mergeCell ref="M102:N102"/>
    <mergeCell ref="K233:L233"/>
    <mergeCell ref="K237:L237"/>
    <mergeCell ref="K241:L241"/>
    <mergeCell ref="K245:L245"/>
    <mergeCell ref="M245:N245"/>
    <mergeCell ref="K246:L246"/>
    <mergeCell ref="M246:N246"/>
    <mergeCell ref="K389:L389"/>
    <mergeCell ref="K390:L390"/>
    <mergeCell ref="M390:N390"/>
    <mergeCell ref="K391:L391"/>
    <mergeCell ref="K395:L395"/>
    <mergeCell ref="K399:L399"/>
    <mergeCell ref="K403:L403"/>
    <mergeCell ref="K407:L407"/>
    <mergeCell ref="M407:N407"/>
    <mergeCell ref="K408:L408"/>
    <mergeCell ref="M408:N408"/>
    <mergeCell ref="K409:L409"/>
    <mergeCell ref="K413:L413"/>
    <mergeCell ref="K417:L417"/>
    <mergeCell ref="K421:L421"/>
    <mergeCell ref="K425:L425"/>
    <mergeCell ref="M425:N425"/>
    <mergeCell ref="K426:L426"/>
    <mergeCell ref="M426:N426"/>
    <mergeCell ref="K427:L427"/>
    <mergeCell ref="K431:L431"/>
    <mergeCell ref="K435:L435"/>
    <mergeCell ref="K439:L439"/>
    <mergeCell ref="K443:L443"/>
    <mergeCell ref="M443:N443"/>
    <mergeCell ref="K444:L444"/>
    <mergeCell ref="M444:N444"/>
    <mergeCell ref="K445:L445"/>
    <mergeCell ref="K487:L487"/>
    <mergeCell ref="M487:N487"/>
    <mergeCell ref="K500:L500"/>
    <mergeCell ref="M500:N500"/>
    <mergeCell ref="K513:L513"/>
    <mergeCell ref="M513:N513"/>
    <mergeCell ref="M526:N526"/>
    <mergeCell ref="K578:L578"/>
    <mergeCell ref="M578:N578"/>
    <mergeCell ref="K526:L526"/>
    <mergeCell ref="K539:L539"/>
    <mergeCell ref="M539:N539"/>
    <mergeCell ref="K552:L552"/>
    <mergeCell ref="M552:N552"/>
    <mergeCell ref="K565:L565"/>
    <mergeCell ref="M565:N565"/>
  </mergeCells>
  <printOptions/>
  <pageMargins bottom="1.025" footer="0.0" header="0.0" left="0.7875" right="0.7875" top="1.025"/>
  <pageSetup paperSize="9" orientation="portrait"/>
  <headerFooter>
    <oddHeader>&amp;C&amp;A</oddHeader>
    <oddFooter>&amp;CPágina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3.63"/>
    <col customWidth="1" min="2" max="2" width="21.0"/>
    <col customWidth="1" min="3" max="3" width="12.13"/>
    <col customWidth="1" min="4" max="4" width="2.88"/>
    <col customWidth="1" min="5" max="9" width="5.63"/>
    <col customWidth="1" min="10" max="10" width="5.75"/>
    <col customWidth="1" min="11" max="11" width="15.5"/>
    <col customWidth="1" min="12" max="12" width="11.38"/>
    <col customWidth="1" min="13" max="13" width="19.5"/>
    <col customWidth="1" min="14" max="14" width="7.63"/>
  </cols>
  <sheetData>
    <row r="1" ht="35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13.5" customHeight="1">
      <c r="A2" s="4" t="s">
        <v>176</v>
      </c>
      <c r="N2" s="5"/>
    </row>
    <row r="3" ht="13.5" customHeight="1">
      <c r="A3" s="6" t="s">
        <v>2</v>
      </c>
      <c r="B3" s="7" t="s">
        <v>3</v>
      </c>
      <c r="C3" s="8" t="s">
        <v>4</v>
      </c>
      <c r="D3" s="9">
        <v>2026.0</v>
      </c>
      <c r="E3" s="10"/>
      <c r="F3" s="11" t="s">
        <v>5</v>
      </c>
      <c r="K3" s="12">
        <f>COUNTA(A13,A31,A49,A67,A85,A103,A121,A139,A157,A175,A193,A211,A229,A247,A265,A283,A301,A319,A337,A355,A373,A391,A409,A427,A445)</f>
        <v>0</v>
      </c>
      <c r="L3" s="13"/>
    </row>
    <row r="4" ht="13.5" customHeight="1">
      <c r="A4" s="14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6"/>
    </row>
    <row r="5" ht="13.5" customHeight="1">
      <c r="A5" s="17" t="s">
        <v>6</v>
      </c>
      <c r="D5" s="5"/>
      <c r="E5" s="18" t="s">
        <v>7</v>
      </c>
      <c r="F5" s="19" t="s">
        <v>8</v>
      </c>
      <c r="G5" s="18" t="s">
        <v>9</v>
      </c>
      <c r="H5" s="18" t="s">
        <v>10</v>
      </c>
      <c r="I5" s="18" t="s">
        <v>11</v>
      </c>
      <c r="J5" s="19" t="s">
        <v>12</v>
      </c>
      <c r="K5" s="20"/>
      <c r="L5" s="21"/>
      <c r="M5" s="21"/>
      <c r="N5" s="22"/>
    </row>
    <row r="6" ht="13.5" customHeight="1">
      <c r="A6" s="23" t="s">
        <v>13</v>
      </c>
      <c r="B6" s="24"/>
      <c r="C6" s="24"/>
      <c r="D6" s="25"/>
      <c r="E6" s="26">
        <v>17.0</v>
      </c>
      <c r="F6" s="27">
        <v>27.0</v>
      </c>
      <c r="G6" s="27">
        <v>27.0</v>
      </c>
      <c r="H6" s="27">
        <v>27.0</v>
      </c>
      <c r="I6" s="27">
        <v>32.0</v>
      </c>
      <c r="J6" s="28">
        <v>37.0</v>
      </c>
      <c r="K6" s="29"/>
      <c r="L6" s="29"/>
      <c r="M6" s="29"/>
      <c r="N6" s="30"/>
    </row>
    <row r="7" ht="13.5" customHeight="1">
      <c r="A7" s="31" t="s">
        <v>14</v>
      </c>
      <c r="B7" s="25"/>
      <c r="C7" s="32" t="s">
        <v>15</v>
      </c>
      <c r="D7" s="33"/>
      <c r="E7" s="34"/>
      <c r="F7" s="35"/>
      <c r="G7" s="35"/>
      <c r="H7" s="35"/>
      <c r="I7" s="35"/>
      <c r="J7" s="36"/>
      <c r="K7" s="37"/>
      <c r="N7" s="5"/>
    </row>
    <row r="8" ht="13.5" customHeight="1">
      <c r="A8" s="31" t="s">
        <v>16</v>
      </c>
      <c r="B8" s="25"/>
      <c r="C8" s="32" t="s">
        <v>15</v>
      </c>
      <c r="D8" s="33"/>
      <c r="E8" s="34"/>
      <c r="F8" s="35"/>
      <c r="G8" s="35"/>
      <c r="H8" s="35"/>
      <c r="I8" s="35"/>
      <c r="J8" s="36"/>
      <c r="K8" s="38"/>
      <c r="N8" s="5"/>
    </row>
    <row r="9" ht="13.5" customHeight="1">
      <c r="A9" s="31" t="s">
        <v>17</v>
      </c>
      <c r="B9" s="25"/>
      <c r="C9" s="32" t="s">
        <v>15</v>
      </c>
      <c r="D9" s="33"/>
      <c r="E9" s="39"/>
      <c r="F9" s="35">
        <v>42.0</v>
      </c>
      <c r="G9" s="35">
        <v>45.0</v>
      </c>
      <c r="H9" s="35">
        <v>25.0</v>
      </c>
      <c r="I9" s="35">
        <v>41.0</v>
      </c>
      <c r="J9" s="36">
        <v>43.0</v>
      </c>
      <c r="K9" s="38"/>
      <c r="N9" s="5"/>
    </row>
    <row r="10" ht="13.5" customHeight="1">
      <c r="A10" s="31" t="s">
        <v>18</v>
      </c>
      <c r="B10" s="25"/>
      <c r="C10" s="32" t="s">
        <v>15</v>
      </c>
      <c r="D10" s="33"/>
      <c r="E10" s="34"/>
      <c r="F10" s="34"/>
      <c r="G10" s="34"/>
      <c r="H10" s="34"/>
      <c r="I10" s="34"/>
      <c r="J10" s="40"/>
      <c r="K10" s="38"/>
      <c r="N10" s="5"/>
    </row>
    <row r="11" ht="13.5" customHeight="1">
      <c r="A11" s="41" t="s">
        <v>19</v>
      </c>
      <c r="B11" s="42" t="s">
        <v>20</v>
      </c>
      <c r="C11" s="24"/>
      <c r="D11" s="33"/>
      <c r="E11" s="43">
        <f t="shared" ref="E11:J11" si="1">E6</f>
        <v>17</v>
      </c>
      <c r="F11" s="43">
        <f t="shared" si="1"/>
        <v>27</v>
      </c>
      <c r="G11" s="43">
        <f t="shared" si="1"/>
        <v>27</v>
      </c>
      <c r="H11" s="43">
        <f t="shared" si="1"/>
        <v>27</v>
      </c>
      <c r="I11" s="43">
        <f t="shared" si="1"/>
        <v>32</v>
      </c>
      <c r="J11" s="44">
        <f t="shared" si="1"/>
        <v>37</v>
      </c>
      <c r="K11" s="42" t="s">
        <v>21</v>
      </c>
      <c r="L11" s="25"/>
      <c r="M11" s="45" t="s">
        <v>22</v>
      </c>
      <c r="N11" s="25"/>
    </row>
    <row r="12" ht="13.5" customHeight="1">
      <c r="A12" s="46" t="s">
        <v>23</v>
      </c>
      <c r="B12" s="47" t="s">
        <v>24</v>
      </c>
      <c r="C12" s="32" t="s">
        <v>25</v>
      </c>
      <c r="D12" s="33"/>
      <c r="E12" s="48"/>
      <c r="F12" s="48"/>
      <c r="G12" s="48"/>
      <c r="H12" s="48"/>
      <c r="I12" s="48"/>
      <c r="J12" s="48"/>
      <c r="K12" s="49"/>
      <c r="L12" s="25"/>
      <c r="M12" s="50"/>
      <c r="N12" s="10"/>
    </row>
    <row r="13" ht="15.0" customHeight="1">
      <c r="A13" s="92"/>
      <c r="B13" s="52" t="s">
        <v>26</v>
      </c>
      <c r="C13" s="53" t="s">
        <v>27</v>
      </c>
      <c r="D13" s="54"/>
      <c r="E13" s="55">
        <f t="shared" ref="E13:J13" si="2">E12-E14</f>
        <v>0</v>
      </c>
      <c r="F13" s="55">
        <f t="shared" si="2"/>
        <v>-2</v>
      </c>
      <c r="G13" s="55">
        <f t="shared" si="2"/>
        <v>-1</v>
      </c>
      <c r="H13" s="55">
        <f t="shared" si="2"/>
        <v>0</v>
      </c>
      <c r="I13" s="55">
        <f t="shared" si="2"/>
        <v>0</v>
      </c>
      <c r="J13" s="55">
        <f t="shared" si="2"/>
        <v>0</v>
      </c>
      <c r="K13" s="56"/>
      <c r="L13" s="30"/>
      <c r="M13" s="57" t="s">
        <v>28</v>
      </c>
      <c r="N13" s="58" t="b">
        <v>0</v>
      </c>
    </row>
    <row r="14" ht="13.5" customHeight="1">
      <c r="A14" s="46" t="s">
        <v>29</v>
      </c>
      <c r="B14" s="59"/>
      <c r="C14" s="53" t="s">
        <v>30</v>
      </c>
      <c r="D14" s="54"/>
      <c r="E14" s="60"/>
      <c r="F14" s="84">
        <v>2.0</v>
      </c>
      <c r="G14" s="84">
        <v>1.0</v>
      </c>
      <c r="H14" s="60"/>
      <c r="I14" s="60"/>
      <c r="J14" s="60"/>
      <c r="K14" s="61" t="s">
        <v>30</v>
      </c>
      <c r="L14" s="62">
        <f>(E14*E11)+(F14*F11)+(G14*G11)+(H14*H11)+(I14*I11)+(J14*J11)</f>
        <v>81</v>
      </c>
      <c r="M14" s="57" t="s">
        <v>31</v>
      </c>
      <c r="N14" s="63" t="b">
        <v>0</v>
      </c>
    </row>
    <row r="15" ht="13.5" customHeight="1">
      <c r="A15" s="64" t="s">
        <v>177</v>
      </c>
      <c r="B15" s="65" t="s">
        <v>33</v>
      </c>
      <c r="C15" s="53" t="s">
        <v>34</v>
      </c>
      <c r="D15" s="54"/>
      <c r="E15" s="66"/>
      <c r="F15" s="76">
        <v>6.0</v>
      </c>
      <c r="G15" s="76">
        <v>5.0</v>
      </c>
      <c r="H15" s="66"/>
      <c r="I15" s="66"/>
      <c r="J15" s="76">
        <v>5.0</v>
      </c>
      <c r="K15" s="67" t="s">
        <v>35</v>
      </c>
      <c r="L15" s="62">
        <f>(E15*E11)+(F15*F11)+(G15*G11)+(H15*H11)+(I15*I11)+(J15*J11)</f>
        <v>482</v>
      </c>
      <c r="M15" s="57" t="s">
        <v>36</v>
      </c>
      <c r="N15" s="63" t="b">
        <v>0</v>
      </c>
    </row>
    <row r="16" ht="13.5" customHeight="1">
      <c r="A16" s="68"/>
      <c r="B16" s="69">
        <f>IFS(L16=0,"",B16&lt;&gt;"",B16,TRUE,NOW())</f>
        <v>46142.59618</v>
      </c>
      <c r="C16" s="70" t="s">
        <v>37</v>
      </c>
      <c r="D16" s="33"/>
      <c r="E16" s="71"/>
      <c r="F16" s="71"/>
      <c r="G16" s="71"/>
      <c r="H16" s="71"/>
      <c r="I16" s="71"/>
      <c r="J16" s="71"/>
      <c r="K16" s="72" t="s">
        <v>38</v>
      </c>
      <c r="L16" s="73">
        <f>L15-L14</f>
        <v>401</v>
      </c>
      <c r="M16" s="74" t="s">
        <v>39</v>
      </c>
      <c r="N16" s="75" t="b">
        <v>0</v>
      </c>
    </row>
    <row r="17" ht="15.0" customHeight="1">
      <c r="A17" s="46" t="s">
        <v>40</v>
      </c>
      <c r="B17" s="52" t="s">
        <v>26</v>
      </c>
      <c r="C17" s="53" t="s">
        <v>27</v>
      </c>
      <c r="D17" s="54"/>
      <c r="E17" s="55">
        <f t="shared" ref="E17:J17" si="3">E15-E18</f>
        <v>0</v>
      </c>
      <c r="F17" s="55">
        <f t="shared" si="3"/>
        <v>6</v>
      </c>
      <c r="G17" s="55">
        <f t="shared" si="3"/>
        <v>5</v>
      </c>
      <c r="H17" s="55">
        <f t="shared" si="3"/>
        <v>0</v>
      </c>
      <c r="I17" s="55">
        <f t="shared" si="3"/>
        <v>0</v>
      </c>
      <c r="J17" s="55">
        <f t="shared" si="3"/>
        <v>4</v>
      </c>
      <c r="K17" s="56"/>
      <c r="L17" s="30"/>
      <c r="M17" s="57" t="s">
        <v>28</v>
      </c>
      <c r="N17" s="58" t="b">
        <v>0</v>
      </c>
    </row>
    <row r="18" ht="13.5" customHeight="1">
      <c r="A18" s="64"/>
      <c r="B18" s="59"/>
      <c r="C18" s="53" t="s">
        <v>30</v>
      </c>
      <c r="D18" s="54"/>
      <c r="E18" s="60"/>
      <c r="F18" s="60"/>
      <c r="G18" s="60"/>
      <c r="H18" s="60"/>
      <c r="I18" s="60"/>
      <c r="J18" s="84">
        <v>1.0</v>
      </c>
      <c r="K18" s="61" t="s">
        <v>30</v>
      </c>
      <c r="L18" s="62">
        <f>(E18*E11)+(F18*F11)+(G18*G11)+(H18*H11)+(I18*I11)+(J18*J11)</f>
        <v>37</v>
      </c>
      <c r="M18" s="57" t="s">
        <v>31</v>
      </c>
      <c r="N18" s="63" t="b">
        <v>0</v>
      </c>
    </row>
    <row r="19" ht="13.5" customHeight="1">
      <c r="A19" s="68"/>
      <c r="B19" s="65" t="s">
        <v>42</v>
      </c>
      <c r="C19" s="53" t="s">
        <v>34</v>
      </c>
      <c r="D19" s="54"/>
      <c r="E19" s="66"/>
      <c r="F19" s="76">
        <v>6.0</v>
      </c>
      <c r="G19" s="76">
        <v>6.0</v>
      </c>
      <c r="H19" s="76"/>
      <c r="I19" s="76"/>
      <c r="J19" s="76">
        <v>6.0</v>
      </c>
      <c r="K19" s="67" t="s">
        <v>35</v>
      </c>
      <c r="L19" s="62">
        <f>(E19*E11)+(F19*F11)+(G19*G11)+(H19*H11)+(I19*I11)+(J19*J11)</f>
        <v>546</v>
      </c>
      <c r="M19" s="57" t="s">
        <v>36</v>
      </c>
      <c r="N19" s="63" t="b">
        <v>0</v>
      </c>
    </row>
    <row r="20" ht="13.5" customHeight="1">
      <c r="A20" s="46" t="s">
        <v>43</v>
      </c>
      <c r="B20" s="69">
        <f>IFS(L20=0,"",B20&lt;&gt;"",B20,TRUE,NOW())</f>
        <v>46149.56496</v>
      </c>
      <c r="C20" s="70" t="s">
        <v>37</v>
      </c>
      <c r="D20" s="33"/>
      <c r="E20" s="71"/>
      <c r="F20" s="71"/>
      <c r="G20" s="71"/>
      <c r="H20" s="71"/>
      <c r="I20" s="71"/>
      <c r="J20" s="71"/>
      <c r="K20" s="72" t="s">
        <v>38</v>
      </c>
      <c r="L20" s="73">
        <f>L19-L18</f>
        <v>509</v>
      </c>
      <c r="M20" s="74" t="s">
        <v>39</v>
      </c>
      <c r="N20" s="75" t="b">
        <v>0</v>
      </c>
    </row>
    <row r="21" ht="13.5" customHeight="1">
      <c r="A21" s="64" t="s">
        <v>178</v>
      </c>
      <c r="B21" s="52" t="s">
        <v>26</v>
      </c>
      <c r="C21" s="53" t="s">
        <v>27</v>
      </c>
      <c r="D21" s="54"/>
      <c r="E21" s="55">
        <f t="shared" ref="E21:J21" si="4">E19-E22</f>
        <v>0</v>
      </c>
      <c r="F21" s="55">
        <f t="shared" si="4"/>
        <v>6</v>
      </c>
      <c r="G21" s="55">
        <f t="shared" si="4"/>
        <v>6</v>
      </c>
      <c r="H21" s="55">
        <f t="shared" si="4"/>
        <v>0</v>
      </c>
      <c r="I21" s="55">
        <f t="shared" si="4"/>
        <v>0</v>
      </c>
      <c r="J21" s="55">
        <f t="shared" si="4"/>
        <v>6</v>
      </c>
      <c r="K21" s="56"/>
      <c r="L21" s="30"/>
      <c r="M21" s="57" t="s">
        <v>28</v>
      </c>
      <c r="N21" s="58" t="b">
        <v>0</v>
      </c>
    </row>
    <row r="22" ht="13.5" customHeight="1">
      <c r="A22" s="46" t="s">
        <v>45</v>
      </c>
      <c r="B22" s="59"/>
      <c r="C22" s="53" t="s">
        <v>30</v>
      </c>
      <c r="D22" s="54"/>
      <c r="E22" s="60"/>
      <c r="F22" s="60"/>
      <c r="G22" s="60"/>
      <c r="H22" s="60"/>
      <c r="I22" s="60"/>
      <c r="J22" s="60"/>
      <c r="K22" s="61" t="s">
        <v>30</v>
      </c>
      <c r="L22" s="62">
        <f>(E22*E11)+(F22*F11)+(G22*G11)+(H22*H11)+(I22*I11)+(J22*J11)</f>
        <v>0</v>
      </c>
      <c r="M22" s="57" t="s">
        <v>31</v>
      </c>
      <c r="N22" s="63" t="b">
        <v>0</v>
      </c>
    </row>
    <row r="23" ht="13.5" customHeight="1">
      <c r="A23" s="77" t="s">
        <v>179</v>
      </c>
      <c r="B23" s="65" t="s">
        <v>47</v>
      </c>
      <c r="C23" s="53" t="s">
        <v>34</v>
      </c>
      <c r="D23" s="54"/>
      <c r="E23" s="66"/>
      <c r="F23" s="66"/>
      <c r="G23" s="66"/>
      <c r="H23" s="66"/>
      <c r="I23" s="66"/>
      <c r="J23" s="66"/>
      <c r="K23" s="67" t="s">
        <v>35</v>
      </c>
      <c r="L23" s="62">
        <f>(E23*E11)+(F23*F11)+(G23*G11)+(H23*H11)+(I23*I11)+(J23*J11)</f>
        <v>0</v>
      </c>
      <c r="M23" s="57" t="s">
        <v>36</v>
      </c>
      <c r="N23" s="63" t="b">
        <v>0</v>
      </c>
    </row>
    <row r="24" ht="15.0" customHeight="1">
      <c r="A24" s="68"/>
      <c r="B24" s="69" t="str">
        <f>IFS(L24=0,"",B24&lt;&gt;"",B24,TRUE,NOW())</f>
        <v/>
      </c>
      <c r="C24" s="70" t="s">
        <v>37</v>
      </c>
      <c r="D24" s="33"/>
      <c r="E24" s="71"/>
      <c r="F24" s="71"/>
      <c r="G24" s="71"/>
      <c r="H24" s="71"/>
      <c r="I24" s="71"/>
      <c r="J24" s="71"/>
      <c r="K24" s="72" t="s">
        <v>38</v>
      </c>
      <c r="L24" s="73">
        <f>L23-L22</f>
        <v>0</v>
      </c>
      <c r="M24" s="74" t="s">
        <v>39</v>
      </c>
      <c r="N24" s="75" t="b">
        <v>0</v>
      </c>
    </row>
    <row r="25" ht="13.5" customHeight="1">
      <c r="A25" s="78" t="s">
        <v>48</v>
      </c>
      <c r="B25" s="52" t="s">
        <v>26</v>
      </c>
      <c r="C25" s="53" t="s">
        <v>27</v>
      </c>
      <c r="D25" s="54"/>
      <c r="E25" s="55">
        <f t="shared" ref="E25:J25" si="5">E23-E26</f>
        <v>0</v>
      </c>
      <c r="F25" s="55">
        <f t="shared" si="5"/>
        <v>0</v>
      </c>
      <c r="G25" s="55">
        <f t="shared" si="5"/>
        <v>0</v>
      </c>
      <c r="H25" s="55">
        <f t="shared" si="5"/>
        <v>0</v>
      </c>
      <c r="I25" s="55">
        <f t="shared" si="5"/>
        <v>0</v>
      </c>
      <c r="J25" s="55">
        <f t="shared" si="5"/>
        <v>0</v>
      </c>
      <c r="K25" s="56"/>
      <c r="L25" s="30"/>
      <c r="M25" s="57" t="s">
        <v>28</v>
      </c>
      <c r="N25" s="58" t="b">
        <v>0</v>
      </c>
    </row>
    <row r="26" ht="13.5" customHeight="1">
      <c r="A26" s="79" t="s">
        <v>177</v>
      </c>
      <c r="B26" s="59"/>
      <c r="C26" s="53" t="s">
        <v>30</v>
      </c>
      <c r="D26" s="54"/>
      <c r="E26" s="60"/>
      <c r="F26" s="60"/>
      <c r="G26" s="60"/>
      <c r="H26" s="60"/>
      <c r="I26" s="60"/>
      <c r="J26" s="60"/>
      <c r="K26" s="61" t="s">
        <v>30</v>
      </c>
      <c r="L26" s="62">
        <f>(E26*E11)+(F26*F11)+(G26*G11)+(H26*H11)+(I26*I11)+(J26*J11)</f>
        <v>0</v>
      </c>
      <c r="M26" s="57" t="s">
        <v>31</v>
      </c>
      <c r="N26" s="63" t="b">
        <v>0</v>
      </c>
    </row>
    <row r="27" ht="13.5" customHeight="1">
      <c r="A27" s="68"/>
      <c r="B27" s="65" t="s">
        <v>49</v>
      </c>
      <c r="C27" s="53" t="s">
        <v>34</v>
      </c>
      <c r="D27" s="54"/>
      <c r="E27" s="66"/>
      <c r="F27" s="66"/>
      <c r="G27" s="66"/>
      <c r="H27" s="66"/>
      <c r="I27" s="66"/>
      <c r="J27" s="66"/>
      <c r="K27" s="67" t="s">
        <v>35</v>
      </c>
      <c r="L27" s="62">
        <f>(E27*E11)+(F27*F11)+(G27*G11)+(H27*H11)+(I27*I11)+(J27*J11)</f>
        <v>0</v>
      </c>
      <c r="M27" s="57" t="s">
        <v>36</v>
      </c>
      <c r="N27" s="63" t="b">
        <v>0</v>
      </c>
    </row>
    <row r="28" ht="13.5" customHeight="1">
      <c r="A28" s="80"/>
      <c r="B28" s="69" t="str">
        <f>IFS(L28=0,"",B28&lt;&gt;"",B28,TRUE,NOW())</f>
        <v/>
      </c>
      <c r="C28" s="53" t="s">
        <v>37</v>
      </c>
      <c r="D28" s="54"/>
      <c r="E28" s="81"/>
      <c r="F28" s="81"/>
      <c r="G28" s="81"/>
      <c r="H28" s="82"/>
      <c r="I28" s="81"/>
      <c r="J28" s="81"/>
      <c r="K28" s="72" t="s">
        <v>38</v>
      </c>
      <c r="L28" s="73">
        <f>L27-L26</f>
        <v>0</v>
      </c>
      <c r="M28" s="74" t="s">
        <v>39</v>
      </c>
      <c r="N28" s="75" t="b">
        <v>0</v>
      </c>
    </row>
    <row r="29" ht="13.5" customHeight="1">
      <c r="A29" s="83" t="s">
        <v>50</v>
      </c>
      <c r="B29" s="42" t="s">
        <v>20</v>
      </c>
      <c r="C29" s="24"/>
      <c r="D29" s="33"/>
      <c r="E29" s="43">
        <f t="shared" ref="E29:J29" si="6">E6</f>
        <v>17</v>
      </c>
      <c r="F29" s="43">
        <f t="shared" si="6"/>
        <v>27</v>
      </c>
      <c r="G29" s="43">
        <f t="shared" si="6"/>
        <v>27</v>
      </c>
      <c r="H29" s="43">
        <f t="shared" si="6"/>
        <v>27</v>
      </c>
      <c r="I29" s="43">
        <f t="shared" si="6"/>
        <v>32</v>
      </c>
      <c r="J29" s="44">
        <f t="shared" si="6"/>
        <v>37</v>
      </c>
      <c r="K29" s="42" t="s">
        <v>21</v>
      </c>
      <c r="L29" s="25"/>
      <c r="M29" s="45" t="s">
        <v>22</v>
      </c>
      <c r="N29" s="25"/>
    </row>
    <row r="30" ht="13.5" customHeight="1">
      <c r="A30" s="46" t="s">
        <v>23</v>
      </c>
      <c r="B30" s="47" t="s">
        <v>24</v>
      </c>
      <c r="C30" s="32" t="s">
        <v>25</v>
      </c>
      <c r="D30" s="33"/>
      <c r="E30" s="48"/>
      <c r="F30" s="48"/>
      <c r="G30" s="48"/>
      <c r="H30" s="48"/>
      <c r="I30" s="48"/>
      <c r="J30" s="48"/>
      <c r="K30" s="49"/>
      <c r="L30" s="25"/>
      <c r="M30" s="50"/>
      <c r="N30" s="10"/>
    </row>
    <row r="31" ht="15.0" customHeight="1">
      <c r="A31" s="92"/>
      <c r="B31" s="52" t="s">
        <v>51</v>
      </c>
      <c r="C31" s="53" t="s">
        <v>27</v>
      </c>
      <c r="D31" s="54"/>
      <c r="E31" s="55">
        <f t="shared" ref="E31:J31" si="7">E30-E32</f>
        <v>0</v>
      </c>
      <c r="F31" s="55">
        <f t="shared" si="7"/>
        <v>-3</v>
      </c>
      <c r="G31" s="55">
        <f t="shared" si="7"/>
        <v>0</v>
      </c>
      <c r="H31" s="55">
        <f t="shared" si="7"/>
        <v>0</v>
      </c>
      <c r="I31" s="55">
        <f t="shared" si="7"/>
        <v>-1</v>
      </c>
      <c r="J31" s="55">
        <f t="shared" si="7"/>
        <v>-3</v>
      </c>
      <c r="K31" s="56"/>
      <c r="L31" s="30"/>
      <c r="M31" s="57" t="s">
        <v>28</v>
      </c>
      <c r="N31" s="58" t="b">
        <v>0</v>
      </c>
    </row>
    <row r="32" ht="13.5" customHeight="1">
      <c r="A32" s="46" t="s">
        <v>29</v>
      </c>
      <c r="B32" s="59"/>
      <c r="C32" s="53" t="s">
        <v>30</v>
      </c>
      <c r="D32" s="54"/>
      <c r="E32" s="60"/>
      <c r="F32" s="84">
        <v>3.0</v>
      </c>
      <c r="G32" s="60"/>
      <c r="H32" s="60"/>
      <c r="I32" s="84">
        <v>1.0</v>
      </c>
      <c r="J32" s="84">
        <v>3.0</v>
      </c>
      <c r="K32" s="61" t="s">
        <v>30</v>
      </c>
      <c r="L32" s="62">
        <f>(E32*E29)+(F32*F29)+(G32*G29)+(H32*H29)+(I32*I29)+(J32*J29)</f>
        <v>224</v>
      </c>
      <c r="M32" s="57" t="s">
        <v>31</v>
      </c>
      <c r="N32" s="63" t="b">
        <v>0</v>
      </c>
    </row>
    <row r="33" ht="13.5" customHeight="1">
      <c r="A33" s="64" t="s">
        <v>180</v>
      </c>
      <c r="B33" s="65" t="s">
        <v>33</v>
      </c>
      <c r="C33" s="53" t="s">
        <v>34</v>
      </c>
      <c r="D33" s="54"/>
      <c r="E33" s="66"/>
      <c r="F33" s="76">
        <v>4.0</v>
      </c>
      <c r="G33" s="76">
        <v>1.0</v>
      </c>
      <c r="H33" s="76">
        <v>2.0</v>
      </c>
      <c r="I33" s="76">
        <v>3.0</v>
      </c>
      <c r="J33" s="76">
        <v>3.0</v>
      </c>
      <c r="K33" s="67" t="s">
        <v>35</v>
      </c>
      <c r="L33" s="62">
        <f>(E33*E29)+(F33*F29)+(G33*G29)+(H33*H29)+(I33*I29)+(J33*J29)</f>
        <v>396</v>
      </c>
      <c r="M33" s="57" t="s">
        <v>36</v>
      </c>
      <c r="N33" s="63" t="b">
        <v>0</v>
      </c>
    </row>
    <row r="34" ht="13.5" customHeight="1">
      <c r="A34" s="68"/>
      <c r="B34" s="69">
        <f>IFS(L34=0,"",B34&lt;&gt;"",B34,TRUE,NOW())</f>
        <v>46142.57178</v>
      </c>
      <c r="C34" s="70" t="s">
        <v>37</v>
      </c>
      <c r="D34" s="33"/>
      <c r="E34" s="71"/>
      <c r="F34" s="71"/>
      <c r="G34" s="71"/>
      <c r="H34" s="71"/>
      <c r="I34" s="71"/>
      <c r="J34" s="71"/>
      <c r="K34" s="72" t="s">
        <v>38</v>
      </c>
      <c r="L34" s="73">
        <f>L33-L32</f>
        <v>172</v>
      </c>
      <c r="M34" s="74" t="s">
        <v>39</v>
      </c>
      <c r="N34" s="75" t="b">
        <v>0</v>
      </c>
    </row>
    <row r="35" ht="13.5" customHeight="1">
      <c r="A35" s="46" t="s">
        <v>40</v>
      </c>
      <c r="B35" s="52" t="s">
        <v>51</v>
      </c>
      <c r="C35" s="53" t="s">
        <v>27</v>
      </c>
      <c r="D35" s="54"/>
      <c r="E35" s="55">
        <f t="shared" ref="E35:J35" si="8">E33-E36</f>
        <v>0</v>
      </c>
      <c r="F35" s="55">
        <f t="shared" si="8"/>
        <v>4</v>
      </c>
      <c r="G35" s="55">
        <f t="shared" si="8"/>
        <v>1</v>
      </c>
      <c r="H35" s="55">
        <f t="shared" si="8"/>
        <v>2</v>
      </c>
      <c r="I35" s="55">
        <f t="shared" si="8"/>
        <v>3</v>
      </c>
      <c r="J35" s="55">
        <f t="shared" si="8"/>
        <v>3</v>
      </c>
      <c r="K35" s="56"/>
      <c r="L35" s="30"/>
      <c r="M35" s="57" t="s">
        <v>28</v>
      </c>
      <c r="N35" s="58" t="b">
        <v>0</v>
      </c>
    </row>
    <row r="36" ht="15.0" customHeight="1">
      <c r="A36" s="64"/>
      <c r="B36" s="59"/>
      <c r="C36" s="53" t="s">
        <v>30</v>
      </c>
      <c r="D36" s="54"/>
      <c r="E36" s="60"/>
      <c r="F36" s="60"/>
      <c r="G36" s="60"/>
      <c r="H36" s="60"/>
      <c r="I36" s="84"/>
      <c r="J36" s="84"/>
      <c r="K36" s="61" t="s">
        <v>30</v>
      </c>
      <c r="L36" s="62">
        <f>(E36*E29)+(F36*F29)+(G36*G29)+(H36*H29)+(I36*I29)+(J36*J29)</f>
        <v>0</v>
      </c>
      <c r="M36" s="57" t="s">
        <v>31</v>
      </c>
      <c r="N36" s="63" t="b">
        <v>0</v>
      </c>
    </row>
    <row r="37" ht="13.5" customHeight="1">
      <c r="A37" s="68"/>
      <c r="B37" s="65" t="s">
        <v>42</v>
      </c>
      <c r="C37" s="53" t="s">
        <v>34</v>
      </c>
      <c r="D37" s="54"/>
      <c r="E37" s="66"/>
      <c r="F37" s="76">
        <v>7.0</v>
      </c>
      <c r="G37" s="76">
        <v>2.0</v>
      </c>
      <c r="H37" s="76">
        <v>2.0</v>
      </c>
      <c r="I37" s="76">
        <v>6.0</v>
      </c>
      <c r="J37" s="76">
        <v>1.0</v>
      </c>
      <c r="K37" s="67" t="s">
        <v>35</v>
      </c>
      <c r="L37" s="62">
        <f>(E37*E29)+(F37*F29)+(G37*G29)+(H37*H29)+(I37*I29)+(J37*J29)</f>
        <v>526</v>
      </c>
      <c r="M37" s="57" t="s">
        <v>36</v>
      </c>
      <c r="N37" s="63" t="b">
        <v>0</v>
      </c>
    </row>
    <row r="38" ht="13.5" customHeight="1">
      <c r="A38" s="46" t="s">
        <v>43</v>
      </c>
      <c r="B38" s="69">
        <f>IFS(L38=0,"",B38&lt;&gt;"",B38,TRUE,NOW())</f>
        <v>46149.60382</v>
      </c>
      <c r="C38" s="70" t="s">
        <v>37</v>
      </c>
      <c r="D38" s="33"/>
      <c r="E38" s="71"/>
      <c r="F38" s="71"/>
      <c r="G38" s="71"/>
      <c r="H38" s="71"/>
      <c r="I38" s="71"/>
      <c r="J38" s="71"/>
      <c r="K38" s="72" t="s">
        <v>38</v>
      </c>
      <c r="L38" s="73">
        <f>L37-L36</f>
        <v>526</v>
      </c>
      <c r="M38" s="74" t="s">
        <v>39</v>
      </c>
      <c r="N38" s="75" t="b">
        <v>0</v>
      </c>
    </row>
    <row r="39" ht="13.5" customHeight="1">
      <c r="A39" s="64"/>
      <c r="B39" s="52" t="s">
        <v>51</v>
      </c>
      <c r="C39" s="53" t="s">
        <v>27</v>
      </c>
      <c r="D39" s="54"/>
      <c r="E39" s="55">
        <f t="shared" ref="E39:J39" si="9">E37-E40</f>
        <v>0</v>
      </c>
      <c r="F39" s="55">
        <f t="shared" si="9"/>
        <v>7</v>
      </c>
      <c r="G39" s="55">
        <f t="shared" si="9"/>
        <v>2</v>
      </c>
      <c r="H39" s="55">
        <f t="shared" si="9"/>
        <v>2</v>
      </c>
      <c r="I39" s="55">
        <f t="shared" si="9"/>
        <v>6</v>
      </c>
      <c r="J39" s="55">
        <f t="shared" si="9"/>
        <v>1</v>
      </c>
      <c r="K39" s="56"/>
      <c r="L39" s="30"/>
      <c r="M39" s="57" t="s">
        <v>28</v>
      </c>
      <c r="N39" s="58" t="b">
        <v>0</v>
      </c>
    </row>
    <row r="40" ht="13.5" customHeight="1">
      <c r="A40" s="46" t="s">
        <v>45</v>
      </c>
      <c r="B40" s="59"/>
      <c r="C40" s="53" t="s">
        <v>30</v>
      </c>
      <c r="D40" s="54"/>
      <c r="E40" s="60"/>
      <c r="F40" s="60"/>
      <c r="G40" s="60"/>
      <c r="H40" s="60"/>
      <c r="I40" s="60"/>
      <c r="J40" s="60"/>
      <c r="K40" s="61" t="s">
        <v>30</v>
      </c>
      <c r="L40" s="62">
        <f>(E40*E29)+(F40*F29)+(G40*G29)+(H40*H29)+(I40*I29)+(J40*J29)</f>
        <v>0</v>
      </c>
      <c r="M40" s="57" t="s">
        <v>31</v>
      </c>
      <c r="N40" s="63" t="b">
        <v>0</v>
      </c>
    </row>
    <row r="41" ht="15.0" customHeight="1">
      <c r="A41" s="77"/>
      <c r="B41" s="65" t="s">
        <v>47</v>
      </c>
      <c r="C41" s="53" t="s">
        <v>34</v>
      </c>
      <c r="D41" s="54"/>
      <c r="E41" s="66"/>
      <c r="F41" s="66"/>
      <c r="G41" s="66"/>
      <c r="H41" s="66"/>
      <c r="I41" s="66"/>
      <c r="J41" s="66"/>
      <c r="K41" s="67" t="s">
        <v>35</v>
      </c>
      <c r="L41" s="62">
        <f>(E41*E29)+(F41*F29)+(G41*G29)+(H41*H29)+(I41*I29)+(J41*J29)</f>
        <v>0</v>
      </c>
      <c r="M41" s="57" t="s">
        <v>36</v>
      </c>
      <c r="N41" s="63" t="b">
        <v>0</v>
      </c>
    </row>
    <row r="42" ht="13.5" customHeight="1">
      <c r="A42" s="68"/>
      <c r="B42" s="69" t="str">
        <f>IFS(L42=0,"",B42&lt;&gt;"",B42,TRUE,NOW())</f>
        <v/>
      </c>
      <c r="C42" s="70" t="s">
        <v>37</v>
      </c>
      <c r="D42" s="33"/>
      <c r="E42" s="71"/>
      <c r="F42" s="71"/>
      <c r="G42" s="71"/>
      <c r="H42" s="71"/>
      <c r="I42" s="71"/>
      <c r="J42" s="71"/>
      <c r="K42" s="72" t="s">
        <v>38</v>
      </c>
      <c r="L42" s="73">
        <f>L41-L40</f>
        <v>0</v>
      </c>
      <c r="M42" s="74" t="s">
        <v>39</v>
      </c>
      <c r="N42" s="75" t="b">
        <v>0</v>
      </c>
    </row>
    <row r="43" ht="13.5" customHeight="1">
      <c r="A43" s="78" t="s">
        <v>48</v>
      </c>
      <c r="B43" s="52" t="s">
        <v>51</v>
      </c>
      <c r="C43" s="53" t="s">
        <v>27</v>
      </c>
      <c r="D43" s="54"/>
      <c r="E43" s="55">
        <f t="shared" ref="E43:J43" si="10">E41-E44</f>
        <v>0</v>
      </c>
      <c r="F43" s="55">
        <f t="shared" si="10"/>
        <v>0</v>
      </c>
      <c r="G43" s="55">
        <f t="shared" si="10"/>
        <v>0</v>
      </c>
      <c r="H43" s="55">
        <f t="shared" si="10"/>
        <v>0</v>
      </c>
      <c r="I43" s="55">
        <f t="shared" si="10"/>
        <v>0</v>
      </c>
      <c r="J43" s="55">
        <f t="shared" si="10"/>
        <v>0</v>
      </c>
      <c r="K43" s="56"/>
      <c r="L43" s="30"/>
      <c r="M43" s="57" t="s">
        <v>28</v>
      </c>
      <c r="N43" s="58" t="b">
        <v>0</v>
      </c>
    </row>
    <row r="44" ht="13.5" customHeight="1">
      <c r="A44" s="87"/>
      <c r="B44" s="59"/>
      <c r="C44" s="53" t="s">
        <v>30</v>
      </c>
      <c r="D44" s="54"/>
      <c r="E44" s="60"/>
      <c r="F44" s="60"/>
      <c r="G44" s="60"/>
      <c r="H44" s="60"/>
      <c r="I44" s="60"/>
      <c r="J44" s="60"/>
      <c r="K44" s="61" t="s">
        <v>30</v>
      </c>
      <c r="L44" s="62">
        <f>(E44*E29)+(F44*F29)+(G44*G29)+(H44*H29)+(I44*I29)+(J44*J29)</f>
        <v>0</v>
      </c>
      <c r="M44" s="57" t="s">
        <v>31</v>
      </c>
      <c r="N44" s="63" t="b">
        <v>0</v>
      </c>
    </row>
    <row r="45" ht="13.5" customHeight="1">
      <c r="A45" s="68"/>
      <c r="B45" s="65" t="s">
        <v>49</v>
      </c>
      <c r="C45" s="53" t="s">
        <v>34</v>
      </c>
      <c r="D45" s="54"/>
      <c r="E45" s="66"/>
      <c r="F45" s="66"/>
      <c r="G45" s="66"/>
      <c r="H45" s="66"/>
      <c r="I45" s="66"/>
      <c r="J45" s="66"/>
      <c r="K45" s="67" t="s">
        <v>35</v>
      </c>
      <c r="L45" s="62">
        <f>(E45*E29)+(F45*F29)+(G45*G29)+(H45*H29)+(I45*I29)+(J45*J29)</f>
        <v>0</v>
      </c>
      <c r="M45" s="57" t="s">
        <v>36</v>
      </c>
      <c r="N45" s="63" t="b">
        <v>0</v>
      </c>
    </row>
    <row r="46" ht="15.0" customHeight="1">
      <c r="A46" s="80"/>
      <c r="B46" s="69" t="str">
        <f>IFS(L46=0,"",B46&lt;&gt;"",B46,TRUE,NOW())</f>
        <v/>
      </c>
      <c r="C46" s="53" t="s">
        <v>37</v>
      </c>
      <c r="D46" s="54"/>
      <c r="E46" s="81"/>
      <c r="F46" s="81"/>
      <c r="G46" s="81"/>
      <c r="H46" s="82"/>
      <c r="I46" s="81"/>
      <c r="J46" s="81"/>
      <c r="K46" s="72" t="s">
        <v>38</v>
      </c>
      <c r="L46" s="73">
        <f>L45-L44</f>
        <v>0</v>
      </c>
      <c r="M46" s="74" t="s">
        <v>39</v>
      </c>
      <c r="N46" s="75" t="b">
        <v>0</v>
      </c>
    </row>
    <row r="47" ht="13.5" customHeight="1">
      <c r="A47" s="83" t="s">
        <v>56</v>
      </c>
      <c r="B47" s="42" t="s">
        <v>20</v>
      </c>
      <c r="C47" s="24"/>
      <c r="D47" s="33"/>
      <c r="E47" s="43">
        <f t="shared" ref="E47:J47" si="11">E6</f>
        <v>17</v>
      </c>
      <c r="F47" s="43">
        <f t="shared" si="11"/>
        <v>27</v>
      </c>
      <c r="G47" s="43">
        <f t="shared" si="11"/>
        <v>27</v>
      </c>
      <c r="H47" s="43">
        <f t="shared" si="11"/>
        <v>27</v>
      </c>
      <c r="I47" s="43">
        <f t="shared" si="11"/>
        <v>32</v>
      </c>
      <c r="J47" s="44">
        <f t="shared" si="11"/>
        <v>37</v>
      </c>
      <c r="K47" s="42" t="s">
        <v>21</v>
      </c>
      <c r="L47" s="25"/>
      <c r="M47" s="45" t="s">
        <v>22</v>
      </c>
      <c r="N47" s="25"/>
    </row>
    <row r="48" ht="13.5" customHeight="1">
      <c r="A48" s="46" t="s">
        <v>23</v>
      </c>
      <c r="B48" s="47" t="s">
        <v>24</v>
      </c>
      <c r="C48" s="32" t="s">
        <v>25</v>
      </c>
      <c r="D48" s="33"/>
      <c r="E48" s="48"/>
      <c r="F48" s="48"/>
      <c r="G48" s="48"/>
      <c r="H48" s="48"/>
      <c r="I48" s="48"/>
      <c r="J48" s="48"/>
      <c r="K48" s="49"/>
      <c r="L48" s="25"/>
      <c r="M48" s="50"/>
      <c r="N48" s="10"/>
    </row>
    <row r="49" ht="13.5" customHeight="1">
      <c r="A49" s="92"/>
      <c r="B49" s="52" t="s">
        <v>57</v>
      </c>
      <c r="C49" s="53" t="s">
        <v>27</v>
      </c>
      <c r="D49" s="54"/>
      <c r="E49" s="55">
        <f t="shared" ref="E49:J49" si="12">E48-E50</f>
        <v>0</v>
      </c>
      <c r="F49" s="55">
        <f t="shared" si="12"/>
        <v>-2</v>
      </c>
      <c r="G49" s="55">
        <f t="shared" si="12"/>
        <v>0</v>
      </c>
      <c r="H49" s="55">
        <f t="shared" si="12"/>
        <v>-1</v>
      </c>
      <c r="I49" s="55">
        <f t="shared" si="12"/>
        <v>0</v>
      </c>
      <c r="J49" s="55">
        <f t="shared" si="12"/>
        <v>-3</v>
      </c>
      <c r="K49" s="56"/>
      <c r="L49" s="30"/>
      <c r="M49" s="57" t="s">
        <v>28</v>
      </c>
      <c r="N49" s="58" t="b">
        <v>0</v>
      </c>
    </row>
    <row r="50" ht="13.5" customHeight="1">
      <c r="A50" s="46" t="s">
        <v>29</v>
      </c>
      <c r="B50" s="59"/>
      <c r="C50" s="53" t="s">
        <v>30</v>
      </c>
      <c r="D50" s="54"/>
      <c r="E50" s="60"/>
      <c r="F50" s="84">
        <v>2.0</v>
      </c>
      <c r="G50" s="60"/>
      <c r="H50" s="84">
        <v>1.0</v>
      </c>
      <c r="I50" s="60"/>
      <c r="J50" s="84">
        <v>3.0</v>
      </c>
      <c r="K50" s="61" t="s">
        <v>30</v>
      </c>
      <c r="L50" s="62">
        <f>(E50*E47)+(F50*F47)+(G50*G47)+(H50*H47)+(I50*I47)+(J50*J47)</f>
        <v>192</v>
      </c>
      <c r="M50" s="57" t="s">
        <v>31</v>
      </c>
      <c r="N50" s="63" t="b">
        <v>0</v>
      </c>
    </row>
    <row r="51" ht="13.5" customHeight="1">
      <c r="A51" s="64" t="s">
        <v>181</v>
      </c>
      <c r="B51" s="65" t="s">
        <v>33</v>
      </c>
      <c r="C51" s="53" t="s">
        <v>34</v>
      </c>
      <c r="D51" s="54"/>
      <c r="E51" s="66"/>
      <c r="F51" s="76">
        <v>5.0</v>
      </c>
      <c r="G51" s="76">
        <v>5.0</v>
      </c>
      <c r="H51" s="76">
        <v>2.0</v>
      </c>
      <c r="I51" s="76">
        <v>2.0</v>
      </c>
      <c r="J51" s="76">
        <v>5.0</v>
      </c>
      <c r="K51" s="67" t="s">
        <v>35</v>
      </c>
      <c r="L51" s="62">
        <f>(E51*E47)+(F51*F47)+(G51*G47)+(H51*H47)+(I51*I47)+(J51*J47)</f>
        <v>573</v>
      </c>
      <c r="M51" s="57" t="s">
        <v>36</v>
      </c>
      <c r="N51" s="63" t="b">
        <v>0</v>
      </c>
    </row>
    <row r="52" ht="13.5" customHeight="1">
      <c r="A52" s="68"/>
      <c r="B52" s="69">
        <f>IFS(L52=0,"",B52&lt;&gt;"",B52,TRUE,NOW())</f>
        <v>46142.61773</v>
      </c>
      <c r="C52" s="70" t="s">
        <v>37</v>
      </c>
      <c r="D52" s="33"/>
      <c r="E52" s="71"/>
      <c r="F52" s="71"/>
      <c r="G52" s="71"/>
      <c r="H52" s="71"/>
      <c r="I52" s="71"/>
      <c r="J52" s="71"/>
      <c r="K52" s="72" t="s">
        <v>38</v>
      </c>
      <c r="L52" s="73">
        <f>L51-L50</f>
        <v>381</v>
      </c>
      <c r="M52" s="74" t="s">
        <v>39</v>
      </c>
      <c r="N52" s="75" t="b">
        <v>0</v>
      </c>
    </row>
    <row r="53" ht="15.0" customHeight="1">
      <c r="A53" s="46" t="s">
        <v>40</v>
      </c>
      <c r="B53" s="52" t="s">
        <v>57</v>
      </c>
      <c r="C53" s="53" t="s">
        <v>27</v>
      </c>
      <c r="D53" s="54"/>
      <c r="E53" s="55">
        <f t="shared" ref="E53:J53" si="13">E51-E54</f>
        <v>0</v>
      </c>
      <c r="F53" s="55">
        <f t="shared" si="13"/>
        <v>3</v>
      </c>
      <c r="G53" s="55">
        <f t="shared" si="13"/>
        <v>4</v>
      </c>
      <c r="H53" s="55">
        <f t="shared" si="13"/>
        <v>2</v>
      </c>
      <c r="I53" s="55">
        <f t="shared" si="13"/>
        <v>1</v>
      </c>
      <c r="J53" s="55">
        <f t="shared" si="13"/>
        <v>5</v>
      </c>
      <c r="K53" s="56"/>
      <c r="L53" s="30"/>
      <c r="M53" s="57" t="s">
        <v>28</v>
      </c>
      <c r="N53" s="58" t="b">
        <v>0</v>
      </c>
    </row>
    <row r="54" ht="13.5" customHeight="1">
      <c r="A54" s="64"/>
      <c r="B54" s="59"/>
      <c r="C54" s="53" t="s">
        <v>30</v>
      </c>
      <c r="D54" s="54"/>
      <c r="E54" s="60"/>
      <c r="F54" s="84">
        <v>2.0</v>
      </c>
      <c r="G54" s="84">
        <v>1.0</v>
      </c>
      <c r="H54" s="84"/>
      <c r="I54" s="84">
        <v>1.0</v>
      </c>
      <c r="J54" s="84"/>
      <c r="K54" s="61" t="s">
        <v>30</v>
      </c>
      <c r="L54" s="62">
        <f>(E54*E47)+(F54*F47)+(G54*G47)+(H54*H47)+(I54*I47)+(J54*J47)</f>
        <v>113</v>
      </c>
      <c r="M54" s="57" t="s">
        <v>31</v>
      </c>
      <c r="N54" s="63" t="b">
        <v>0</v>
      </c>
    </row>
    <row r="55" ht="13.5" customHeight="1">
      <c r="A55" s="68"/>
      <c r="B55" s="65" t="s">
        <v>42</v>
      </c>
      <c r="C55" s="53" t="s">
        <v>34</v>
      </c>
      <c r="D55" s="54"/>
      <c r="E55" s="66"/>
      <c r="F55" s="76">
        <v>5.0</v>
      </c>
      <c r="G55" s="76">
        <v>5.0</v>
      </c>
      <c r="H55" s="76">
        <v>3.0</v>
      </c>
      <c r="I55" s="76">
        <v>2.0</v>
      </c>
      <c r="J55" s="76">
        <v>5.0</v>
      </c>
      <c r="K55" s="67" t="s">
        <v>35</v>
      </c>
      <c r="L55" s="62">
        <f>(E55*E47)+(F55*F47)+(G55*G47)+(H55*H47)+(I55*I47)+(J55*J47)</f>
        <v>600</v>
      </c>
      <c r="M55" s="57" t="s">
        <v>36</v>
      </c>
      <c r="N55" s="63" t="b">
        <v>0</v>
      </c>
    </row>
    <row r="56" ht="13.5" customHeight="1">
      <c r="A56" s="46" t="s">
        <v>43</v>
      </c>
      <c r="B56" s="69">
        <f>IFS(L56=0,"",B56&lt;&gt;"",B56,TRUE,NOW())</f>
        <v>46149.66645</v>
      </c>
      <c r="C56" s="70" t="s">
        <v>37</v>
      </c>
      <c r="D56" s="33"/>
      <c r="E56" s="71"/>
      <c r="F56" s="71"/>
      <c r="G56" s="71"/>
      <c r="H56" s="71"/>
      <c r="I56" s="71"/>
      <c r="J56" s="71"/>
      <c r="K56" s="72" t="s">
        <v>38</v>
      </c>
      <c r="L56" s="73">
        <f>L55-L54</f>
        <v>487</v>
      </c>
      <c r="M56" s="74" t="s">
        <v>39</v>
      </c>
      <c r="N56" s="75" t="b">
        <v>0</v>
      </c>
    </row>
    <row r="57" ht="13.5" customHeight="1">
      <c r="A57" s="64"/>
      <c r="B57" s="52" t="s">
        <v>57</v>
      </c>
      <c r="C57" s="53" t="s">
        <v>27</v>
      </c>
      <c r="D57" s="54"/>
      <c r="E57" s="55">
        <f t="shared" ref="E57:J57" si="14">E55-E58</f>
        <v>0</v>
      </c>
      <c r="F57" s="55">
        <f t="shared" si="14"/>
        <v>5</v>
      </c>
      <c r="G57" s="55">
        <f t="shared" si="14"/>
        <v>5</v>
      </c>
      <c r="H57" s="55">
        <f t="shared" si="14"/>
        <v>3</v>
      </c>
      <c r="I57" s="55">
        <f t="shared" si="14"/>
        <v>2</v>
      </c>
      <c r="J57" s="55">
        <f t="shared" si="14"/>
        <v>5</v>
      </c>
      <c r="K57" s="56"/>
      <c r="L57" s="30"/>
      <c r="M57" s="57" t="s">
        <v>28</v>
      </c>
      <c r="N57" s="58" t="b">
        <v>0</v>
      </c>
    </row>
    <row r="58" ht="15.0" customHeight="1">
      <c r="A58" s="46" t="s">
        <v>45</v>
      </c>
      <c r="B58" s="59"/>
      <c r="C58" s="53" t="s">
        <v>30</v>
      </c>
      <c r="D58" s="54"/>
      <c r="E58" s="60"/>
      <c r="F58" s="60"/>
      <c r="G58" s="60"/>
      <c r="H58" s="60"/>
      <c r="I58" s="60"/>
      <c r="J58" s="60"/>
      <c r="K58" s="61" t="s">
        <v>30</v>
      </c>
      <c r="L58" s="62">
        <f>(E58*E47)+(F58*F47)+(G58*G47)+(H58*H47)+(I58*I47)+(J58*J47)</f>
        <v>0</v>
      </c>
      <c r="M58" s="57" t="s">
        <v>31</v>
      </c>
      <c r="N58" s="63" t="b">
        <v>0</v>
      </c>
    </row>
    <row r="59" ht="13.5" customHeight="1">
      <c r="A59" s="77"/>
      <c r="B59" s="65" t="s">
        <v>47</v>
      </c>
      <c r="C59" s="53" t="s">
        <v>34</v>
      </c>
      <c r="D59" s="54"/>
      <c r="E59" s="66"/>
      <c r="F59" s="66"/>
      <c r="G59" s="66"/>
      <c r="H59" s="66"/>
      <c r="I59" s="66"/>
      <c r="J59" s="66"/>
      <c r="K59" s="67" t="s">
        <v>35</v>
      </c>
      <c r="L59" s="62">
        <f>(E59*E47)+(F59*F47)+(G59*G47)+(H59*H47)+(I59*I47)+(J59*J47)</f>
        <v>0</v>
      </c>
      <c r="M59" s="57" t="s">
        <v>36</v>
      </c>
      <c r="N59" s="63" t="b">
        <v>0</v>
      </c>
    </row>
    <row r="60" ht="13.5" customHeight="1">
      <c r="A60" s="68"/>
      <c r="B60" s="69" t="str">
        <f>IFS(L60=0,"",B60&lt;&gt;"",B60,TRUE,NOW())</f>
        <v/>
      </c>
      <c r="C60" s="70" t="s">
        <v>37</v>
      </c>
      <c r="D60" s="33"/>
      <c r="E60" s="71"/>
      <c r="F60" s="71"/>
      <c r="G60" s="71"/>
      <c r="H60" s="71"/>
      <c r="I60" s="71"/>
      <c r="J60" s="71"/>
      <c r="K60" s="72" t="s">
        <v>38</v>
      </c>
      <c r="L60" s="73">
        <f>L59-L58</f>
        <v>0</v>
      </c>
      <c r="M60" s="74" t="s">
        <v>39</v>
      </c>
      <c r="N60" s="75" t="b">
        <v>0</v>
      </c>
    </row>
    <row r="61" ht="13.5" customHeight="1">
      <c r="A61" s="78" t="s">
        <v>48</v>
      </c>
      <c r="B61" s="52" t="s">
        <v>57</v>
      </c>
      <c r="C61" s="53" t="s">
        <v>27</v>
      </c>
      <c r="D61" s="54"/>
      <c r="E61" s="55">
        <f t="shared" ref="E61:J61" si="15">E59-E62</f>
        <v>0</v>
      </c>
      <c r="F61" s="55">
        <f t="shared" si="15"/>
        <v>0</v>
      </c>
      <c r="G61" s="55">
        <f t="shared" si="15"/>
        <v>0</v>
      </c>
      <c r="H61" s="55">
        <f t="shared" si="15"/>
        <v>0</v>
      </c>
      <c r="I61" s="55">
        <f t="shared" si="15"/>
        <v>0</v>
      </c>
      <c r="J61" s="55">
        <f t="shared" si="15"/>
        <v>0</v>
      </c>
      <c r="K61" s="56"/>
      <c r="L61" s="30"/>
      <c r="M61" s="57" t="s">
        <v>28</v>
      </c>
      <c r="N61" s="58" t="b">
        <v>0</v>
      </c>
    </row>
    <row r="62" ht="13.5" customHeight="1">
      <c r="A62" s="87"/>
      <c r="B62" s="59"/>
      <c r="C62" s="53" t="s">
        <v>30</v>
      </c>
      <c r="D62" s="54"/>
      <c r="E62" s="60"/>
      <c r="F62" s="60"/>
      <c r="G62" s="60"/>
      <c r="H62" s="60"/>
      <c r="I62" s="60"/>
      <c r="J62" s="60"/>
      <c r="K62" s="61" t="s">
        <v>30</v>
      </c>
      <c r="L62" s="62">
        <f>(E62*E47)+(F62*F47)+(G62*G47)+(H62*H47)+(I62*I47)+(J62*J47)</f>
        <v>0</v>
      </c>
      <c r="M62" s="57" t="s">
        <v>31</v>
      </c>
      <c r="N62" s="63" t="b">
        <v>0</v>
      </c>
    </row>
    <row r="63" ht="15.0" customHeight="1">
      <c r="A63" s="68"/>
      <c r="B63" s="65" t="s">
        <v>49</v>
      </c>
      <c r="C63" s="53" t="s">
        <v>34</v>
      </c>
      <c r="D63" s="54"/>
      <c r="E63" s="66"/>
      <c r="F63" s="66"/>
      <c r="G63" s="66"/>
      <c r="H63" s="66"/>
      <c r="I63" s="66"/>
      <c r="J63" s="66"/>
      <c r="K63" s="67" t="s">
        <v>35</v>
      </c>
      <c r="L63" s="62">
        <f>(E63*E47)+(F63*F47)+(G63*G47)+(H63*H47)+(I63*I47)+(J63*J47)</f>
        <v>0</v>
      </c>
      <c r="M63" s="57" t="s">
        <v>36</v>
      </c>
      <c r="N63" s="63" t="b">
        <v>0</v>
      </c>
    </row>
    <row r="64" ht="13.5" customHeight="1">
      <c r="A64" s="80"/>
      <c r="B64" s="69" t="str">
        <f>IFS(L64=0,"",B64&lt;&gt;"",B64,TRUE,NOW())</f>
        <v/>
      </c>
      <c r="C64" s="53" t="s">
        <v>37</v>
      </c>
      <c r="D64" s="54"/>
      <c r="E64" s="81"/>
      <c r="F64" s="81"/>
      <c r="G64" s="81"/>
      <c r="H64" s="82"/>
      <c r="I64" s="81"/>
      <c r="J64" s="81"/>
      <c r="K64" s="72" t="s">
        <v>38</v>
      </c>
      <c r="L64" s="73">
        <f>L63-L62</f>
        <v>0</v>
      </c>
      <c r="M64" s="74" t="s">
        <v>39</v>
      </c>
      <c r="N64" s="75" t="b">
        <v>0</v>
      </c>
    </row>
    <row r="65" ht="13.5" customHeight="1">
      <c r="A65" s="83" t="s">
        <v>62</v>
      </c>
      <c r="B65" s="42" t="s">
        <v>20</v>
      </c>
      <c r="C65" s="24"/>
      <c r="D65" s="33"/>
      <c r="E65" s="43">
        <f t="shared" ref="E65:J65" si="16">E6</f>
        <v>17</v>
      </c>
      <c r="F65" s="43">
        <f t="shared" si="16"/>
        <v>27</v>
      </c>
      <c r="G65" s="43">
        <f t="shared" si="16"/>
        <v>27</v>
      </c>
      <c r="H65" s="43">
        <f t="shared" si="16"/>
        <v>27</v>
      </c>
      <c r="I65" s="43">
        <f t="shared" si="16"/>
        <v>32</v>
      </c>
      <c r="J65" s="44">
        <f t="shared" si="16"/>
        <v>37</v>
      </c>
      <c r="K65" s="42" t="s">
        <v>21</v>
      </c>
      <c r="L65" s="25"/>
      <c r="M65" s="45" t="s">
        <v>22</v>
      </c>
      <c r="N65" s="25"/>
    </row>
    <row r="66" ht="13.5" customHeight="1">
      <c r="A66" s="46" t="s">
        <v>23</v>
      </c>
      <c r="B66" s="47" t="s">
        <v>24</v>
      </c>
      <c r="C66" s="32" t="s">
        <v>25</v>
      </c>
      <c r="D66" s="33"/>
      <c r="E66" s="48"/>
      <c r="F66" s="48"/>
      <c r="G66" s="48"/>
      <c r="H66" s="48"/>
      <c r="I66" s="48"/>
      <c r="J66" s="48"/>
      <c r="K66" s="49"/>
      <c r="L66" s="25"/>
      <c r="M66" s="50"/>
      <c r="N66" s="10"/>
    </row>
    <row r="67" ht="13.5" customHeight="1">
      <c r="A67" s="92"/>
      <c r="B67" s="52" t="s">
        <v>63</v>
      </c>
      <c r="C67" s="53" t="s">
        <v>27</v>
      </c>
      <c r="D67" s="54"/>
      <c r="E67" s="55">
        <f t="shared" ref="E67:J67" si="17">E66-E68</f>
        <v>0</v>
      </c>
      <c r="F67" s="55">
        <f t="shared" si="17"/>
        <v>0</v>
      </c>
      <c r="G67" s="55">
        <f t="shared" si="17"/>
        <v>0</v>
      </c>
      <c r="H67" s="55">
        <f t="shared" si="17"/>
        <v>0</v>
      </c>
      <c r="I67" s="55">
        <f t="shared" si="17"/>
        <v>-1</v>
      </c>
      <c r="J67" s="55">
        <f t="shared" si="17"/>
        <v>0</v>
      </c>
      <c r="K67" s="56"/>
      <c r="L67" s="30"/>
      <c r="M67" s="57" t="s">
        <v>28</v>
      </c>
      <c r="N67" s="58" t="b">
        <v>0</v>
      </c>
    </row>
    <row r="68" ht="15.0" customHeight="1">
      <c r="A68" s="46" t="s">
        <v>29</v>
      </c>
      <c r="B68" s="59"/>
      <c r="C68" s="53" t="s">
        <v>30</v>
      </c>
      <c r="D68" s="54"/>
      <c r="E68" s="60"/>
      <c r="F68" s="60"/>
      <c r="G68" s="60"/>
      <c r="H68" s="60"/>
      <c r="I68" s="84">
        <v>1.0</v>
      </c>
      <c r="J68" s="60"/>
      <c r="K68" s="61" t="s">
        <v>30</v>
      </c>
      <c r="L68" s="62">
        <f>(E68*E65)+(F68*F65)+(G68*G65)+(H68*H65)+(I68*I65)+(J68*J65)</f>
        <v>32</v>
      </c>
      <c r="M68" s="57" t="s">
        <v>31</v>
      </c>
      <c r="N68" s="63" t="b">
        <v>0</v>
      </c>
    </row>
    <row r="69" ht="13.5" customHeight="1">
      <c r="A69" s="64" t="s">
        <v>182</v>
      </c>
      <c r="B69" s="65" t="s">
        <v>33</v>
      </c>
      <c r="C69" s="53" t="s">
        <v>34</v>
      </c>
      <c r="D69" s="54"/>
      <c r="E69" s="66"/>
      <c r="F69" s="66"/>
      <c r="G69" s="76">
        <v>3.0</v>
      </c>
      <c r="H69" s="66"/>
      <c r="I69" s="76">
        <v>4.0</v>
      </c>
      <c r="J69" s="76">
        <v>4.0</v>
      </c>
      <c r="K69" s="67" t="s">
        <v>35</v>
      </c>
      <c r="L69" s="62">
        <f>(E69*E65)+(F69*F65)+(G69*G65)+(H69*H65)+(I69*I65)+(J69*J65)</f>
        <v>357</v>
      </c>
      <c r="M69" s="57" t="s">
        <v>36</v>
      </c>
      <c r="N69" s="63" t="b">
        <v>0</v>
      </c>
    </row>
    <row r="70" ht="13.5" customHeight="1">
      <c r="A70" s="68"/>
      <c r="B70" s="69">
        <f>IFS(L70=0,"",B70&lt;&gt;"",B70,TRUE,NOW())</f>
        <v>46142.60745</v>
      </c>
      <c r="C70" s="70" t="s">
        <v>37</v>
      </c>
      <c r="D70" s="33"/>
      <c r="E70" s="71"/>
      <c r="F70" s="71"/>
      <c r="G70" s="71"/>
      <c r="H70" s="71"/>
      <c r="I70" s="71"/>
      <c r="J70" s="71"/>
      <c r="K70" s="72" t="s">
        <v>38</v>
      </c>
      <c r="L70" s="73">
        <f>L69-L68</f>
        <v>325</v>
      </c>
      <c r="M70" s="74" t="s">
        <v>39</v>
      </c>
      <c r="N70" s="75" t="b">
        <v>0</v>
      </c>
    </row>
    <row r="71" ht="13.5" customHeight="1">
      <c r="A71" s="46" t="s">
        <v>40</v>
      </c>
      <c r="B71" s="52" t="s">
        <v>63</v>
      </c>
      <c r="C71" s="53" t="s">
        <v>27</v>
      </c>
      <c r="D71" s="54"/>
      <c r="E71" s="55">
        <f t="shared" ref="E71:J71" si="18">E69-E72</f>
        <v>0</v>
      </c>
      <c r="F71" s="55">
        <f t="shared" si="18"/>
        <v>0</v>
      </c>
      <c r="G71" s="55">
        <f t="shared" si="18"/>
        <v>3</v>
      </c>
      <c r="H71" s="55">
        <f t="shared" si="18"/>
        <v>0</v>
      </c>
      <c r="I71" s="55">
        <f t="shared" si="18"/>
        <v>4</v>
      </c>
      <c r="J71" s="55">
        <f t="shared" si="18"/>
        <v>4</v>
      </c>
      <c r="K71" s="56"/>
      <c r="L71" s="30"/>
      <c r="M71" s="57" t="s">
        <v>28</v>
      </c>
      <c r="N71" s="58" t="b">
        <v>0</v>
      </c>
    </row>
    <row r="72" ht="13.5" customHeight="1">
      <c r="A72" s="64"/>
      <c r="B72" s="59"/>
      <c r="C72" s="53" t="s">
        <v>30</v>
      </c>
      <c r="D72" s="54"/>
      <c r="E72" s="60"/>
      <c r="F72" s="60"/>
      <c r="G72" s="60"/>
      <c r="H72" s="84"/>
      <c r="I72" s="60"/>
      <c r="J72" s="60"/>
      <c r="K72" s="61" t="s">
        <v>30</v>
      </c>
      <c r="L72" s="62">
        <f>(E72*E65)+(F72*F65)+(G72*G65)+(H72*H65)+(I72*I65)+(J72*J65)</f>
        <v>0</v>
      </c>
      <c r="M72" s="57" t="s">
        <v>31</v>
      </c>
      <c r="N72" s="63" t="b">
        <v>0</v>
      </c>
    </row>
    <row r="73" ht="13.5" customHeight="1">
      <c r="A73" s="68"/>
      <c r="B73" s="65" t="s">
        <v>42</v>
      </c>
      <c r="C73" s="53" t="s">
        <v>34</v>
      </c>
      <c r="D73" s="54"/>
      <c r="E73" s="66"/>
      <c r="F73" s="76">
        <v>3.0</v>
      </c>
      <c r="G73" s="76">
        <v>3.0</v>
      </c>
      <c r="H73" s="76">
        <v>1.0</v>
      </c>
      <c r="I73" s="76">
        <v>5.0</v>
      </c>
      <c r="J73" s="76">
        <v>4.0</v>
      </c>
      <c r="K73" s="67" t="s">
        <v>35</v>
      </c>
      <c r="L73" s="62">
        <f>(E73*E65)+(F73*F65)+(G73*G65)+(H73*H65)+(I73*I65)+(J73*J65)</f>
        <v>497</v>
      </c>
      <c r="M73" s="57" t="s">
        <v>36</v>
      </c>
      <c r="N73" s="63" t="b">
        <v>0</v>
      </c>
    </row>
    <row r="74" ht="13.5" customHeight="1">
      <c r="A74" s="46" t="s">
        <v>43</v>
      </c>
      <c r="B74" s="69">
        <f>IFS(L74=0,"",B74&lt;&gt;"",B74,TRUE,NOW())</f>
        <v>46149.65668</v>
      </c>
      <c r="C74" s="70" t="s">
        <v>37</v>
      </c>
      <c r="D74" s="33"/>
      <c r="E74" s="71"/>
      <c r="F74" s="71"/>
      <c r="G74" s="71"/>
      <c r="H74" s="71"/>
      <c r="I74" s="71"/>
      <c r="J74" s="71"/>
      <c r="K74" s="72" t="s">
        <v>38</v>
      </c>
      <c r="L74" s="73">
        <f>L73-L72</f>
        <v>497</v>
      </c>
      <c r="M74" s="74" t="s">
        <v>39</v>
      </c>
      <c r="N74" s="75" t="b">
        <v>0</v>
      </c>
    </row>
    <row r="75" ht="15.0" customHeight="1">
      <c r="A75" s="64"/>
      <c r="B75" s="52" t="s">
        <v>63</v>
      </c>
      <c r="C75" s="53" t="s">
        <v>27</v>
      </c>
      <c r="D75" s="54"/>
      <c r="E75" s="55">
        <f t="shared" ref="E75:J75" si="19">E73-E76</f>
        <v>0</v>
      </c>
      <c r="F75" s="55">
        <f t="shared" si="19"/>
        <v>3</v>
      </c>
      <c r="G75" s="55">
        <f t="shared" si="19"/>
        <v>3</v>
      </c>
      <c r="H75" s="55">
        <f t="shared" si="19"/>
        <v>1</v>
      </c>
      <c r="I75" s="55">
        <f t="shared" si="19"/>
        <v>5</v>
      </c>
      <c r="J75" s="55">
        <f t="shared" si="19"/>
        <v>4</v>
      </c>
      <c r="K75" s="56"/>
      <c r="L75" s="30"/>
      <c r="M75" s="57" t="s">
        <v>28</v>
      </c>
      <c r="N75" s="58" t="b">
        <v>0</v>
      </c>
    </row>
    <row r="76" ht="13.5" customHeight="1">
      <c r="A76" s="46" t="s">
        <v>45</v>
      </c>
      <c r="B76" s="59"/>
      <c r="C76" s="53" t="s">
        <v>30</v>
      </c>
      <c r="D76" s="54"/>
      <c r="E76" s="60"/>
      <c r="F76" s="60"/>
      <c r="G76" s="60"/>
      <c r="H76" s="60"/>
      <c r="I76" s="60"/>
      <c r="J76" s="60"/>
      <c r="K76" s="61" t="s">
        <v>30</v>
      </c>
      <c r="L76" s="62">
        <f>(E76*E65)+(F76*F65)+(G76*G65)+(H76*H65)+(I76*I65)+(J76*J65)</f>
        <v>0</v>
      </c>
      <c r="M76" s="57" t="s">
        <v>31</v>
      </c>
      <c r="N76" s="63" t="b">
        <v>0</v>
      </c>
    </row>
    <row r="77" ht="13.5" customHeight="1">
      <c r="A77" s="77"/>
      <c r="B77" s="65" t="s">
        <v>47</v>
      </c>
      <c r="C77" s="53" t="s">
        <v>34</v>
      </c>
      <c r="D77" s="54"/>
      <c r="E77" s="66"/>
      <c r="F77" s="66"/>
      <c r="G77" s="66"/>
      <c r="H77" s="66"/>
      <c r="I77" s="66"/>
      <c r="J77" s="66"/>
      <c r="K77" s="67" t="s">
        <v>35</v>
      </c>
      <c r="L77" s="62">
        <f>(E77*E65)+(F77*F65)+(G77*G65)+(H77*H65)+(I77*I65)+(J77*J65)</f>
        <v>0</v>
      </c>
      <c r="M77" s="57" t="s">
        <v>36</v>
      </c>
      <c r="N77" s="63" t="b">
        <v>0</v>
      </c>
    </row>
    <row r="78" ht="13.5" customHeight="1">
      <c r="A78" s="68"/>
      <c r="B78" s="69" t="str">
        <f>IFS(L78=0,"",B78&lt;&gt;"",B78,TRUE,NOW())</f>
        <v/>
      </c>
      <c r="C78" s="70" t="s">
        <v>37</v>
      </c>
      <c r="D78" s="33"/>
      <c r="E78" s="71"/>
      <c r="F78" s="71"/>
      <c r="G78" s="71"/>
      <c r="H78" s="71"/>
      <c r="I78" s="71"/>
      <c r="J78" s="71"/>
      <c r="K78" s="72" t="s">
        <v>38</v>
      </c>
      <c r="L78" s="73">
        <f>L77-L76</f>
        <v>0</v>
      </c>
      <c r="M78" s="74" t="s">
        <v>39</v>
      </c>
      <c r="N78" s="75" t="b">
        <v>0</v>
      </c>
    </row>
    <row r="79" ht="13.5" customHeight="1">
      <c r="A79" s="78" t="s">
        <v>48</v>
      </c>
      <c r="B79" s="52" t="s">
        <v>63</v>
      </c>
      <c r="C79" s="53" t="s">
        <v>27</v>
      </c>
      <c r="D79" s="54"/>
      <c r="E79" s="55">
        <f t="shared" ref="E79:J79" si="20">E77-E80</f>
        <v>0</v>
      </c>
      <c r="F79" s="55">
        <f t="shared" si="20"/>
        <v>0</v>
      </c>
      <c r="G79" s="55">
        <f t="shared" si="20"/>
        <v>0</v>
      </c>
      <c r="H79" s="55">
        <f t="shared" si="20"/>
        <v>0</v>
      </c>
      <c r="I79" s="55">
        <f t="shared" si="20"/>
        <v>0</v>
      </c>
      <c r="J79" s="55">
        <f t="shared" si="20"/>
        <v>0</v>
      </c>
      <c r="K79" s="56"/>
      <c r="L79" s="30"/>
      <c r="M79" s="57" t="s">
        <v>28</v>
      </c>
      <c r="N79" s="58" t="b">
        <v>0</v>
      </c>
    </row>
    <row r="80" ht="15.0" customHeight="1">
      <c r="A80" s="87"/>
      <c r="B80" s="59"/>
      <c r="C80" s="53" t="s">
        <v>30</v>
      </c>
      <c r="D80" s="54"/>
      <c r="E80" s="60"/>
      <c r="F80" s="60"/>
      <c r="G80" s="60"/>
      <c r="H80" s="60"/>
      <c r="I80" s="60"/>
      <c r="J80" s="60"/>
      <c r="K80" s="61" t="s">
        <v>30</v>
      </c>
      <c r="L80" s="62">
        <f>(E80*E65)+(F80*F65)+(G80*G65)+(H80*H65)+(I80*I65)+(J80*J65)</f>
        <v>0</v>
      </c>
      <c r="M80" s="57" t="s">
        <v>31</v>
      </c>
      <c r="N80" s="63" t="b">
        <v>0</v>
      </c>
    </row>
    <row r="81" ht="13.5" customHeight="1">
      <c r="A81" s="68"/>
      <c r="B81" s="65" t="s">
        <v>49</v>
      </c>
      <c r="C81" s="53" t="s">
        <v>34</v>
      </c>
      <c r="D81" s="54"/>
      <c r="E81" s="66"/>
      <c r="F81" s="66"/>
      <c r="G81" s="66"/>
      <c r="H81" s="66"/>
      <c r="I81" s="66"/>
      <c r="J81" s="66"/>
      <c r="K81" s="67" t="s">
        <v>35</v>
      </c>
      <c r="L81" s="62">
        <f>(E81*E65)+(F81*F65)+(G81*G65)+(H81*H65)+(I81*I65)+(J81*J65)</f>
        <v>0</v>
      </c>
      <c r="M81" s="57" t="s">
        <v>36</v>
      </c>
      <c r="N81" s="63" t="b">
        <v>0</v>
      </c>
    </row>
    <row r="82" ht="13.5" customHeight="1">
      <c r="A82" s="80"/>
      <c r="B82" s="69" t="str">
        <f>IFS(L82=0,"",B82&lt;&gt;"",B82,TRUE,NOW())</f>
        <v/>
      </c>
      <c r="C82" s="86" t="s">
        <v>37</v>
      </c>
      <c r="D82" s="59"/>
      <c r="E82" s="81"/>
      <c r="F82" s="81"/>
      <c r="G82" s="81"/>
      <c r="H82" s="82"/>
      <c r="I82" s="81"/>
      <c r="J82" s="81"/>
      <c r="K82" s="72" t="s">
        <v>38</v>
      </c>
      <c r="L82" s="73">
        <f>L81-L80</f>
        <v>0</v>
      </c>
      <c r="M82" s="74" t="s">
        <v>39</v>
      </c>
      <c r="N82" s="75" t="b">
        <v>0</v>
      </c>
    </row>
    <row r="83" ht="13.5" customHeight="1">
      <c r="A83" s="83" t="s">
        <v>65</v>
      </c>
      <c r="B83" s="42" t="s">
        <v>20</v>
      </c>
      <c r="C83" s="24"/>
      <c r="D83" s="33"/>
      <c r="E83" s="43">
        <f t="shared" ref="E83:J83" si="21">E6</f>
        <v>17</v>
      </c>
      <c r="F83" s="43">
        <f t="shared" si="21"/>
        <v>27</v>
      </c>
      <c r="G83" s="43">
        <f t="shared" si="21"/>
        <v>27</v>
      </c>
      <c r="H83" s="43">
        <f t="shared" si="21"/>
        <v>27</v>
      </c>
      <c r="I83" s="43">
        <f t="shared" si="21"/>
        <v>32</v>
      </c>
      <c r="J83" s="44">
        <f t="shared" si="21"/>
        <v>37</v>
      </c>
      <c r="K83" s="42" t="s">
        <v>21</v>
      </c>
      <c r="L83" s="25"/>
      <c r="M83" s="45" t="s">
        <v>22</v>
      </c>
      <c r="N83" s="25"/>
    </row>
    <row r="84" ht="13.5" customHeight="1">
      <c r="A84" s="46" t="s">
        <v>23</v>
      </c>
      <c r="B84" s="47" t="s">
        <v>24</v>
      </c>
      <c r="C84" s="32" t="s">
        <v>25</v>
      </c>
      <c r="D84" s="33"/>
      <c r="E84" s="48"/>
      <c r="F84" s="48"/>
      <c r="G84" s="48"/>
      <c r="H84" s="48"/>
      <c r="I84" s="48"/>
      <c r="J84" s="48"/>
      <c r="K84" s="49"/>
      <c r="L84" s="25"/>
      <c r="M84" s="50"/>
      <c r="N84" s="10"/>
    </row>
    <row r="85" ht="19.5" customHeight="1">
      <c r="A85" s="92"/>
      <c r="B85" s="52" t="s">
        <v>66</v>
      </c>
      <c r="C85" s="53" t="s">
        <v>27</v>
      </c>
      <c r="D85" s="54"/>
      <c r="E85" s="55">
        <f t="shared" ref="E85:J85" si="22">E84-E86</f>
        <v>0</v>
      </c>
      <c r="F85" s="55">
        <f t="shared" si="22"/>
        <v>0</v>
      </c>
      <c r="G85" s="55">
        <f t="shared" si="22"/>
        <v>0</v>
      </c>
      <c r="H85" s="55">
        <f t="shared" si="22"/>
        <v>0</v>
      </c>
      <c r="I85" s="55">
        <f t="shared" si="22"/>
        <v>-2</v>
      </c>
      <c r="J85" s="55">
        <f t="shared" si="22"/>
        <v>-2</v>
      </c>
      <c r="K85" s="56"/>
      <c r="L85" s="30"/>
      <c r="M85" s="57" t="s">
        <v>28</v>
      </c>
      <c r="N85" s="58" t="b">
        <v>0</v>
      </c>
    </row>
    <row r="86" ht="13.5" customHeight="1">
      <c r="A86" s="46" t="s">
        <v>29</v>
      </c>
      <c r="B86" s="59"/>
      <c r="C86" s="53" t="s">
        <v>30</v>
      </c>
      <c r="D86" s="54"/>
      <c r="E86" s="60"/>
      <c r="F86" s="60"/>
      <c r="G86" s="60"/>
      <c r="H86" s="60"/>
      <c r="I86" s="84">
        <v>2.0</v>
      </c>
      <c r="J86" s="84">
        <v>2.0</v>
      </c>
      <c r="K86" s="61" t="s">
        <v>30</v>
      </c>
      <c r="L86" s="62">
        <f>(E86*E83)+(F86*F83)+(G86*G83)+(H86*H83)+(I86*I83)+(J86*J83)</f>
        <v>138</v>
      </c>
      <c r="M86" s="57" t="s">
        <v>31</v>
      </c>
      <c r="N86" s="63" t="b">
        <v>0</v>
      </c>
    </row>
    <row r="87" ht="13.5" customHeight="1">
      <c r="A87" s="64" t="s">
        <v>183</v>
      </c>
      <c r="B87" s="65" t="s">
        <v>33</v>
      </c>
      <c r="C87" s="53" t="s">
        <v>34</v>
      </c>
      <c r="D87" s="54"/>
      <c r="E87" s="66"/>
      <c r="F87" s="76">
        <v>5.0</v>
      </c>
      <c r="G87" s="76">
        <v>5.0</v>
      </c>
      <c r="H87" s="76">
        <v>2.0</v>
      </c>
      <c r="I87" s="76">
        <v>2.0</v>
      </c>
      <c r="J87" s="76">
        <v>5.0</v>
      </c>
      <c r="K87" s="67" t="s">
        <v>35</v>
      </c>
      <c r="L87" s="62">
        <f>(E87*E83)+(F87*F83)+(G87*G83)+(H87*H83)+(I87*I83)+(J87*J83)</f>
        <v>573</v>
      </c>
      <c r="M87" s="57" t="s">
        <v>36</v>
      </c>
      <c r="N87" s="63" t="b">
        <v>0</v>
      </c>
    </row>
    <row r="88" ht="13.5" customHeight="1">
      <c r="A88" s="68"/>
      <c r="B88" s="69">
        <f>IFS(L88=0,"",B88&lt;&gt;"",B88,TRUE,NOW())</f>
        <v>46142.7571</v>
      </c>
      <c r="C88" s="70" t="s">
        <v>37</v>
      </c>
      <c r="D88" s="33"/>
      <c r="E88" s="71"/>
      <c r="F88" s="71"/>
      <c r="G88" s="71"/>
      <c r="H88" s="71"/>
      <c r="I88" s="71"/>
      <c r="J88" s="71"/>
      <c r="K88" s="72" t="s">
        <v>38</v>
      </c>
      <c r="L88" s="73">
        <f>L87-L86</f>
        <v>435</v>
      </c>
      <c r="M88" s="74" t="s">
        <v>39</v>
      </c>
      <c r="N88" s="75" t="b">
        <v>0</v>
      </c>
    </row>
    <row r="89" ht="13.5" customHeight="1">
      <c r="A89" s="46" t="s">
        <v>40</v>
      </c>
      <c r="B89" s="52" t="s">
        <v>66</v>
      </c>
      <c r="C89" s="53" t="s">
        <v>27</v>
      </c>
      <c r="D89" s="54"/>
      <c r="E89" s="55">
        <f t="shared" ref="E89:J89" si="23">E87-E90</f>
        <v>0</v>
      </c>
      <c r="F89" s="55">
        <f t="shared" si="23"/>
        <v>5</v>
      </c>
      <c r="G89" s="55">
        <f t="shared" si="23"/>
        <v>4</v>
      </c>
      <c r="H89" s="55">
        <f t="shared" si="23"/>
        <v>1</v>
      </c>
      <c r="I89" s="55">
        <f t="shared" si="23"/>
        <v>2</v>
      </c>
      <c r="J89" s="55">
        <f t="shared" si="23"/>
        <v>5</v>
      </c>
      <c r="K89" s="56"/>
      <c r="L89" s="30"/>
      <c r="M89" s="57" t="s">
        <v>28</v>
      </c>
      <c r="N89" s="58" t="b">
        <v>0</v>
      </c>
    </row>
    <row r="90" ht="15.0" customHeight="1">
      <c r="A90" s="64"/>
      <c r="B90" s="59"/>
      <c r="C90" s="53" t="s">
        <v>30</v>
      </c>
      <c r="D90" s="54"/>
      <c r="E90" s="60"/>
      <c r="F90" s="84"/>
      <c r="G90" s="84">
        <v>1.0</v>
      </c>
      <c r="H90" s="84">
        <v>1.0</v>
      </c>
      <c r="I90" s="84"/>
      <c r="J90" s="84"/>
      <c r="K90" s="61" t="s">
        <v>30</v>
      </c>
      <c r="L90" s="62">
        <f>(E90*E83)+(F90*F83)+(G90*G83)+(H90*H83)+(I90*I83)+(J90*J83)</f>
        <v>54</v>
      </c>
      <c r="M90" s="57" t="s">
        <v>31</v>
      </c>
      <c r="N90" s="63" t="b">
        <v>0</v>
      </c>
    </row>
    <row r="91" ht="13.5" customHeight="1">
      <c r="A91" s="68"/>
      <c r="B91" s="65" t="s">
        <v>42</v>
      </c>
      <c r="C91" s="53" t="s">
        <v>34</v>
      </c>
      <c r="D91" s="54"/>
      <c r="E91" s="66"/>
      <c r="F91" s="76">
        <v>5.0</v>
      </c>
      <c r="G91" s="76">
        <v>5.0</v>
      </c>
      <c r="H91" s="76">
        <v>2.0</v>
      </c>
      <c r="I91" s="76">
        <v>2.0</v>
      </c>
      <c r="J91" s="76">
        <v>5.0</v>
      </c>
      <c r="K91" s="67" t="s">
        <v>35</v>
      </c>
      <c r="L91" s="62">
        <f>(E91*E83)+(F91*F83)+(G91*G83)+(H91*H83)+(I91*I83)+(J91*J83)</f>
        <v>573</v>
      </c>
      <c r="M91" s="57" t="s">
        <v>36</v>
      </c>
      <c r="N91" s="63" t="b">
        <v>0</v>
      </c>
    </row>
    <row r="92" ht="13.5" customHeight="1">
      <c r="A92" s="46" t="s">
        <v>43</v>
      </c>
      <c r="B92" s="69">
        <f>IFS(L92=0,"",B92&lt;&gt;"",B92,TRUE,NOW())</f>
        <v>46149.52288</v>
      </c>
      <c r="C92" s="70" t="s">
        <v>37</v>
      </c>
      <c r="D92" s="33"/>
      <c r="E92" s="71"/>
      <c r="F92" s="71"/>
      <c r="G92" s="71"/>
      <c r="H92" s="71"/>
      <c r="I92" s="71"/>
      <c r="J92" s="71"/>
      <c r="K92" s="72" t="s">
        <v>38</v>
      </c>
      <c r="L92" s="73">
        <f>L91-L90</f>
        <v>519</v>
      </c>
      <c r="M92" s="74" t="s">
        <v>39</v>
      </c>
      <c r="N92" s="75" t="b">
        <v>0</v>
      </c>
    </row>
    <row r="93" ht="13.5" customHeight="1">
      <c r="A93" s="64"/>
      <c r="B93" s="52" t="s">
        <v>66</v>
      </c>
      <c r="C93" s="53" t="s">
        <v>27</v>
      </c>
      <c r="D93" s="54"/>
      <c r="E93" s="55">
        <f t="shared" ref="E93:J93" si="24">E91-E94</f>
        <v>0</v>
      </c>
      <c r="F93" s="55">
        <f t="shared" si="24"/>
        <v>5</v>
      </c>
      <c r="G93" s="55">
        <f t="shared" si="24"/>
        <v>5</v>
      </c>
      <c r="H93" s="55">
        <f t="shared" si="24"/>
        <v>2</v>
      </c>
      <c r="I93" s="55">
        <f t="shared" si="24"/>
        <v>2</v>
      </c>
      <c r="J93" s="55">
        <f t="shared" si="24"/>
        <v>5</v>
      </c>
      <c r="K93" s="56"/>
      <c r="L93" s="30"/>
      <c r="M93" s="57" t="s">
        <v>28</v>
      </c>
      <c r="N93" s="58" t="b">
        <v>0</v>
      </c>
    </row>
    <row r="94" ht="13.5" customHeight="1">
      <c r="A94" s="46" t="s">
        <v>45</v>
      </c>
      <c r="B94" s="59"/>
      <c r="C94" s="53" t="s">
        <v>30</v>
      </c>
      <c r="D94" s="54"/>
      <c r="E94" s="60"/>
      <c r="F94" s="60"/>
      <c r="G94" s="60"/>
      <c r="H94" s="60"/>
      <c r="I94" s="60"/>
      <c r="J94" s="60"/>
      <c r="K94" s="61" t="s">
        <v>30</v>
      </c>
      <c r="L94" s="62">
        <f>(E94*E83)+(F94*F83)+(G94*G83)+(H94*H83)+(I94*I83)+(J94*J83)</f>
        <v>0</v>
      </c>
      <c r="M94" s="57" t="s">
        <v>31</v>
      </c>
      <c r="N94" s="63" t="b">
        <v>0</v>
      </c>
    </row>
    <row r="95" ht="13.5" customHeight="1">
      <c r="A95" s="77"/>
      <c r="B95" s="65" t="s">
        <v>47</v>
      </c>
      <c r="C95" s="53" t="s">
        <v>34</v>
      </c>
      <c r="D95" s="54"/>
      <c r="E95" s="66"/>
      <c r="F95" s="66"/>
      <c r="G95" s="66"/>
      <c r="H95" s="66"/>
      <c r="I95" s="66"/>
      <c r="J95" s="66"/>
      <c r="K95" s="67" t="s">
        <v>35</v>
      </c>
      <c r="L95" s="62">
        <f>(E95*E83)+(F95*F83)+(G95*G83)+(H95*H83)+(I95*I83)+(J95*J83)</f>
        <v>0</v>
      </c>
      <c r="M95" s="57" t="s">
        <v>36</v>
      </c>
      <c r="N95" s="63" t="b">
        <v>0</v>
      </c>
    </row>
    <row r="96" ht="13.5" customHeight="1">
      <c r="A96" s="68"/>
      <c r="B96" s="69" t="str">
        <f>IFS(L96=0,"",B96&lt;&gt;"",B96,TRUE,NOW())</f>
        <v/>
      </c>
      <c r="C96" s="70" t="s">
        <v>37</v>
      </c>
      <c r="D96" s="33"/>
      <c r="E96" s="71"/>
      <c r="F96" s="71"/>
      <c r="G96" s="71"/>
      <c r="H96" s="71"/>
      <c r="I96" s="71"/>
      <c r="J96" s="71"/>
      <c r="K96" s="72" t="s">
        <v>38</v>
      </c>
      <c r="L96" s="73">
        <f>L95-L94</f>
        <v>0</v>
      </c>
      <c r="M96" s="74" t="s">
        <v>39</v>
      </c>
      <c r="N96" s="75" t="b">
        <v>0</v>
      </c>
    </row>
    <row r="97" ht="18.0" customHeight="1">
      <c r="A97" s="78" t="s">
        <v>48</v>
      </c>
      <c r="B97" s="52" t="s">
        <v>66</v>
      </c>
      <c r="C97" s="53" t="s">
        <v>27</v>
      </c>
      <c r="D97" s="54"/>
      <c r="E97" s="55">
        <f t="shared" ref="E97:J97" si="25">E95-E98</f>
        <v>0</v>
      </c>
      <c r="F97" s="55">
        <f t="shared" si="25"/>
        <v>0</v>
      </c>
      <c r="G97" s="55">
        <f t="shared" si="25"/>
        <v>0</v>
      </c>
      <c r="H97" s="55">
        <f t="shared" si="25"/>
        <v>0</v>
      </c>
      <c r="I97" s="55">
        <f t="shared" si="25"/>
        <v>0</v>
      </c>
      <c r="J97" s="55">
        <f t="shared" si="25"/>
        <v>0</v>
      </c>
      <c r="K97" s="56"/>
      <c r="L97" s="30"/>
      <c r="M97" s="57" t="s">
        <v>28</v>
      </c>
      <c r="N97" s="58" t="b">
        <v>0</v>
      </c>
    </row>
    <row r="98" ht="13.5" customHeight="1">
      <c r="A98" s="87"/>
      <c r="B98" s="59"/>
      <c r="C98" s="53" t="s">
        <v>30</v>
      </c>
      <c r="D98" s="54"/>
      <c r="E98" s="60"/>
      <c r="F98" s="60"/>
      <c r="G98" s="60"/>
      <c r="H98" s="60"/>
      <c r="I98" s="60"/>
      <c r="J98" s="60"/>
      <c r="K98" s="61" t="s">
        <v>30</v>
      </c>
      <c r="L98" s="62">
        <f>(E98*E83)+(F98*F83)+(G98*G83)+(H98*H83)+(I98*I83)+(J98*J83)</f>
        <v>0</v>
      </c>
      <c r="M98" s="57" t="s">
        <v>31</v>
      </c>
      <c r="N98" s="63" t="b">
        <v>0</v>
      </c>
    </row>
    <row r="99" ht="13.5" customHeight="1">
      <c r="A99" s="68"/>
      <c r="B99" s="65" t="s">
        <v>49</v>
      </c>
      <c r="C99" s="53" t="s">
        <v>34</v>
      </c>
      <c r="D99" s="54"/>
      <c r="E99" s="66"/>
      <c r="F99" s="66"/>
      <c r="G99" s="66"/>
      <c r="H99" s="66"/>
      <c r="I99" s="66"/>
      <c r="J99" s="66"/>
      <c r="K99" s="67" t="s">
        <v>35</v>
      </c>
      <c r="L99" s="62">
        <f>(E99*E83)+(F99*F83)+(G99*G83)+(H99*H83)+(I99*I83)+(J99*J83)</f>
        <v>0</v>
      </c>
      <c r="M99" s="57" t="s">
        <v>36</v>
      </c>
      <c r="N99" s="63" t="b">
        <v>0</v>
      </c>
    </row>
    <row r="100" ht="13.5" customHeight="1">
      <c r="A100" s="80"/>
      <c r="B100" s="69" t="str">
        <f>IFS(L100=0,"",B100&lt;&gt;"",B100,TRUE,NOW())</f>
        <v/>
      </c>
      <c r="C100" s="86" t="s">
        <v>37</v>
      </c>
      <c r="D100" s="59"/>
      <c r="E100" s="81"/>
      <c r="F100" s="81"/>
      <c r="G100" s="81"/>
      <c r="H100" s="82"/>
      <c r="I100" s="81"/>
      <c r="J100" s="81"/>
      <c r="K100" s="72" t="s">
        <v>38</v>
      </c>
      <c r="L100" s="73">
        <f>L99-L98</f>
        <v>0</v>
      </c>
      <c r="M100" s="74" t="s">
        <v>39</v>
      </c>
      <c r="N100" s="75" t="b">
        <v>0</v>
      </c>
    </row>
    <row r="101" ht="13.5" customHeight="1">
      <c r="A101" s="83" t="s">
        <v>68</v>
      </c>
      <c r="B101" s="42" t="s">
        <v>20</v>
      </c>
      <c r="C101" s="24"/>
      <c r="D101" s="33"/>
      <c r="E101" s="43">
        <f t="shared" ref="E101:J101" si="26">E6</f>
        <v>17</v>
      </c>
      <c r="F101" s="43">
        <f t="shared" si="26"/>
        <v>27</v>
      </c>
      <c r="G101" s="43">
        <f t="shared" si="26"/>
        <v>27</v>
      </c>
      <c r="H101" s="43">
        <f t="shared" si="26"/>
        <v>27</v>
      </c>
      <c r="I101" s="43">
        <f t="shared" si="26"/>
        <v>32</v>
      </c>
      <c r="J101" s="44">
        <f t="shared" si="26"/>
        <v>37</v>
      </c>
      <c r="K101" s="42" t="s">
        <v>21</v>
      </c>
      <c r="L101" s="25"/>
      <c r="M101" s="45" t="s">
        <v>22</v>
      </c>
      <c r="N101" s="25"/>
    </row>
    <row r="102" ht="19.5" customHeight="1">
      <c r="A102" s="46" t="s">
        <v>23</v>
      </c>
      <c r="B102" s="47" t="s">
        <v>24</v>
      </c>
      <c r="C102" s="32" t="s">
        <v>25</v>
      </c>
      <c r="D102" s="33"/>
      <c r="E102" s="48"/>
      <c r="F102" s="48"/>
      <c r="G102" s="48"/>
      <c r="H102" s="48"/>
      <c r="I102" s="48"/>
      <c r="J102" s="48"/>
      <c r="K102" s="49"/>
      <c r="L102" s="25"/>
      <c r="M102" s="50"/>
      <c r="N102" s="10"/>
    </row>
    <row r="103" ht="13.5" customHeight="1">
      <c r="A103" s="92"/>
      <c r="B103" s="52" t="s">
        <v>69</v>
      </c>
      <c r="C103" s="53" t="s">
        <v>27</v>
      </c>
      <c r="D103" s="54"/>
      <c r="E103" s="55">
        <f t="shared" ref="E103:J103" si="27">E102-E104</f>
        <v>0</v>
      </c>
      <c r="F103" s="55">
        <f t="shared" si="27"/>
        <v>0</v>
      </c>
      <c r="G103" s="55">
        <f t="shared" si="27"/>
        <v>0</v>
      </c>
      <c r="H103" s="55">
        <f t="shared" si="27"/>
        <v>0</v>
      </c>
      <c r="I103" s="55">
        <f t="shared" si="27"/>
        <v>0</v>
      </c>
      <c r="J103" s="55">
        <f t="shared" si="27"/>
        <v>0</v>
      </c>
      <c r="K103" s="56"/>
      <c r="L103" s="30"/>
      <c r="M103" s="57" t="s">
        <v>28</v>
      </c>
      <c r="N103" s="58" t="b">
        <v>0</v>
      </c>
    </row>
    <row r="104" ht="13.5" customHeight="1">
      <c r="A104" s="46" t="s">
        <v>29</v>
      </c>
      <c r="B104" s="59"/>
      <c r="C104" s="53" t="s">
        <v>30</v>
      </c>
      <c r="D104" s="54"/>
      <c r="E104" s="60"/>
      <c r="F104" s="60"/>
      <c r="G104" s="60"/>
      <c r="H104" s="60"/>
      <c r="I104" s="60"/>
      <c r="J104" s="60"/>
      <c r="K104" s="61" t="s">
        <v>30</v>
      </c>
      <c r="L104" s="62">
        <f>(E104*E101)+(F104*F101)+(G104*G101)+(H104*H101)+(I104*I101)+(J104*J101)</f>
        <v>0</v>
      </c>
      <c r="M104" s="57" t="s">
        <v>31</v>
      </c>
      <c r="N104" s="63" t="b">
        <v>0</v>
      </c>
    </row>
    <row r="105" ht="13.5" customHeight="1">
      <c r="A105" s="64" t="s">
        <v>175</v>
      </c>
      <c r="B105" s="65" t="s">
        <v>33</v>
      </c>
      <c r="C105" s="53" t="s">
        <v>34</v>
      </c>
      <c r="D105" s="54"/>
      <c r="E105" s="66"/>
      <c r="F105" s="66"/>
      <c r="G105" s="66"/>
      <c r="H105" s="66"/>
      <c r="I105" s="66"/>
      <c r="J105" s="66"/>
      <c r="K105" s="67" t="s">
        <v>35</v>
      </c>
      <c r="L105" s="62">
        <f>(E105*E101)+(F105*F101)+(G105*G101)+(H105*H101)+(I105*I101)+(J105*J101)</f>
        <v>0</v>
      </c>
      <c r="M105" s="57" t="s">
        <v>36</v>
      </c>
      <c r="N105" s="63" t="b">
        <v>0</v>
      </c>
    </row>
    <row r="106" ht="13.5" customHeight="1">
      <c r="A106" s="68"/>
      <c r="B106" s="69" t="str">
        <f>IFS(L106=0,"",B106&lt;&gt;"",B106,TRUE,NOW())</f>
        <v/>
      </c>
      <c r="C106" s="70" t="s">
        <v>37</v>
      </c>
      <c r="D106" s="33"/>
      <c r="E106" s="71"/>
      <c r="F106" s="71"/>
      <c r="G106" s="71"/>
      <c r="H106" s="71"/>
      <c r="I106" s="71"/>
      <c r="J106" s="71"/>
      <c r="K106" s="72" t="s">
        <v>38</v>
      </c>
      <c r="L106" s="73">
        <f>L105-L104</f>
        <v>0</v>
      </c>
      <c r="M106" s="74" t="s">
        <v>39</v>
      </c>
      <c r="N106" s="75" t="b">
        <v>0</v>
      </c>
    </row>
    <row r="107" ht="18.75" customHeight="1">
      <c r="A107" s="46" t="s">
        <v>40</v>
      </c>
      <c r="B107" s="52" t="s">
        <v>69</v>
      </c>
      <c r="C107" s="53" t="s">
        <v>27</v>
      </c>
      <c r="D107" s="54"/>
      <c r="E107" s="55">
        <f t="shared" ref="E107:J107" si="28">E105-E108</f>
        <v>0</v>
      </c>
      <c r="F107" s="55">
        <f t="shared" si="28"/>
        <v>0</v>
      </c>
      <c r="G107" s="55">
        <f t="shared" si="28"/>
        <v>0</v>
      </c>
      <c r="H107" s="55">
        <f t="shared" si="28"/>
        <v>0</v>
      </c>
      <c r="I107" s="55">
        <f t="shared" si="28"/>
        <v>0</v>
      </c>
      <c r="J107" s="55">
        <f t="shared" si="28"/>
        <v>0</v>
      </c>
      <c r="K107" s="56"/>
      <c r="L107" s="30"/>
      <c r="M107" s="57" t="s">
        <v>28</v>
      </c>
      <c r="N107" s="58" t="b">
        <v>0</v>
      </c>
    </row>
    <row r="108" ht="13.5" customHeight="1">
      <c r="A108" s="64"/>
      <c r="B108" s="59"/>
      <c r="C108" s="53" t="s">
        <v>30</v>
      </c>
      <c r="D108" s="54"/>
      <c r="E108" s="60"/>
      <c r="F108" s="84"/>
      <c r="G108" s="60"/>
      <c r="H108" s="60"/>
      <c r="I108" s="60"/>
      <c r="J108" s="84"/>
      <c r="K108" s="61" t="s">
        <v>30</v>
      </c>
      <c r="L108" s="62">
        <f>(E108*E101)+(F108*F101)+(G108*G101)+(H108*H101)+(I108*I101)+(J108*J101)</f>
        <v>0</v>
      </c>
      <c r="M108" s="57" t="s">
        <v>31</v>
      </c>
      <c r="N108" s="63" t="b">
        <v>0</v>
      </c>
    </row>
    <row r="109" ht="13.5" customHeight="1">
      <c r="A109" s="68"/>
      <c r="B109" s="65" t="s">
        <v>42</v>
      </c>
      <c r="C109" s="53" t="s">
        <v>34</v>
      </c>
      <c r="D109" s="54"/>
      <c r="E109" s="66"/>
      <c r="F109" s="76"/>
      <c r="G109" s="76"/>
      <c r="H109" s="76"/>
      <c r="I109" s="66"/>
      <c r="J109" s="76"/>
      <c r="K109" s="67" t="s">
        <v>35</v>
      </c>
      <c r="L109" s="62">
        <f>(E109*E101)+(F109*F101)+(G109*G101)+(H109*H101)+(I109*I101)+(J109*J101)</f>
        <v>0</v>
      </c>
      <c r="M109" s="57" t="s">
        <v>36</v>
      </c>
      <c r="N109" s="63" t="b">
        <v>0</v>
      </c>
    </row>
    <row r="110" ht="13.5" customHeight="1">
      <c r="A110" s="46" t="s">
        <v>43</v>
      </c>
      <c r="B110" s="69" t="str">
        <f>IFS(L110=0,"",B110&lt;&gt;"",B110,TRUE,NOW())</f>
        <v/>
      </c>
      <c r="C110" s="70" t="s">
        <v>37</v>
      </c>
      <c r="D110" s="33"/>
      <c r="E110" s="71"/>
      <c r="F110" s="71"/>
      <c r="G110" s="71"/>
      <c r="H110" s="71"/>
      <c r="I110" s="71"/>
      <c r="J110" s="71"/>
      <c r="K110" s="72" t="s">
        <v>38</v>
      </c>
      <c r="L110" s="73">
        <f>L109-L108</f>
        <v>0</v>
      </c>
      <c r="M110" s="74" t="s">
        <v>39</v>
      </c>
      <c r="N110" s="75" t="b">
        <v>0</v>
      </c>
    </row>
    <row r="111" ht="13.5" customHeight="1">
      <c r="A111" s="64"/>
      <c r="B111" s="52" t="s">
        <v>69</v>
      </c>
      <c r="C111" s="53" t="s">
        <v>27</v>
      </c>
      <c r="D111" s="54"/>
      <c r="E111" s="55">
        <f t="shared" ref="E111:J111" si="29">E109-E112</f>
        <v>0</v>
      </c>
      <c r="F111" s="55">
        <f t="shared" si="29"/>
        <v>0</v>
      </c>
      <c r="G111" s="55">
        <f t="shared" si="29"/>
        <v>0</v>
      </c>
      <c r="H111" s="55">
        <f t="shared" si="29"/>
        <v>0</v>
      </c>
      <c r="I111" s="55">
        <f t="shared" si="29"/>
        <v>0</v>
      </c>
      <c r="J111" s="55">
        <f t="shared" si="29"/>
        <v>0</v>
      </c>
      <c r="K111" s="56"/>
      <c r="L111" s="30"/>
      <c r="M111" s="57" t="s">
        <v>28</v>
      </c>
      <c r="N111" s="58" t="b">
        <v>0</v>
      </c>
    </row>
    <row r="112" ht="15.0" customHeight="1">
      <c r="A112" s="46" t="s">
        <v>45</v>
      </c>
      <c r="B112" s="59"/>
      <c r="C112" s="53" t="s">
        <v>30</v>
      </c>
      <c r="D112" s="54"/>
      <c r="E112" s="60"/>
      <c r="F112" s="60"/>
      <c r="G112" s="60"/>
      <c r="H112" s="60"/>
      <c r="I112" s="60"/>
      <c r="J112" s="60"/>
      <c r="K112" s="61" t="s">
        <v>30</v>
      </c>
      <c r="L112" s="62">
        <f>(E112*E101)+(F112*F101)+(G112*G101)+(H112*H101)+(I112*I101)+(J112*J101)</f>
        <v>0</v>
      </c>
      <c r="M112" s="57" t="s">
        <v>31</v>
      </c>
      <c r="N112" s="63" t="b">
        <v>0</v>
      </c>
    </row>
    <row r="113" ht="13.5" customHeight="1">
      <c r="A113" s="77"/>
      <c r="B113" s="65" t="s">
        <v>47</v>
      </c>
      <c r="C113" s="53" t="s">
        <v>34</v>
      </c>
      <c r="D113" s="54"/>
      <c r="E113" s="66"/>
      <c r="F113" s="66"/>
      <c r="G113" s="66"/>
      <c r="H113" s="66"/>
      <c r="I113" s="66"/>
      <c r="J113" s="66"/>
      <c r="K113" s="67" t="s">
        <v>35</v>
      </c>
      <c r="L113" s="62">
        <f>(E113*E101)+(F113*F101)+(G113*G101)+(H113*H101)+(I113*I101)+(J113*J101)</f>
        <v>0</v>
      </c>
      <c r="M113" s="57" t="s">
        <v>36</v>
      </c>
      <c r="N113" s="63" t="b">
        <v>0</v>
      </c>
    </row>
    <row r="114" ht="13.5" customHeight="1">
      <c r="A114" s="68"/>
      <c r="B114" s="69" t="str">
        <f>IFS(L114=0,"",B114&lt;&gt;"",B114,TRUE,NOW())</f>
        <v/>
      </c>
      <c r="C114" s="70" t="s">
        <v>37</v>
      </c>
      <c r="D114" s="33"/>
      <c r="E114" s="71"/>
      <c r="F114" s="71"/>
      <c r="G114" s="71"/>
      <c r="H114" s="71"/>
      <c r="I114" s="71"/>
      <c r="J114" s="71"/>
      <c r="K114" s="72" t="s">
        <v>38</v>
      </c>
      <c r="L114" s="73">
        <f>L113-L112</f>
        <v>0</v>
      </c>
      <c r="M114" s="74" t="s">
        <v>39</v>
      </c>
      <c r="N114" s="75" t="b">
        <v>0</v>
      </c>
    </row>
    <row r="115" ht="13.5" customHeight="1">
      <c r="A115" s="78" t="s">
        <v>48</v>
      </c>
      <c r="B115" s="52" t="s">
        <v>69</v>
      </c>
      <c r="C115" s="53" t="s">
        <v>27</v>
      </c>
      <c r="D115" s="54"/>
      <c r="E115" s="55">
        <f t="shared" ref="E115:J115" si="30">E113-E116</f>
        <v>0</v>
      </c>
      <c r="F115" s="55">
        <f t="shared" si="30"/>
        <v>0</v>
      </c>
      <c r="G115" s="55">
        <f t="shared" si="30"/>
        <v>0</v>
      </c>
      <c r="H115" s="55">
        <f t="shared" si="30"/>
        <v>0</v>
      </c>
      <c r="I115" s="55">
        <f t="shared" si="30"/>
        <v>0</v>
      </c>
      <c r="J115" s="55">
        <f t="shared" si="30"/>
        <v>0</v>
      </c>
      <c r="K115" s="56"/>
      <c r="L115" s="30"/>
      <c r="M115" s="57" t="s">
        <v>28</v>
      </c>
      <c r="N115" s="58" t="b">
        <v>0</v>
      </c>
    </row>
    <row r="116" ht="13.5" customHeight="1">
      <c r="A116" s="87"/>
      <c r="B116" s="59"/>
      <c r="C116" s="53" t="s">
        <v>30</v>
      </c>
      <c r="D116" s="54"/>
      <c r="E116" s="60"/>
      <c r="F116" s="60"/>
      <c r="G116" s="60"/>
      <c r="H116" s="60"/>
      <c r="I116" s="60"/>
      <c r="J116" s="60"/>
      <c r="K116" s="61" t="s">
        <v>30</v>
      </c>
      <c r="L116" s="62">
        <f>(E116*E101)+(F116*F101)+(G116*G101)+(H116*H101)+(I116*I101)+(J116*J101)</f>
        <v>0</v>
      </c>
      <c r="M116" s="57" t="s">
        <v>31</v>
      </c>
      <c r="N116" s="63" t="b">
        <v>0</v>
      </c>
    </row>
    <row r="117" ht="13.5" customHeight="1">
      <c r="A117" s="68"/>
      <c r="B117" s="65" t="s">
        <v>49</v>
      </c>
      <c r="C117" s="53" t="s">
        <v>34</v>
      </c>
      <c r="D117" s="54"/>
      <c r="E117" s="66"/>
      <c r="F117" s="66"/>
      <c r="G117" s="66"/>
      <c r="H117" s="66"/>
      <c r="I117" s="66"/>
      <c r="J117" s="66"/>
      <c r="K117" s="67" t="s">
        <v>35</v>
      </c>
      <c r="L117" s="62">
        <f>(E117*E101)+(F117*F101)+(G117*G101)+(H117*H101)+(I117*I101)+(J117*J101)</f>
        <v>0</v>
      </c>
      <c r="M117" s="57" t="s">
        <v>36</v>
      </c>
      <c r="N117" s="63" t="b">
        <v>0</v>
      </c>
    </row>
    <row r="118" ht="13.5" customHeight="1">
      <c r="A118" s="80"/>
      <c r="B118" s="69" t="str">
        <f>IFS(L118=0,"",B118&lt;&gt;"",B118,TRUE,NOW())</f>
        <v/>
      </c>
      <c r="C118" s="53" t="s">
        <v>37</v>
      </c>
      <c r="D118" s="54"/>
      <c r="E118" s="81"/>
      <c r="F118" s="81"/>
      <c r="G118" s="81"/>
      <c r="H118" s="82"/>
      <c r="I118" s="81"/>
      <c r="J118" s="81"/>
      <c r="K118" s="72" t="s">
        <v>38</v>
      </c>
      <c r="L118" s="73">
        <f>L117-L116</f>
        <v>0</v>
      </c>
      <c r="M118" s="74" t="s">
        <v>39</v>
      </c>
      <c r="N118" s="75" t="b">
        <v>0</v>
      </c>
    </row>
    <row r="119" ht="15.0" customHeight="1">
      <c r="A119" s="83" t="s">
        <v>71</v>
      </c>
      <c r="B119" s="42" t="s">
        <v>20</v>
      </c>
      <c r="C119" s="24"/>
      <c r="D119" s="33"/>
      <c r="E119" s="43">
        <f t="shared" ref="E119:J119" si="31">E6</f>
        <v>17</v>
      </c>
      <c r="F119" s="43">
        <f t="shared" si="31"/>
        <v>27</v>
      </c>
      <c r="G119" s="43">
        <f t="shared" si="31"/>
        <v>27</v>
      </c>
      <c r="H119" s="43">
        <f t="shared" si="31"/>
        <v>27</v>
      </c>
      <c r="I119" s="43">
        <f t="shared" si="31"/>
        <v>32</v>
      </c>
      <c r="J119" s="44">
        <f t="shared" si="31"/>
        <v>37</v>
      </c>
      <c r="K119" s="42" t="s">
        <v>21</v>
      </c>
      <c r="L119" s="25"/>
      <c r="M119" s="45" t="s">
        <v>22</v>
      </c>
      <c r="N119" s="25"/>
    </row>
    <row r="120" ht="13.5" customHeight="1">
      <c r="A120" s="46" t="s">
        <v>23</v>
      </c>
      <c r="B120" s="47" t="s">
        <v>24</v>
      </c>
      <c r="C120" s="32" t="s">
        <v>25</v>
      </c>
      <c r="D120" s="33"/>
      <c r="E120" s="48"/>
      <c r="F120" s="48"/>
      <c r="G120" s="48"/>
      <c r="H120" s="48"/>
      <c r="I120" s="48"/>
      <c r="J120" s="48"/>
      <c r="K120" s="49"/>
      <c r="L120" s="25"/>
      <c r="M120" s="50"/>
      <c r="N120" s="10"/>
    </row>
    <row r="121" ht="13.5" customHeight="1">
      <c r="A121" s="92"/>
      <c r="B121" s="52" t="s">
        <v>72</v>
      </c>
      <c r="C121" s="53" t="s">
        <v>27</v>
      </c>
      <c r="D121" s="54"/>
      <c r="E121" s="55">
        <f t="shared" ref="E121:J121" si="32">E120-E122</f>
        <v>0</v>
      </c>
      <c r="F121" s="55">
        <f t="shared" si="32"/>
        <v>0</v>
      </c>
      <c r="G121" s="55">
        <f t="shared" si="32"/>
        <v>0</v>
      </c>
      <c r="H121" s="55">
        <f t="shared" si="32"/>
        <v>0</v>
      </c>
      <c r="I121" s="55">
        <f t="shared" si="32"/>
        <v>0</v>
      </c>
      <c r="J121" s="55">
        <f t="shared" si="32"/>
        <v>0</v>
      </c>
      <c r="K121" s="56"/>
      <c r="L121" s="30"/>
      <c r="M121" s="57" t="s">
        <v>28</v>
      </c>
      <c r="N121" s="58" t="b">
        <v>0</v>
      </c>
    </row>
    <row r="122" ht="13.5" customHeight="1">
      <c r="A122" s="46" t="s">
        <v>29</v>
      </c>
      <c r="B122" s="59"/>
      <c r="C122" s="53" t="s">
        <v>30</v>
      </c>
      <c r="D122" s="54"/>
      <c r="E122" s="60"/>
      <c r="F122" s="60"/>
      <c r="G122" s="60"/>
      <c r="H122" s="60"/>
      <c r="I122" s="60"/>
      <c r="J122" s="60"/>
      <c r="K122" s="61" t="s">
        <v>30</v>
      </c>
      <c r="L122" s="62">
        <f>(E122*E119)+(F122*F119)+(G122*G119)+(H122*H119)+(I122*I119)+(J122*J119)</f>
        <v>0</v>
      </c>
      <c r="M122" s="57" t="s">
        <v>31</v>
      </c>
      <c r="N122" s="63" t="b">
        <v>0</v>
      </c>
    </row>
    <row r="123" ht="13.5" customHeight="1">
      <c r="A123" s="64" t="s">
        <v>64</v>
      </c>
      <c r="B123" s="65" t="s">
        <v>33</v>
      </c>
      <c r="C123" s="53" t="s">
        <v>34</v>
      </c>
      <c r="D123" s="54"/>
      <c r="E123" s="66"/>
      <c r="F123" s="66"/>
      <c r="G123" s="66"/>
      <c r="H123" s="66"/>
      <c r="I123" s="66"/>
      <c r="J123" s="66"/>
      <c r="K123" s="67" t="s">
        <v>35</v>
      </c>
      <c r="L123" s="62">
        <f>(E123*E119)+(F123*F119)+(G123*G119)+(H123*H119)+(I123*I119)+(J123*J119)</f>
        <v>0</v>
      </c>
      <c r="M123" s="57" t="s">
        <v>36</v>
      </c>
      <c r="N123" s="63" t="b">
        <v>0</v>
      </c>
    </row>
    <row r="124" ht="15.0" customHeight="1">
      <c r="A124" s="68"/>
      <c r="B124" s="69" t="str">
        <f>IFS(L124=0,"",B124&lt;&gt;"",B124,TRUE,NOW())</f>
        <v/>
      </c>
      <c r="C124" s="70" t="s">
        <v>37</v>
      </c>
      <c r="D124" s="33"/>
      <c r="E124" s="71"/>
      <c r="F124" s="71"/>
      <c r="G124" s="71"/>
      <c r="H124" s="71"/>
      <c r="I124" s="71"/>
      <c r="J124" s="71"/>
      <c r="K124" s="72" t="s">
        <v>38</v>
      </c>
      <c r="L124" s="73">
        <f>L123-L122</f>
        <v>0</v>
      </c>
      <c r="M124" s="74" t="s">
        <v>39</v>
      </c>
      <c r="N124" s="75" t="b">
        <v>0</v>
      </c>
    </row>
    <row r="125" ht="13.5" customHeight="1">
      <c r="A125" s="46" t="s">
        <v>40</v>
      </c>
      <c r="B125" s="52" t="s">
        <v>72</v>
      </c>
      <c r="C125" s="53" t="s">
        <v>27</v>
      </c>
      <c r="D125" s="54"/>
      <c r="E125" s="55">
        <f t="shared" ref="E125:J125" si="33">E123-E126</f>
        <v>0</v>
      </c>
      <c r="F125" s="55">
        <f t="shared" si="33"/>
        <v>0</v>
      </c>
      <c r="G125" s="55">
        <f t="shared" si="33"/>
        <v>0</v>
      </c>
      <c r="H125" s="55">
        <f t="shared" si="33"/>
        <v>0</v>
      </c>
      <c r="I125" s="55">
        <f t="shared" si="33"/>
        <v>0</v>
      </c>
      <c r="J125" s="55">
        <f t="shared" si="33"/>
        <v>0</v>
      </c>
      <c r="K125" s="56"/>
      <c r="L125" s="30"/>
      <c r="M125" s="57" t="s">
        <v>28</v>
      </c>
      <c r="N125" s="58" t="b">
        <v>0</v>
      </c>
    </row>
    <row r="126" ht="13.5" customHeight="1">
      <c r="A126" s="64"/>
      <c r="B126" s="59"/>
      <c r="C126" s="53" t="s">
        <v>30</v>
      </c>
      <c r="D126" s="54"/>
      <c r="E126" s="60"/>
      <c r="F126" s="60"/>
      <c r="G126" s="84"/>
      <c r="H126" s="60"/>
      <c r="I126" s="60"/>
      <c r="J126" s="84"/>
      <c r="K126" s="61" t="s">
        <v>30</v>
      </c>
      <c r="L126" s="62">
        <f>(E126*E119)+(F126*F119)+(G126*G119)+(H126*H119)+(I126*I119)+(J126*J119)</f>
        <v>0</v>
      </c>
      <c r="M126" s="57" t="s">
        <v>31</v>
      </c>
      <c r="N126" s="63" t="b">
        <v>0</v>
      </c>
    </row>
    <row r="127" ht="13.5" customHeight="1">
      <c r="A127" s="68"/>
      <c r="B127" s="65" t="s">
        <v>42</v>
      </c>
      <c r="C127" s="53" t="s">
        <v>34</v>
      </c>
      <c r="D127" s="54"/>
      <c r="E127" s="66"/>
      <c r="F127" s="76"/>
      <c r="G127" s="76"/>
      <c r="H127" s="66"/>
      <c r="I127" s="66"/>
      <c r="J127" s="76"/>
      <c r="K127" s="67" t="s">
        <v>35</v>
      </c>
      <c r="L127" s="62">
        <f>(E127*E119)+(F127*F119)+(G127*G119)+(H127*H119)+(I127*I119)+(J127*J119)</f>
        <v>0</v>
      </c>
      <c r="M127" s="57" t="s">
        <v>36</v>
      </c>
      <c r="N127" s="63" t="b">
        <v>0</v>
      </c>
    </row>
    <row r="128" ht="13.5" customHeight="1">
      <c r="A128" s="46" t="s">
        <v>43</v>
      </c>
      <c r="B128" s="69" t="str">
        <f>IFS(L128=0,"",B128&lt;&gt;"",B128,TRUE,NOW())</f>
        <v/>
      </c>
      <c r="C128" s="70" t="s">
        <v>37</v>
      </c>
      <c r="D128" s="33"/>
      <c r="E128" s="71"/>
      <c r="F128" s="71"/>
      <c r="G128" s="71"/>
      <c r="H128" s="71"/>
      <c r="I128" s="71"/>
      <c r="J128" s="71"/>
      <c r="K128" s="72" t="s">
        <v>38</v>
      </c>
      <c r="L128" s="73">
        <f>L127-L126</f>
        <v>0</v>
      </c>
      <c r="M128" s="74" t="s">
        <v>39</v>
      </c>
      <c r="N128" s="75" t="b">
        <v>0</v>
      </c>
    </row>
    <row r="129" ht="18.0" customHeight="1">
      <c r="A129" s="64"/>
      <c r="B129" s="52" t="s">
        <v>72</v>
      </c>
      <c r="C129" s="53" t="s">
        <v>27</v>
      </c>
      <c r="D129" s="54"/>
      <c r="E129" s="55">
        <f t="shared" ref="E129:J129" si="34">E127-E130</f>
        <v>0</v>
      </c>
      <c r="F129" s="55">
        <f t="shared" si="34"/>
        <v>0</v>
      </c>
      <c r="G129" s="55">
        <f t="shared" si="34"/>
        <v>0</v>
      </c>
      <c r="H129" s="55">
        <f t="shared" si="34"/>
        <v>0</v>
      </c>
      <c r="I129" s="55">
        <f t="shared" si="34"/>
        <v>0</v>
      </c>
      <c r="J129" s="55">
        <f t="shared" si="34"/>
        <v>0</v>
      </c>
      <c r="K129" s="56"/>
      <c r="L129" s="30"/>
      <c r="M129" s="57" t="s">
        <v>28</v>
      </c>
      <c r="N129" s="58" t="b">
        <v>0</v>
      </c>
    </row>
    <row r="130" ht="13.5" customHeight="1">
      <c r="A130" s="46" t="s">
        <v>45</v>
      </c>
      <c r="B130" s="59"/>
      <c r="C130" s="53" t="s">
        <v>30</v>
      </c>
      <c r="D130" s="54"/>
      <c r="E130" s="60"/>
      <c r="F130" s="60"/>
      <c r="G130" s="60"/>
      <c r="H130" s="60"/>
      <c r="I130" s="60"/>
      <c r="J130" s="60"/>
      <c r="K130" s="61" t="s">
        <v>30</v>
      </c>
      <c r="L130" s="62">
        <f>(E130*E119)+(F130*F119)+(G130*G119)+(H130*H119)+(I130*I119)+(J130*J119)</f>
        <v>0</v>
      </c>
      <c r="M130" s="57" t="s">
        <v>31</v>
      </c>
      <c r="N130" s="63" t="b">
        <v>0</v>
      </c>
    </row>
    <row r="131" ht="13.5" customHeight="1">
      <c r="A131" s="77"/>
      <c r="B131" s="65" t="s">
        <v>47</v>
      </c>
      <c r="C131" s="53" t="s">
        <v>34</v>
      </c>
      <c r="D131" s="54"/>
      <c r="E131" s="66"/>
      <c r="F131" s="66"/>
      <c r="G131" s="66"/>
      <c r="H131" s="66"/>
      <c r="I131" s="66"/>
      <c r="J131" s="66"/>
      <c r="K131" s="67" t="s">
        <v>35</v>
      </c>
      <c r="L131" s="62">
        <f>(E131*E119)+(F131*F119)+(G131*G119)+(H131*H119)+(I131*I119)+(J131*J119)</f>
        <v>0</v>
      </c>
      <c r="M131" s="57" t="s">
        <v>36</v>
      </c>
      <c r="N131" s="63" t="b">
        <v>0</v>
      </c>
    </row>
    <row r="132" ht="13.5" customHeight="1">
      <c r="A132" s="68"/>
      <c r="B132" s="69" t="str">
        <f>IFS(L132=0,"",B132&lt;&gt;"",B132,TRUE,NOW())</f>
        <v/>
      </c>
      <c r="C132" s="70" t="s">
        <v>37</v>
      </c>
      <c r="D132" s="33"/>
      <c r="E132" s="71"/>
      <c r="F132" s="71"/>
      <c r="G132" s="71"/>
      <c r="H132" s="71"/>
      <c r="I132" s="71"/>
      <c r="J132" s="71"/>
      <c r="K132" s="72" t="s">
        <v>38</v>
      </c>
      <c r="L132" s="73">
        <f>L131-L130</f>
        <v>0</v>
      </c>
      <c r="M132" s="74" t="s">
        <v>39</v>
      </c>
      <c r="N132" s="75" t="b">
        <v>0</v>
      </c>
    </row>
    <row r="133" ht="13.5" customHeight="1">
      <c r="A133" s="78" t="s">
        <v>48</v>
      </c>
      <c r="B133" s="52" t="s">
        <v>72</v>
      </c>
      <c r="C133" s="53" t="s">
        <v>27</v>
      </c>
      <c r="D133" s="54"/>
      <c r="E133" s="55">
        <f t="shared" ref="E133:J133" si="35">E131-E134</f>
        <v>0</v>
      </c>
      <c r="F133" s="55">
        <f t="shared" si="35"/>
        <v>0</v>
      </c>
      <c r="G133" s="55">
        <f t="shared" si="35"/>
        <v>0</v>
      </c>
      <c r="H133" s="55">
        <f t="shared" si="35"/>
        <v>0</v>
      </c>
      <c r="I133" s="55">
        <f t="shared" si="35"/>
        <v>0</v>
      </c>
      <c r="J133" s="55">
        <f t="shared" si="35"/>
        <v>0</v>
      </c>
      <c r="K133" s="56"/>
      <c r="L133" s="30"/>
      <c r="M133" s="57" t="s">
        <v>28</v>
      </c>
      <c r="N133" s="58" t="b">
        <v>0</v>
      </c>
    </row>
    <row r="134" ht="18.75" customHeight="1">
      <c r="A134" s="87"/>
      <c r="B134" s="59"/>
      <c r="C134" s="53" t="s">
        <v>30</v>
      </c>
      <c r="D134" s="54"/>
      <c r="E134" s="60"/>
      <c r="F134" s="60"/>
      <c r="G134" s="60"/>
      <c r="H134" s="60"/>
      <c r="I134" s="60"/>
      <c r="J134" s="60"/>
      <c r="K134" s="61" t="s">
        <v>30</v>
      </c>
      <c r="L134" s="62">
        <f>(E134*E119)+(F134*F119)+(G134*G119)+(H134*H119)+(I134*I119)+(J134*J119)</f>
        <v>0</v>
      </c>
      <c r="M134" s="57" t="s">
        <v>31</v>
      </c>
      <c r="N134" s="63" t="b">
        <v>0</v>
      </c>
    </row>
    <row r="135" ht="13.5" customHeight="1">
      <c r="A135" s="68"/>
      <c r="B135" s="65" t="s">
        <v>49</v>
      </c>
      <c r="C135" s="53" t="s">
        <v>34</v>
      </c>
      <c r="D135" s="54"/>
      <c r="E135" s="66"/>
      <c r="F135" s="66"/>
      <c r="G135" s="66"/>
      <c r="H135" s="66"/>
      <c r="I135" s="66"/>
      <c r="J135" s="66"/>
      <c r="K135" s="67" t="s">
        <v>35</v>
      </c>
      <c r="L135" s="62">
        <f>(E135*E119)+(F135*F119)+(G135*G119)+(H135*H119)+(I135*I119)+(J135*J119)</f>
        <v>0</v>
      </c>
      <c r="M135" s="57" t="s">
        <v>36</v>
      </c>
      <c r="N135" s="63" t="b">
        <v>0</v>
      </c>
    </row>
    <row r="136" ht="13.5" customHeight="1">
      <c r="A136" s="80"/>
      <c r="B136" s="69" t="str">
        <f>IFS(L136=0,"",B136&lt;&gt;"",B136,TRUE,NOW())</f>
        <v/>
      </c>
      <c r="C136" s="53" t="s">
        <v>37</v>
      </c>
      <c r="D136" s="54"/>
      <c r="E136" s="81"/>
      <c r="F136" s="81"/>
      <c r="G136" s="81"/>
      <c r="H136" s="82"/>
      <c r="I136" s="81"/>
      <c r="J136" s="81"/>
      <c r="K136" s="72" t="s">
        <v>38</v>
      </c>
      <c r="L136" s="73">
        <f>L135-L134</f>
        <v>0</v>
      </c>
      <c r="M136" s="74" t="s">
        <v>39</v>
      </c>
      <c r="N136" s="75" t="b">
        <v>0</v>
      </c>
    </row>
    <row r="137" ht="13.5" customHeight="1">
      <c r="A137" s="83" t="s">
        <v>74</v>
      </c>
      <c r="B137" s="42" t="s">
        <v>20</v>
      </c>
      <c r="C137" s="24"/>
      <c r="D137" s="33"/>
      <c r="E137" s="43">
        <f t="shared" ref="E137:J137" si="36">E6</f>
        <v>17</v>
      </c>
      <c r="F137" s="43">
        <f t="shared" si="36"/>
        <v>27</v>
      </c>
      <c r="G137" s="43">
        <f t="shared" si="36"/>
        <v>27</v>
      </c>
      <c r="H137" s="43">
        <f t="shared" si="36"/>
        <v>27</v>
      </c>
      <c r="I137" s="43">
        <f t="shared" si="36"/>
        <v>32</v>
      </c>
      <c r="J137" s="44">
        <f t="shared" si="36"/>
        <v>37</v>
      </c>
      <c r="K137" s="42" t="s">
        <v>21</v>
      </c>
      <c r="L137" s="25"/>
      <c r="M137" s="45" t="s">
        <v>22</v>
      </c>
      <c r="N137" s="25"/>
    </row>
    <row r="138" ht="13.5" customHeight="1">
      <c r="A138" s="46" t="s">
        <v>23</v>
      </c>
      <c r="B138" s="47" t="s">
        <v>24</v>
      </c>
      <c r="C138" s="32" t="s">
        <v>25</v>
      </c>
      <c r="D138" s="33"/>
      <c r="E138" s="48"/>
      <c r="F138" s="48"/>
      <c r="G138" s="48"/>
      <c r="H138" s="48"/>
      <c r="I138" s="48"/>
      <c r="J138" s="48"/>
      <c r="K138" s="49"/>
      <c r="L138" s="25"/>
      <c r="M138" s="50"/>
      <c r="N138" s="10"/>
    </row>
    <row r="139" ht="13.5" customHeight="1">
      <c r="A139" s="92"/>
      <c r="B139" s="52" t="s">
        <v>75</v>
      </c>
      <c r="C139" s="53" t="s">
        <v>27</v>
      </c>
      <c r="D139" s="54"/>
      <c r="E139" s="55">
        <f t="shared" ref="E139:J139" si="37">E138-E140</f>
        <v>0</v>
      </c>
      <c r="F139" s="55">
        <f t="shared" si="37"/>
        <v>0</v>
      </c>
      <c r="G139" s="55">
        <f t="shared" si="37"/>
        <v>0</v>
      </c>
      <c r="H139" s="55">
        <f t="shared" si="37"/>
        <v>0</v>
      </c>
      <c r="I139" s="55">
        <f t="shared" si="37"/>
        <v>0</v>
      </c>
      <c r="J139" s="55">
        <f t="shared" si="37"/>
        <v>0</v>
      </c>
      <c r="K139" s="56"/>
      <c r="L139" s="30"/>
      <c r="M139" s="57" t="s">
        <v>28</v>
      </c>
      <c r="N139" s="58" t="b">
        <v>0</v>
      </c>
    </row>
    <row r="140" ht="13.5" customHeight="1">
      <c r="A140" s="46" t="s">
        <v>29</v>
      </c>
      <c r="B140" s="59"/>
      <c r="C140" s="53" t="s">
        <v>30</v>
      </c>
      <c r="D140" s="54"/>
      <c r="E140" s="60"/>
      <c r="F140" s="60"/>
      <c r="G140" s="60"/>
      <c r="H140" s="60"/>
      <c r="I140" s="60"/>
      <c r="J140" s="60"/>
      <c r="K140" s="61" t="s">
        <v>30</v>
      </c>
      <c r="L140" s="62">
        <f>(E140*E137)+(F140*F137)+(G140*G137)+(H140*H137)+(I140*I137)+(J140*J137)</f>
        <v>0</v>
      </c>
      <c r="M140" s="57" t="s">
        <v>31</v>
      </c>
      <c r="N140" s="63" t="b">
        <v>0</v>
      </c>
    </row>
    <row r="141" ht="15.0" customHeight="1">
      <c r="A141" s="64" t="s">
        <v>184</v>
      </c>
      <c r="B141" s="65" t="s">
        <v>33</v>
      </c>
      <c r="C141" s="53" t="s">
        <v>34</v>
      </c>
      <c r="D141" s="54"/>
      <c r="E141" s="66"/>
      <c r="F141" s="66"/>
      <c r="G141" s="66"/>
      <c r="H141" s="66"/>
      <c r="I141" s="66"/>
      <c r="J141" s="66"/>
      <c r="K141" s="67" t="s">
        <v>35</v>
      </c>
      <c r="L141" s="62">
        <f>(E141*E137)+(F141*F137)+(G141*G137)+(H141*H137)+(I141*I137)+(J141*J137)</f>
        <v>0</v>
      </c>
      <c r="M141" s="57" t="s">
        <v>36</v>
      </c>
      <c r="N141" s="63" t="b">
        <v>0</v>
      </c>
    </row>
    <row r="142" ht="13.5" customHeight="1">
      <c r="A142" s="68"/>
      <c r="B142" s="69" t="str">
        <f>IFS(L142=0,"",B142&lt;&gt;"",B142,TRUE,NOW())</f>
        <v/>
      </c>
      <c r="C142" s="70" t="s">
        <v>37</v>
      </c>
      <c r="D142" s="33"/>
      <c r="E142" s="71"/>
      <c r="F142" s="71"/>
      <c r="G142" s="71"/>
      <c r="H142" s="71"/>
      <c r="I142" s="71"/>
      <c r="J142" s="71"/>
      <c r="K142" s="72" t="s">
        <v>38</v>
      </c>
      <c r="L142" s="73">
        <f>L141-L140</f>
        <v>0</v>
      </c>
      <c r="M142" s="74" t="s">
        <v>39</v>
      </c>
      <c r="N142" s="75" t="b">
        <v>0</v>
      </c>
    </row>
    <row r="143" ht="13.5" customHeight="1">
      <c r="A143" s="46" t="s">
        <v>40</v>
      </c>
      <c r="B143" s="52" t="s">
        <v>75</v>
      </c>
      <c r="C143" s="53" t="s">
        <v>27</v>
      </c>
      <c r="D143" s="54"/>
      <c r="E143" s="55">
        <f t="shared" ref="E143:J143" si="38">E141-E144</f>
        <v>0</v>
      </c>
      <c r="F143" s="55">
        <f t="shared" si="38"/>
        <v>0</v>
      </c>
      <c r="G143" s="55">
        <f t="shared" si="38"/>
        <v>-1</v>
      </c>
      <c r="H143" s="55">
        <f t="shared" si="38"/>
        <v>0</v>
      </c>
      <c r="I143" s="55">
        <f t="shared" si="38"/>
        <v>0</v>
      </c>
      <c r="J143" s="55">
        <f t="shared" si="38"/>
        <v>0</v>
      </c>
      <c r="K143" s="56"/>
      <c r="L143" s="30"/>
      <c r="M143" s="57" t="s">
        <v>28</v>
      </c>
      <c r="N143" s="58" t="b">
        <v>0</v>
      </c>
    </row>
    <row r="144" ht="13.5" customHeight="1">
      <c r="A144" s="64"/>
      <c r="B144" s="59"/>
      <c r="C144" s="53" t="s">
        <v>30</v>
      </c>
      <c r="D144" s="54"/>
      <c r="E144" s="60"/>
      <c r="F144" s="84"/>
      <c r="G144" s="84">
        <v>1.0</v>
      </c>
      <c r="H144" s="60"/>
      <c r="I144" s="84"/>
      <c r="J144" s="60"/>
      <c r="K144" s="61" t="s">
        <v>30</v>
      </c>
      <c r="L144" s="62">
        <f>(E144*E137)+(F144*F137)+(G144*G137)+(H144*H137)+(I144*I137)+(J144*J137)</f>
        <v>27</v>
      </c>
      <c r="M144" s="57" t="s">
        <v>31</v>
      </c>
      <c r="N144" s="63" t="b">
        <v>0</v>
      </c>
    </row>
    <row r="145" ht="13.5" customHeight="1">
      <c r="A145" s="68"/>
      <c r="B145" s="65" t="s">
        <v>42</v>
      </c>
      <c r="C145" s="53" t="s">
        <v>34</v>
      </c>
      <c r="D145" s="54"/>
      <c r="E145" s="66"/>
      <c r="F145" s="76">
        <v>3.0</v>
      </c>
      <c r="G145" s="76">
        <v>3.0</v>
      </c>
      <c r="H145" s="76">
        <v>2.0</v>
      </c>
      <c r="I145" s="76">
        <v>2.0</v>
      </c>
      <c r="J145" s="76">
        <v>3.0</v>
      </c>
      <c r="K145" s="67" t="s">
        <v>35</v>
      </c>
      <c r="L145" s="62">
        <f>(E145*E137)+(F145*F137)+(G145*G137)+(H145*H137)+(I145*I137)+(J145*J137)</f>
        <v>391</v>
      </c>
      <c r="M145" s="57" t="s">
        <v>36</v>
      </c>
      <c r="N145" s="63" t="b">
        <v>0</v>
      </c>
    </row>
    <row r="146" ht="15.0" customHeight="1">
      <c r="A146" s="46" t="s">
        <v>43</v>
      </c>
      <c r="B146" s="69">
        <f>IFS(L146=0,"",B146&lt;&gt;"",B146,TRUE,NOW())</f>
        <v>46149.52305</v>
      </c>
      <c r="C146" s="70" t="s">
        <v>37</v>
      </c>
      <c r="D146" s="33"/>
      <c r="E146" s="71"/>
      <c r="F146" s="71"/>
      <c r="G146" s="71"/>
      <c r="H146" s="71"/>
      <c r="I146" s="71"/>
      <c r="J146" s="71"/>
      <c r="K146" s="72" t="s">
        <v>38</v>
      </c>
      <c r="L146" s="73">
        <f>L145-L144</f>
        <v>364</v>
      </c>
      <c r="M146" s="74" t="s">
        <v>39</v>
      </c>
      <c r="N146" s="75" t="b">
        <v>0</v>
      </c>
    </row>
    <row r="147" ht="13.5" customHeight="1">
      <c r="A147" s="64"/>
      <c r="B147" s="52" t="s">
        <v>75</v>
      </c>
      <c r="C147" s="53" t="s">
        <v>27</v>
      </c>
      <c r="D147" s="54"/>
      <c r="E147" s="55">
        <f t="shared" ref="E147:J147" si="39">E145-E148</f>
        <v>0</v>
      </c>
      <c r="F147" s="55">
        <f t="shared" si="39"/>
        <v>3</v>
      </c>
      <c r="G147" s="55">
        <f t="shared" si="39"/>
        <v>3</v>
      </c>
      <c r="H147" s="55">
        <f t="shared" si="39"/>
        <v>2</v>
      </c>
      <c r="I147" s="55">
        <f t="shared" si="39"/>
        <v>2</v>
      </c>
      <c r="J147" s="55">
        <f t="shared" si="39"/>
        <v>3</v>
      </c>
      <c r="K147" s="56"/>
      <c r="L147" s="30"/>
      <c r="M147" s="57" t="s">
        <v>28</v>
      </c>
      <c r="N147" s="58" t="b">
        <v>0</v>
      </c>
    </row>
    <row r="148" ht="13.5" customHeight="1">
      <c r="A148" s="46" t="s">
        <v>45</v>
      </c>
      <c r="B148" s="59"/>
      <c r="C148" s="53" t="s">
        <v>30</v>
      </c>
      <c r="D148" s="54"/>
      <c r="E148" s="60"/>
      <c r="F148" s="60"/>
      <c r="G148" s="60"/>
      <c r="H148" s="60"/>
      <c r="I148" s="60"/>
      <c r="J148" s="60"/>
      <c r="K148" s="61" t="s">
        <v>30</v>
      </c>
      <c r="L148" s="62">
        <f>(E148*E137)+(F148*F137)+(G148*G137)+(H148*H137)+(I148*I137)+(J148*J137)</f>
        <v>0</v>
      </c>
      <c r="M148" s="57" t="s">
        <v>31</v>
      </c>
      <c r="N148" s="63" t="b">
        <v>0</v>
      </c>
    </row>
    <row r="149" ht="13.5" customHeight="1">
      <c r="A149" s="77"/>
      <c r="B149" s="65" t="s">
        <v>47</v>
      </c>
      <c r="C149" s="53" t="s">
        <v>34</v>
      </c>
      <c r="D149" s="54"/>
      <c r="E149" s="66"/>
      <c r="F149" s="66"/>
      <c r="G149" s="66"/>
      <c r="H149" s="66"/>
      <c r="I149" s="66"/>
      <c r="J149" s="66"/>
      <c r="K149" s="67" t="s">
        <v>35</v>
      </c>
      <c r="L149" s="62">
        <f>(E149*E137)+(F149*F137)+(G149*G137)+(H149*H137)+(I149*I137)+(J149*J137)</f>
        <v>0</v>
      </c>
      <c r="M149" s="57" t="s">
        <v>36</v>
      </c>
      <c r="N149" s="63" t="b">
        <v>0</v>
      </c>
    </row>
    <row r="150" ht="13.5" customHeight="1">
      <c r="A150" s="68"/>
      <c r="B150" s="69" t="str">
        <f>IFS(L150=0,"",B150&lt;&gt;"",B150,TRUE,NOW())</f>
        <v/>
      </c>
      <c r="C150" s="70" t="s">
        <v>37</v>
      </c>
      <c r="D150" s="33"/>
      <c r="E150" s="71"/>
      <c r="F150" s="71"/>
      <c r="G150" s="71"/>
      <c r="H150" s="71"/>
      <c r="I150" s="71"/>
      <c r="J150" s="71"/>
      <c r="K150" s="72" t="s">
        <v>38</v>
      </c>
      <c r="L150" s="73">
        <f>L149-L148</f>
        <v>0</v>
      </c>
      <c r="M150" s="74" t="s">
        <v>39</v>
      </c>
      <c r="N150" s="75" t="b">
        <v>0</v>
      </c>
    </row>
    <row r="151" ht="15.0" customHeight="1">
      <c r="A151" s="78" t="s">
        <v>48</v>
      </c>
      <c r="B151" s="52" t="s">
        <v>75</v>
      </c>
      <c r="C151" s="53" t="s">
        <v>27</v>
      </c>
      <c r="D151" s="54"/>
      <c r="E151" s="55">
        <f t="shared" ref="E151:J151" si="40">E149-E152</f>
        <v>0</v>
      </c>
      <c r="F151" s="55">
        <f t="shared" si="40"/>
        <v>0</v>
      </c>
      <c r="G151" s="55">
        <f t="shared" si="40"/>
        <v>0</v>
      </c>
      <c r="H151" s="55">
        <f t="shared" si="40"/>
        <v>0</v>
      </c>
      <c r="I151" s="55">
        <f t="shared" si="40"/>
        <v>0</v>
      </c>
      <c r="J151" s="55">
        <f t="shared" si="40"/>
        <v>0</v>
      </c>
      <c r="K151" s="56"/>
      <c r="L151" s="30"/>
      <c r="M151" s="57" t="s">
        <v>28</v>
      </c>
      <c r="N151" s="58" t="b">
        <v>0</v>
      </c>
    </row>
    <row r="152" ht="13.5" customHeight="1">
      <c r="A152" s="87"/>
      <c r="B152" s="59"/>
      <c r="C152" s="53" t="s">
        <v>30</v>
      </c>
      <c r="D152" s="54"/>
      <c r="E152" s="60"/>
      <c r="F152" s="60"/>
      <c r="G152" s="60"/>
      <c r="H152" s="60"/>
      <c r="I152" s="60"/>
      <c r="J152" s="60"/>
      <c r="K152" s="61" t="s">
        <v>30</v>
      </c>
      <c r="L152" s="62">
        <f>(E152*E137)+(F152*F137)+(G152*G137)+(H152*H137)+(I152*I137)+(J152*J137)</f>
        <v>0</v>
      </c>
      <c r="M152" s="57" t="s">
        <v>31</v>
      </c>
      <c r="N152" s="63" t="b">
        <v>0</v>
      </c>
    </row>
    <row r="153" ht="13.5" customHeight="1">
      <c r="A153" s="68"/>
      <c r="B153" s="65" t="s">
        <v>49</v>
      </c>
      <c r="C153" s="53" t="s">
        <v>34</v>
      </c>
      <c r="D153" s="54"/>
      <c r="E153" s="66"/>
      <c r="F153" s="66"/>
      <c r="G153" s="66"/>
      <c r="H153" s="66"/>
      <c r="I153" s="66"/>
      <c r="J153" s="66"/>
      <c r="K153" s="67" t="s">
        <v>35</v>
      </c>
      <c r="L153" s="62">
        <f>(E153*E137)+(F153*F137)+(G153*G137)+(H153*H137)+(I153*I137)+(J153*J137)</f>
        <v>0</v>
      </c>
      <c r="M153" s="57" t="s">
        <v>36</v>
      </c>
      <c r="N153" s="63" t="b">
        <v>0</v>
      </c>
    </row>
    <row r="154" ht="13.5" customHeight="1">
      <c r="A154" s="80"/>
      <c r="B154" s="69" t="str">
        <f>IFS(L154=0,"",B154&lt;&gt;"",B154,TRUE,NOW())</f>
        <v/>
      </c>
      <c r="C154" s="53" t="s">
        <v>37</v>
      </c>
      <c r="D154" s="54"/>
      <c r="E154" s="81"/>
      <c r="F154" s="81"/>
      <c r="G154" s="81"/>
      <c r="H154" s="82"/>
      <c r="I154" s="81"/>
      <c r="J154" s="81"/>
      <c r="K154" s="72" t="s">
        <v>38</v>
      </c>
      <c r="L154" s="73">
        <f>L153-L152</f>
        <v>0</v>
      </c>
      <c r="M154" s="74" t="s">
        <v>39</v>
      </c>
      <c r="N154" s="75" t="b">
        <v>0</v>
      </c>
    </row>
    <row r="155" ht="13.5" customHeight="1">
      <c r="A155" s="83" t="s">
        <v>77</v>
      </c>
      <c r="B155" s="42" t="s">
        <v>20</v>
      </c>
      <c r="C155" s="24"/>
      <c r="D155" s="33"/>
      <c r="E155" s="43">
        <f t="shared" ref="E155:J155" si="41">E6</f>
        <v>17</v>
      </c>
      <c r="F155" s="43">
        <f t="shared" si="41"/>
        <v>27</v>
      </c>
      <c r="G155" s="43">
        <f t="shared" si="41"/>
        <v>27</v>
      </c>
      <c r="H155" s="43">
        <f t="shared" si="41"/>
        <v>27</v>
      </c>
      <c r="I155" s="43">
        <f t="shared" si="41"/>
        <v>32</v>
      </c>
      <c r="J155" s="44">
        <f t="shared" si="41"/>
        <v>37</v>
      </c>
      <c r="K155" s="42" t="s">
        <v>21</v>
      </c>
      <c r="L155" s="25"/>
      <c r="M155" s="45" t="s">
        <v>22</v>
      </c>
      <c r="N155" s="25"/>
    </row>
    <row r="156" ht="18.75" customHeight="1">
      <c r="A156" s="46" t="s">
        <v>23</v>
      </c>
      <c r="B156" s="47" t="s">
        <v>24</v>
      </c>
      <c r="C156" s="32" t="s">
        <v>25</v>
      </c>
      <c r="D156" s="33"/>
      <c r="E156" s="48"/>
      <c r="F156" s="48"/>
      <c r="G156" s="48"/>
      <c r="H156" s="48"/>
      <c r="I156" s="48"/>
      <c r="J156" s="48"/>
      <c r="K156" s="49"/>
      <c r="L156" s="25"/>
      <c r="M156" s="50"/>
      <c r="N156" s="10"/>
    </row>
    <row r="157" ht="13.5" customHeight="1">
      <c r="A157" s="92"/>
      <c r="B157" s="52" t="s">
        <v>78</v>
      </c>
      <c r="C157" s="53" t="s">
        <v>27</v>
      </c>
      <c r="D157" s="54"/>
      <c r="E157" s="55">
        <f t="shared" ref="E157:J157" si="42">E156-E158</f>
        <v>0</v>
      </c>
      <c r="F157" s="55">
        <f t="shared" si="42"/>
        <v>0</v>
      </c>
      <c r="G157" s="55">
        <f t="shared" si="42"/>
        <v>0</v>
      </c>
      <c r="H157" s="55">
        <f t="shared" si="42"/>
        <v>0</v>
      </c>
      <c r="I157" s="55">
        <f t="shared" si="42"/>
        <v>0</v>
      </c>
      <c r="J157" s="55">
        <f t="shared" si="42"/>
        <v>0</v>
      </c>
      <c r="K157" s="56"/>
      <c r="L157" s="30"/>
      <c r="M157" s="57" t="s">
        <v>28</v>
      </c>
      <c r="N157" s="58" t="b">
        <v>0</v>
      </c>
    </row>
    <row r="158" ht="13.5" customHeight="1">
      <c r="A158" s="46" t="s">
        <v>29</v>
      </c>
      <c r="B158" s="59"/>
      <c r="C158" s="53" t="s">
        <v>30</v>
      </c>
      <c r="D158" s="54"/>
      <c r="E158" s="60"/>
      <c r="F158" s="60"/>
      <c r="G158" s="60"/>
      <c r="H158" s="60"/>
      <c r="I158" s="60"/>
      <c r="J158" s="60"/>
      <c r="K158" s="61" t="s">
        <v>30</v>
      </c>
      <c r="L158" s="62">
        <f>(E158*E155)+(F158*F155)+(G158*G155)+(H158*H155)+(I158*I155)+(J158*J155)</f>
        <v>0</v>
      </c>
      <c r="M158" s="57" t="s">
        <v>31</v>
      </c>
      <c r="N158" s="63" t="b">
        <v>0</v>
      </c>
    </row>
    <row r="159" ht="13.5" customHeight="1">
      <c r="A159" s="64" t="s">
        <v>70</v>
      </c>
      <c r="B159" s="65" t="s">
        <v>33</v>
      </c>
      <c r="C159" s="53" t="s">
        <v>34</v>
      </c>
      <c r="D159" s="54"/>
      <c r="E159" s="66"/>
      <c r="F159" s="66"/>
      <c r="G159" s="66"/>
      <c r="H159" s="66"/>
      <c r="I159" s="66"/>
      <c r="J159" s="66"/>
      <c r="K159" s="67" t="s">
        <v>35</v>
      </c>
      <c r="L159" s="62">
        <f>(E159*E155)+(F159*F155)+(G159*G155)+(H159*H155)+(I159*I155)+(J159*J155)</f>
        <v>0</v>
      </c>
      <c r="M159" s="57" t="s">
        <v>36</v>
      </c>
      <c r="N159" s="63" t="b">
        <v>0</v>
      </c>
    </row>
    <row r="160" ht="13.5" customHeight="1">
      <c r="A160" s="68"/>
      <c r="B160" s="69" t="str">
        <f>IFS(L160=0,"",B160&lt;&gt;"",B160,TRUE,NOW())</f>
        <v/>
      </c>
      <c r="C160" s="70" t="s">
        <v>37</v>
      </c>
      <c r="D160" s="33"/>
      <c r="E160" s="71"/>
      <c r="F160" s="71"/>
      <c r="G160" s="71"/>
      <c r="H160" s="71"/>
      <c r="I160" s="71"/>
      <c r="J160" s="71"/>
      <c r="K160" s="72" t="s">
        <v>38</v>
      </c>
      <c r="L160" s="73">
        <f>L159-L158</f>
        <v>0</v>
      </c>
      <c r="M160" s="74" t="s">
        <v>39</v>
      </c>
      <c r="N160" s="75" t="b">
        <v>0</v>
      </c>
    </row>
    <row r="161" ht="13.5" customHeight="1">
      <c r="A161" s="46" t="s">
        <v>40</v>
      </c>
      <c r="B161" s="52" t="s">
        <v>78</v>
      </c>
      <c r="C161" s="53" t="s">
        <v>27</v>
      </c>
      <c r="D161" s="54"/>
      <c r="E161" s="55">
        <f t="shared" ref="E161:J161" si="43">E159-E162</f>
        <v>0</v>
      </c>
      <c r="F161" s="55">
        <f t="shared" si="43"/>
        <v>0</v>
      </c>
      <c r="G161" s="55">
        <f t="shared" si="43"/>
        <v>0</v>
      </c>
      <c r="H161" s="55">
        <f t="shared" si="43"/>
        <v>0</v>
      </c>
      <c r="I161" s="55">
        <f t="shared" si="43"/>
        <v>0</v>
      </c>
      <c r="J161" s="55">
        <f t="shared" si="43"/>
        <v>0</v>
      </c>
      <c r="K161" s="56"/>
      <c r="L161" s="30"/>
      <c r="M161" s="57" t="s">
        <v>28</v>
      </c>
      <c r="N161" s="58" t="b">
        <v>0</v>
      </c>
    </row>
    <row r="162" ht="13.5" customHeight="1">
      <c r="A162" s="64"/>
      <c r="B162" s="59"/>
      <c r="C162" s="53" t="s">
        <v>30</v>
      </c>
      <c r="D162" s="54"/>
      <c r="E162" s="60"/>
      <c r="F162" s="60"/>
      <c r="G162" s="60"/>
      <c r="H162" s="60"/>
      <c r="I162" s="84"/>
      <c r="J162" s="60"/>
      <c r="K162" s="61" t="s">
        <v>30</v>
      </c>
      <c r="L162" s="62">
        <f>(E162*E155)+(F162*F155)+(G162*G155)+(H162*H155)+(I162*I155)+(J162*J155)</f>
        <v>0</v>
      </c>
      <c r="M162" s="57" t="s">
        <v>31</v>
      </c>
      <c r="N162" s="63" t="b">
        <v>0</v>
      </c>
    </row>
    <row r="163" ht="17.25" customHeight="1">
      <c r="A163" s="68"/>
      <c r="B163" s="65" t="s">
        <v>42</v>
      </c>
      <c r="C163" s="53" t="s">
        <v>34</v>
      </c>
      <c r="D163" s="54"/>
      <c r="E163" s="66"/>
      <c r="F163" s="76"/>
      <c r="G163" s="76"/>
      <c r="H163" s="76"/>
      <c r="I163" s="76"/>
      <c r="J163" s="76"/>
      <c r="K163" s="67" t="s">
        <v>35</v>
      </c>
      <c r="L163" s="62">
        <f>(E163*E155)+(F163*F155)+(G163*G155)+(H163*H155)+(I163*I155)+(J163*J155)</f>
        <v>0</v>
      </c>
      <c r="M163" s="57" t="s">
        <v>36</v>
      </c>
      <c r="N163" s="63" t="b">
        <v>0</v>
      </c>
    </row>
    <row r="164" ht="13.5" customHeight="1">
      <c r="A164" s="46" t="s">
        <v>43</v>
      </c>
      <c r="B164" s="69" t="str">
        <f>IFS(L164=0,"",B164&lt;&gt;"",B164,TRUE,NOW())</f>
        <v/>
      </c>
      <c r="C164" s="70" t="s">
        <v>37</v>
      </c>
      <c r="D164" s="33"/>
      <c r="E164" s="71"/>
      <c r="F164" s="71"/>
      <c r="G164" s="71"/>
      <c r="H164" s="71"/>
      <c r="I164" s="71"/>
      <c r="J164" s="71"/>
      <c r="K164" s="72" t="s">
        <v>38</v>
      </c>
      <c r="L164" s="73">
        <f>L163-L162</f>
        <v>0</v>
      </c>
      <c r="M164" s="74" t="s">
        <v>39</v>
      </c>
      <c r="N164" s="75" t="b">
        <v>0</v>
      </c>
    </row>
    <row r="165" ht="13.5" customHeight="1">
      <c r="A165" s="64"/>
      <c r="B165" s="52" t="s">
        <v>78</v>
      </c>
      <c r="C165" s="53" t="s">
        <v>27</v>
      </c>
      <c r="D165" s="54"/>
      <c r="E165" s="55">
        <f t="shared" ref="E165:J165" si="44">E163-E166</f>
        <v>0</v>
      </c>
      <c r="F165" s="55">
        <f t="shared" si="44"/>
        <v>0</v>
      </c>
      <c r="G165" s="55">
        <f t="shared" si="44"/>
        <v>0</v>
      </c>
      <c r="H165" s="55">
        <f t="shared" si="44"/>
        <v>0</v>
      </c>
      <c r="I165" s="55">
        <f t="shared" si="44"/>
        <v>0</v>
      </c>
      <c r="J165" s="55">
        <f t="shared" si="44"/>
        <v>0</v>
      </c>
      <c r="K165" s="56"/>
      <c r="L165" s="30"/>
      <c r="M165" s="57" t="s">
        <v>28</v>
      </c>
      <c r="N165" s="58" t="b">
        <v>0</v>
      </c>
    </row>
    <row r="166" ht="13.5" customHeight="1">
      <c r="A166" s="46" t="s">
        <v>45</v>
      </c>
      <c r="B166" s="59"/>
      <c r="C166" s="53" t="s">
        <v>30</v>
      </c>
      <c r="D166" s="54"/>
      <c r="E166" s="60"/>
      <c r="F166" s="60"/>
      <c r="G166" s="60"/>
      <c r="H166" s="60"/>
      <c r="I166" s="60"/>
      <c r="J166" s="60"/>
      <c r="K166" s="61" t="s">
        <v>30</v>
      </c>
      <c r="L166" s="62">
        <f>(E166*E155)+(F166*F155)+(G166*G155)+(H166*H155)+(I166*I155)+(J166*J155)</f>
        <v>0</v>
      </c>
      <c r="M166" s="57" t="s">
        <v>31</v>
      </c>
      <c r="N166" s="63" t="b">
        <v>0</v>
      </c>
    </row>
    <row r="167" ht="13.5" customHeight="1">
      <c r="A167" s="77"/>
      <c r="B167" s="65" t="s">
        <v>47</v>
      </c>
      <c r="C167" s="53" t="s">
        <v>34</v>
      </c>
      <c r="D167" s="54"/>
      <c r="E167" s="66"/>
      <c r="F167" s="66"/>
      <c r="G167" s="66"/>
      <c r="H167" s="66"/>
      <c r="I167" s="66"/>
      <c r="J167" s="66"/>
      <c r="K167" s="67" t="s">
        <v>35</v>
      </c>
      <c r="L167" s="62">
        <f>(E167*E155)+(F167*F155)+(G167*G155)+(H167*H155)+(I167*I155)+(J167*J155)</f>
        <v>0</v>
      </c>
      <c r="M167" s="57" t="s">
        <v>36</v>
      </c>
      <c r="N167" s="63" t="b">
        <v>0</v>
      </c>
    </row>
    <row r="168" ht="15.0" customHeight="1">
      <c r="A168" s="68"/>
      <c r="B168" s="69" t="str">
        <f>IFS(L168=0,"",B168&lt;&gt;"",B168,TRUE,NOW())</f>
        <v/>
      </c>
      <c r="C168" s="70" t="s">
        <v>37</v>
      </c>
      <c r="D168" s="33"/>
      <c r="E168" s="71"/>
      <c r="F168" s="71"/>
      <c r="G168" s="71"/>
      <c r="H168" s="71"/>
      <c r="I168" s="71"/>
      <c r="J168" s="71"/>
      <c r="K168" s="72" t="s">
        <v>38</v>
      </c>
      <c r="L168" s="73">
        <f>L167-L166</f>
        <v>0</v>
      </c>
      <c r="M168" s="74" t="s">
        <v>39</v>
      </c>
      <c r="N168" s="75" t="b">
        <v>0</v>
      </c>
    </row>
    <row r="169" ht="13.5" customHeight="1">
      <c r="A169" s="78" t="s">
        <v>48</v>
      </c>
      <c r="B169" s="52" t="s">
        <v>78</v>
      </c>
      <c r="C169" s="53" t="s">
        <v>27</v>
      </c>
      <c r="D169" s="54"/>
      <c r="E169" s="55">
        <f t="shared" ref="E169:J169" si="45">E167-E170</f>
        <v>0</v>
      </c>
      <c r="F169" s="55">
        <f t="shared" si="45"/>
        <v>0</v>
      </c>
      <c r="G169" s="55">
        <f t="shared" si="45"/>
        <v>0</v>
      </c>
      <c r="H169" s="55">
        <f t="shared" si="45"/>
        <v>0</v>
      </c>
      <c r="I169" s="55">
        <f t="shared" si="45"/>
        <v>0</v>
      </c>
      <c r="J169" s="55">
        <f t="shared" si="45"/>
        <v>0</v>
      </c>
      <c r="K169" s="56"/>
      <c r="L169" s="30"/>
      <c r="M169" s="57" t="s">
        <v>28</v>
      </c>
      <c r="N169" s="58" t="b">
        <v>0</v>
      </c>
    </row>
    <row r="170" ht="13.5" customHeight="1">
      <c r="A170" s="87"/>
      <c r="B170" s="59"/>
      <c r="C170" s="53" t="s">
        <v>30</v>
      </c>
      <c r="D170" s="54"/>
      <c r="E170" s="60"/>
      <c r="F170" s="60"/>
      <c r="G170" s="60"/>
      <c r="H170" s="60"/>
      <c r="I170" s="60"/>
      <c r="J170" s="60"/>
      <c r="K170" s="61" t="s">
        <v>30</v>
      </c>
      <c r="L170" s="62">
        <f>(E170*E155)+(F170*F155)+(G170*G155)+(H170*H155)+(I170*I155)+(J170*J155)</f>
        <v>0</v>
      </c>
      <c r="M170" s="57" t="s">
        <v>31</v>
      </c>
      <c r="N170" s="63" t="b">
        <v>0</v>
      </c>
    </row>
    <row r="171" ht="13.5" customHeight="1">
      <c r="A171" s="68"/>
      <c r="B171" s="65" t="s">
        <v>49</v>
      </c>
      <c r="C171" s="53" t="s">
        <v>34</v>
      </c>
      <c r="D171" s="54"/>
      <c r="E171" s="66"/>
      <c r="F171" s="66"/>
      <c r="G171" s="66"/>
      <c r="H171" s="66"/>
      <c r="I171" s="66"/>
      <c r="J171" s="66"/>
      <c r="K171" s="67" t="s">
        <v>35</v>
      </c>
      <c r="L171" s="62">
        <f>(E171*E155)+(F171*F155)+(G171*G155)+(H171*H155)+(I171*I155)+(J171*J155)</f>
        <v>0</v>
      </c>
      <c r="M171" s="57" t="s">
        <v>36</v>
      </c>
      <c r="N171" s="63" t="b">
        <v>0</v>
      </c>
    </row>
    <row r="172" ht="13.5" customHeight="1">
      <c r="A172" s="80"/>
      <c r="B172" s="69" t="str">
        <f>IFS(L172=0,"",B172&lt;&gt;"",B172,TRUE,NOW())</f>
        <v/>
      </c>
      <c r="C172" s="86" t="s">
        <v>37</v>
      </c>
      <c r="D172" s="59"/>
      <c r="E172" s="81"/>
      <c r="F172" s="81"/>
      <c r="G172" s="81"/>
      <c r="H172" s="82"/>
      <c r="I172" s="81"/>
      <c r="J172" s="81"/>
      <c r="K172" s="72" t="s">
        <v>38</v>
      </c>
      <c r="L172" s="73">
        <f>L171-L170</f>
        <v>0</v>
      </c>
      <c r="M172" s="74" t="s">
        <v>39</v>
      </c>
      <c r="N172" s="75" t="b">
        <v>0</v>
      </c>
    </row>
    <row r="173" ht="15.0" customHeight="1">
      <c r="A173" s="83" t="s">
        <v>80</v>
      </c>
      <c r="B173" s="42" t="s">
        <v>20</v>
      </c>
      <c r="C173" s="24"/>
      <c r="D173" s="33"/>
      <c r="E173" s="43">
        <f t="shared" ref="E173:J173" si="46">E6</f>
        <v>17</v>
      </c>
      <c r="F173" s="43">
        <f t="shared" si="46"/>
        <v>27</v>
      </c>
      <c r="G173" s="43">
        <f t="shared" si="46"/>
        <v>27</v>
      </c>
      <c r="H173" s="43">
        <f t="shared" si="46"/>
        <v>27</v>
      </c>
      <c r="I173" s="43">
        <f t="shared" si="46"/>
        <v>32</v>
      </c>
      <c r="J173" s="44">
        <f t="shared" si="46"/>
        <v>37</v>
      </c>
      <c r="K173" s="42" t="s">
        <v>21</v>
      </c>
      <c r="L173" s="25"/>
      <c r="M173" s="45" t="s">
        <v>22</v>
      </c>
      <c r="N173" s="25"/>
    </row>
    <row r="174" ht="13.5" customHeight="1">
      <c r="A174" s="46" t="s">
        <v>23</v>
      </c>
      <c r="B174" s="47" t="s">
        <v>24</v>
      </c>
      <c r="C174" s="32" t="s">
        <v>25</v>
      </c>
      <c r="D174" s="33"/>
      <c r="E174" s="48"/>
      <c r="F174" s="48"/>
      <c r="G174" s="48"/>
      <c r="H174" s="48"/>
      <c r="I174" s="48"/>
      <c r="J174" s="48"/>
      <c r="K174" s="49"/>
      <c r="L174" s="25"/>
      <c r="M174" s="50"/>
      <c r="N174" s="10"/>
    </row>
    <row r="175" ht="13.5" customHeight="1">
      <c r="A175" s="92"/>
      <c r="B175" s="52" t="s">
        <v>81</v>
      </c>
      <c r="C175" s="53" t="s">
        <v>27</v>
      </c>
      <c r="D175" s="54"/>
      <c r="E175" s="55">
        <f t="shared" ref="E175:J175" si="47">E174-E176</f>
        <v>0</v>
      </c>
      <c r="F175" s="55">
        <f t="shared" si="47"/>
        <v>0</v>
      </c>
      <c r="G175" s="55">
        <f t="shared" si="47"/>
        <v>0</v>
      </c>
      <c r="H175" s="55">
        <f t="shared" si="47"/>
        <v>0</v>
      </c>
      <c r="I175" s="55">
        <f t="shared" si="47"/>
        <v>0</v>
      </c>
      <c r="J175" s="55">
        <f t="shared" si="47"/>
        <v>0</v>
      </c>
      <c r="K175" s="56"/>
      <c r="L175" s="30"/>
      <c r="M175" s="57" t="s">
        <v>28</v>
      </c>
      <c r="N175" s="58" t="b">
        <v>0</v>
      </c>
    </row>
    <row r="176" ht="13.5" customHeight="1">
      <c r="A176" s="46" t="s">
        <v>29</v>
      </c>
      <c r="B176" s="59"/>
      <c r="C176" s="53" t="s">
        <v>30</v>
      </c>
      <c r="D176" s="54"/>
      <c r="E176" s="60"/>
      <c r="F176" s="60"/>
      <c r="G176" s="60"/>
      <c r="H176" s="60"/>
      <c r="I176" s="60"/>
      <c r="J176" s="60"/>
      <c r="K176" s="61" t="s">
        <v>30</v>
      </c>
      <c r="L176" s="62">
        <f>(E176*E173)+(F176*F173)+(G176*G173)+(H176*H173)+(I176*I173)+(J176*J173)</f>
        <v>0</v>
      </c>
      <c r="M176" s="57" t="s">
        <v>31</v>
      </c>
      <c r="N176" s="63" t="b">
        <v>0</v>
      </c>
    </row>
    <row r="177" ht="13.5" customHeight="1">
      <c r="A177" s="64" t="s">
        <v>185</v>
      </c>
      <c r="B177" s="65" t="s">
        <v>33</v>
      </c>
      <c r="C177" s="53" t="s">
        <v>34</v>
      </c>
      <c r="D177" s="54"/>
      <c r="E177" s="66"/>
      <c r="F177" s="66"/>
      <c r="G177" s="66"/>
      <c r="H177" s="66"/>
      <c r="I177" s="66"/>
      <c r="J177" s="66"/>
      <c r="K177" s="67" t="s">
        <v>35</v>
      </c>
      <c r="L177" s="62">
        <f>(E177*E173)+(F177*F173)+(G177*G173)+(H177*H173)+(I177*I173)+(J177*J173)</f>
        <v>0</v>
      </c>
      <c r="M177" s="57" t="s">
        <v>36</v>
      </c>
      <c r="N177" s="63" t="b">
        <v>0</v>
      </c>
    </row>
    <row r="178" ht="15.0" customHeight="1">
      <c r="A178" s="68"/>
      <c r="B178" s="69" t="str">
        <f>IFS(L178=0,"",B178&lt;&gt;"",B178,TRUE,NOW())</f>
        <v/>
      </c>
      <c r="C178" s="70" t="s">
        <v>37</v>
      </c>
      <c r="D178" s="33"/>
      <c r="E178" s="71"/>
      <c r="F178" s="71"/>
      <c r="G178" s="71"/>
      <c r="H178" s="71"/>
      <c r="I178" s="71"/>
      <c r="J178" s="71"/>
      <c r="K178" s="72" t="s">
        <v>38</v>
      </c>
      <c r="L178" s="73">
        <f>L177-L176</f>
        <v>0</v>
      </c>
      <c r="M178" s="74" t="s">
        <v>39</v>
      </c>
      <c r="N178" s="75" t="b">
        <v>0</v>
      </c>
    </row>
    <row r="179" ht="13.5" customHeight="1">
      <c r="A179" s="46" t="s">
        <v>40</v>
      </c>
      <c r="B179" s="52" t="s">
        <v>81</v>
      </c>
      <c r="C179" s="53" t="s">
        <v>27</v>
      </c>
      <c r="D179" s="54"/>
      <c r="E179" s="55">
        <f t="shared" ref="E179:J179" si="48">E177-E180</f>
        <v>0</v>
      </c>
      <c r="F179" s="55">
        <f t="shared" si="48"/>
        <v>0</v>
      </c>
      <c r="G179" s="55">
        <f t="shared" si="48"/>
        <v>0</v>
      </c>
      <c r="H179" s="55">
        <f t="shared" si="48"/>
        <v>0</v>
      </c>
      <c r="I179" s="55">
        <f t="shared" si="48"/>
        <v>0</v>
      </c>
      <c r="J179" s="55">
        <f t="shared" si="48"/>
        <v>0</v>
      </c>
      <c r="K179" s="56"/>
      <c r="L179" s="30"/>
      <c r="M179" s="57" t="s">
        <v>28</v>
      </c>
      <c r="N179" s="58" t="b">
        <v>0</v>
      </c>
    </row>
    <row r="180" ht="13.5" customHeight="1">
      <c r="A180" s="64"/>
      <c r="B180" s="59"/>
      <c r="C180" s="53" t="s">
        <v>30</v>
      </c>
      <c r="D180" s="54"/>
      <c r="E180" s="60"/>
      <c r="F180" s="60"/>
      <c r="G180" s="60"/>
      <c r="H180" s="60"/>
      <c r="I180" s="60"/>
      <c r="J180" s="60"/>
      <c r="K180" s="61" t="s">
        <v>30</v>
      </c>
      <c r="L180" s="62">
        <f>(E180*E173)+(F180*F173)+(G180*G173)+(H180*H173)+(I180*I173)+(J180*J173)</f>
        <v>0</v>
      </c>
      <c r="M180" s="57" t="s">
        <v>31</v>
      </c>
      <c r="N180" s="63" t="b">
        <v>0</v>
      </c>
    </row>
    <row r="181" ht="13.5" customHeight="1">
      <c r="A181" s="68"/>
      <c r="B181" s="65" t="s">
        <v>42</v>
      </c>
      <c r="C181" s="53" t="s">
        <v>34</v>
      </c>
      <c r="D181" s="54"/>
      <c r="E181" s="66"/>
      <c r="F181" s="76"/>
      <c r="G181" s="66"/>
      <c r="H181" s="66"/>
      <c r="I181" s="66"/>
      <c r="J181" s="76"/>
      <c r="K181" s="67" t="s">
        <v>35</v>
      </c>
      <c r="L181" s="62">
        <f>(E181*E173)+(F181*F173)+(G181*G173)+(H181*H173)+(I181*I173)+(J181*J173)</f>
        <v>0</v>
      </c>
      <c r="M181" s="57" t="s">
        <v>36</v>
      </c>
      <c r="N181" s="63" t="b">
        <v>0</v>
      </c>
    </row>
    <row r="182" ht="13.5" customHeight="1">
      <c r="A182" s="46" t="s">
        <v>43</v>
      </c>
      <c r="B182" s="69" t="str">
        <f>IFS(L182=0,"",B182&lt;&gt;"",B182,TRUE,NOW())</f>
        <v/>
      </c>
      <c r="C182" s="70" t="s">
        <v>37</v>
      </c>
      <c r="D182" s="33"/>
      <c r="E182" s="71"/>
      <c r="F182" s="71"/>
      <c r="G182" s="71"/>
      <c r="H182" s="71"/>
      <c r="I182" s="71"/>
      <c r="J182" s="71"/>
      <c r="K182" s="72" t="s">
        <v>38</v>
      </c>
      <c r="L182" s="73">
        <f>L181-L180</f>
        <v>0</v>
      </c>
      <c r="M182" s="74" t="s">
        <v>39</v>
      </c>
      <c r="N182" s="75" t="b">
        <v>0</v>
      </c>
    </row>
    <row r="183" ht="13.5" customHeight="1">
      <c r="A183" s="64"/>
      <c r="B183" s="52" t="s">
        <v>81</v>
      </c>
      <c r="C183" s="53" t="s">
        <v>27</v>
      </c>
      <c r="D183" s="54"/>
      <c r="E183" s="55">
        <f t="shared" ref="E183:J183" si="49">E181-E184</f>
        <v>0</v>
      </c>
      <c r="F183" s="55">
        <f t="shared" si="49"/>
        <v>0</v>
      </c>
      <c r="G183" s="55">
        <f t="shared" si="49"/>
        <v>0</v>
      </c>
      <c r="H183" s="55">
        <f t="shared" si="49"/>
        <v>0</v>
      </c>
      <c r="I183" s="55">
        <f t="shared" si="49"/>
        <v>0</v>
      </c>
      <c r="J183" s="55">
        <f t="shared" si="49"/>
        <v>0</v>
      </c>
      <c r="K183" s="56"/>
      <c r="L183" s="30"/>
      <c r="M183" s="57" t="s">
        <v>28</v>
      </c>
      <c r="N183" s="58" t="b">
        <v>0</v>
      </c>
    </row>
    <row r="184" ht="13.5" customHeight="1">
      <c r="A184" s="46" t="s">
        <v>45</v>
      </c>
      <c r="B184" s="59"/>
      <c r="C184" s="53" t="s">
        <v>30</v>
      </c>
      <c r="D184" s="54"/>
      <c r="E184" s="60"/>
      <c r="F184" s="60"/>
      <c r="G184" s="60"/>
      <c r="H184" s="60"/>
      <c r="I184" s="60"/>
      <c r="J184" s="60"/>
      <c r="K184" s="61" t="s">
        <v>30</v>
      </c>
      <c r="L184" s="62">
        <f>(E184*E173)+(F184*F173)+(G184*G173)+(H184*H173)+(I184*I173)+(J184*J173)</f>
        <v>0</v>
      </c>
      <c r="M184" s="57" t="s">
        <v>31</v>
      </c>
      <c r="N184" s="63" t="b">
        <v>0</v>
      </c>
    </row>
    <row r="185" ht="18.0" customHeight="1">
      <c r="A185" s="77"/>
      <c r="B185" s="65" t="s">
        <v>47</v>
      </c>
      <c r="C185" s="53" t="s">
        <v>34</v>
      </c>
      <c r="D185" s="54"/>
      <c r="E185" s="66"/>
      <c r="F185" s="66"/>
      <c r="G185" s="66"/>
      <c r="H185" s="66"/>
      <c r="I185" s="66"/>
      <c r="J185" s="66"/>
      <c r="K185" s="67" t="s">
        <v>35</v>
      </c>
      <c r="L185" s="62">
        <f>(E185*E173)+(F185*F173)+(G185*G173)+(H185*H173)+(I185*I173)+(J185*J173)</f>
        <v>0</v>
      </c>
      <c r="M185" s="57" t="s">
        <v>36</v>
      </c>
      <c r="N185" s="63" t="b">
        <v>0</v>
      </c>
    </row>
    <row r="186" ht="13.5" customHeight="1">
      <c r="A186" s="68"/>
      <c r="B186" s="69" t="str">
        <f>IFS(L186=0,"",B186&lt;&gt;"",B186,TRUE,NOW())</f>
        <v/>
      </c>
      <c r="C186" s="70" t="s">
        <v>37</v>
      </c>
      <c r="D186" s="33"/>
      <c r="E186" s="71"/>
      <c r="F186" s="71"/>
      <c r="G186" s="71"/>
      <c r="H186" s="71"/>
      <c r="I186" s="71"/>
      <c r="J186" s="71"/>
      <c r="K186" s="72" t="s">
        <v>38</v>
      </c>
      <c r="L186" s="73">
        <f>L185-L184</f>
        <v>0</v>
      </c>
      <c r="M186" s="74" t="s">
        <v>39</v>
      </c>
      <c r="N186" s="75" t="b">
        <v>0</v>
      </c>
    </row>
    <row r="187" ht="13.5" customHeight="1">
      <c r="A187" s="78" t="s">
        <v>48</v>
      </c>
      <c r="B187" s="52" t="s">
        <v>81</v>
      </c>
      <c r="C187" s="53" t="s">
        <v>27</v>
      </c>
      <c r="D187" s="54"/>
      <c r="E187" s="55">
        <f t="shared" ref="E187:J187" si="50">E185-E188</f>
        <v>0</v>
      </c>
      <c r="F187" s="55">
        <f t="shared" si="50"/>
        <v>0</v>
      </c>
      <c r="G187" s="55">
        <f t="shared" si="50"/>
        <v>0</v>
      </c>
      <c r="H187" s="55">
        <f t="shared" si="50"/>
        <v>0</v>
      </c>
      <c r="I187" s="55">
        <f t="shared" si="50"/>
        <v>0</v>
      </c>
      <c r="J187" s="55">
        <f t="shared" si="50"/>
        <v>0</v>
      </c>
      <c r="K187" s="56"/>
      <c r="L187" s="30"/>
      <c r="M187" s="57" t="s">
        <v>28</v>
      </c>
      <c r="N187" s="58" t="b">
        <v>0</v>
      </c>
    </row>
    <row r="188" ht="13.5" customHeight="1">
      <c r="A188" s="87"/>
      <c r="B188" s="59"/>
      <c r="C188" s="53" t="s">
        <v>30</v>
      </c>
      <c r="D188" s="54"/>
      <c r="E188" s="60"/>
      <c r="F188" s="60"/>
      <c r="G188" s="60"/>
      <c r="H188" s="60"/>
      <c r="I188" s="60"/>
      <c r="J188" s="60"/>
      <c r="K188" s="61" t="s">
        <v>30</v>
      </c>
      <c r="L188" s="62">
        <f>(E188*E173)+(F188*F173)+(G188*G173)+(H188*H173)+(I188*I173)+(J188*J173)</f>
        <v>0</v>
      </c>
      <c r="M188" s="57" t="s">
        <v>31</v>
      </c>
      <c r="N188" s="63" t="b">
        <v>0</v>
      </c>
    </row>
    <row r="189" ht="13.5" customHeight="1">
      <c r="A189" s="68"/>
      <c r="B189" s="65" t="s">
        <v>49</v>
      </c>
      <c r="C189" s="53" t="s">
        <v>34</v>
      </c>
      <c r="D189" s="54"/>
      <c r="E189" s="66"/>
      <c r="F189" s="66"/>
      <c r="G189" s="66"/>
      <c r="H189" s="66"/>
      <c r="I189" s="66"/>
      <c r="J189" s="66"/>
      <c r="K189" s="67" t="s">
        <v>35</v>
      </c>
      <c r="L189" s="62">
        <f>(E189*E173)+(F189*F173)+(G189*G173)+(H189*H173)+(I189*I173)+(J189*J173)</f>
        <v>0</v>
      </c>
      <c r="M189" s="57" t="s">
        <v>36</v>
      </c>
      <c r="N189" s="63" t="b">
        <v>0</v>
      </c>
    </row>
    <row r="190" ht="15.0" customHeight="1">
      <c r="A190" s="80"/>
      <c r="B190" s="69" t="str">
        <f>IFS(L190=0,"",B190&lt;&gt;"",B190,TRUE,NOW())</f>
        <v/>
      </c>
      <c r="C190" s="86" t="s">
        <v>37</v>
      </c>
      <c r="D190" s="59"/>
      <c r="E190" s="81"/>
      <c r="F190" s="81"/>
      <c r="G190" s="81"/>
      <c r="H190" s="82"/>
      <c r="I190" s="81"/>
      <c r="J190" s="81"/>
      <c r="K190" s="72" t="s">
        <v>38</v>
      </c>
      <c r="L190" s="73">
        <f>L189-L188</f>
        <v>0</v>
      </c>
      <c r="M190" s="74" t="s">
        <v>39</v>
      </c>
      <c r="N190" s="75" t="b">
        <v>0</v>
      </c>
    </row>
    <row r="191" ht="13.5" customHeight="1">
      <c r="A191" s="83" t="s">
        <v>83</v>
      </c>
      <c r="B191" s="42" t="s">
        <v>20</v>
      </c>
      <c r="C191" s="24"/>
      <c r="D191" s="33"/>
      <c r="E191" s="43">
        <f t="shared" ref="E191:J191" si="51">E6</f>
        <v>17</v>
      </c>
      <c r="F191" s="43">
        <f t="shared" si="51"/>
        <v>27</v>
      </c>
      <c r="G191" s="43">
        <f t="shared" si="51"/>
        <v>27</v>
      </c>
      <c r="H191" s="43">
        <f t="shared" si="51"/>
        <v>27</v>
      </c>
      <c r="I191" s="43">
        <f t="shared" si="51"/>
        <v>32</v>
      </c>
      <c r="J191" s="44">
        <f t="shared" si="51"/>
        <v>37</v>
      </c>
      <c r="K191" s="42" t="s">
        <v>21</v>
      </c>
      <c r="L191" s="25"/>
      <c r="M191" s="45" t="s">
        <v>22</v>
      </c>
      <c r="N191" s="25"/>
    </row>
    <row r="192" ht="13.5" customHeight="1">
      <c r="A192" s="46" t="s">
        <v>23</v>
      </c>
      <c r="B192" s="47" t="s">
        <v>24</v>
      </c>
      <c r="C192" s="32" t="s">
        <v>25</v>
      </c>
      <c r="D192" s="33"/>
      <c r="E192" s="48"/>
      <c r="F192" s="48"/>
      <c r="G192" s="48"/>
      <c r="H192" s="48"/>
      <c r="I192" s="48"/>
      <c r="J192" s="48"/>
      <c r="K192" s="49"/>
      <c r="L192" s="25"/>
      <c r="M192" s="50"/>
      <c r="N192" s="10"/>
    </row>
    <row r="193" ht="13.5" customHeight="1">
      <c r="A193" s="92"/>
      <c r="B193" s="52" t="s">
        <v>84</v>
      </c>
      <c r="C193" s="53" t="s">
        <v>27</v>
      </c>
      <c r="D193" s="54"/>
      <c r="E193" s="55">
        <f t="shared" ref="E193:J193" si="52">E192-E194</f>
        <v>0</v>
      </c>
      <c r="F193" s="55">
        <f t="shared" si="52"/>
        <v>0</v>
      </c>
      <c r="G193" s="55">
        <f t="shared" si="52"/>
        <v>0</v>
      </c>
      <c r="H193" s="55">
        <f t="shared" si="52"/>
        <v>0</v>
      </c>
      <c r="I193" s="55">
        <f t="shared" si="52"/>
        <v>0</v>
      </c>
      <c r="J193" s="55">
        <f t="shared" si="52"/>
        <v>0</v>
      </c>
      <c r="K193" s="56"/>
      <c r="L193" s="30"/>
      <c r="M193" s="57" t="s">
        <v>28</v>
      </c>
      <c r="N193" s="58" t="b">
        <v>0</v>
      </c>
    </row>
    <row r="194" ht="13.5" customHeight="1">
      <c r="A194" s="46" t="s">
        <v>29</v>
      </c>
      <c r="B194" s="59"/>
      <c r="C194" s="53" t="s">
        <v>30</v>
      </c>
      <c r="D194" s="54"/>
      <c r="E194" s="60"/>
      <c r="F194" s="60"/>
      <c r="G194" s="60"/>
      <c r="H194" s="60"/>
      <c r="I194" s="60"/>
      <c r="J194" s="60"/>
      <c r="K194" s="61" t="s">
        <v>30</v>
      </c>
      <c r="L194" s="62">
        <f>(E194*E191)+(F194*F191)+(G194*G191)+(H194*H191)+(I194*I191)+(J194*J191)</f>
        <v>0</v>
      </c>
      <c r="M194" s="57" t="s">
        <v>31</v>
      </c>
      <c r="N194" s="63" t="b">
        <v>0</v>
      </c>
    </row>
    <row r="195" ht="18.0" customHeight="1">
      <c r="A195" s="64" t="s">
        <v>186</v>
      </c>
      <c r="B195" s="65" t="s">
        <v>33</v>
      </c>
      <c r="C195" s="53" t="s">
        <v>34</v>
      </c>
      <c r="D195" s="54"/>
      <c r="E195" s="66"/>
      <c r="F195" s="66"/>
      <c r="G195" s="66"/>
      <c r="H195" s="66"/>
      <c r="I195" s="66"/>
      <c r="J195" s="66"/>
      <c r="K195" s="67" t="s">
        <v>35</v>
      </c>
      <c r="L195" s="62">
        <f>(E195*E191)+(F195*F191)+(G195*G191)+(H195*H191)+(I195*I191)+(J195*J191)</f>
        <v>0</v>
      </c>
      <c r="M195" s="57" t="s">
        <v>36</v>
      </c>
      <c r="N195" s="63" t="b">
        <v>0</v>
      </c>
    </row>
    <row r="196" ht="13.5" customHeight="1">
      <c r="A196" s="68"/>
      <c r="B196" s="69" t="str">
        <f>IFS(L196=0,"",B196&lt;&gt;"",B196,TRUE,NOW())</f>
        <v/>
      </c>
      <c r="C196" s="70" t="s">
        <v>37</v>
      </c>
      <c r="D196" s="33"/>
      <c r="E196" s="71"/>
      <c r="F196" s="71"/>
      <c r="G196" s="71"/>
      <c r="H196" s="71"/>
      <c r="I196" s="71"/>
      <c r="J196" s="71"/>
      <c r="K196" s="72" t="s">
        <v>38</v>
      </c>
      <c r="L196" s="73">
        <f>L195-L194</f>
        <v>0</v>
      </c>
      <c r="M196" s="74" t="s">
        <v>39</v>
      </c>
      <c r="N196" s="75" t="b">
        <v>0</v>
      </c>
    </row>
    <row r="197" ht="13.5" customHeight="1">
      <c r="A197" s="46" t="s">
        <v>40</v>
      </c>
      <c r="B197" s="52" t="s">
        <v>84</v>
      </c>
      <c r="C197" s="53" t="s">
        <v>27</v>
      </c>
      <c r="D197" s="54"/>
      <c r="E197" s="55">
        <f t="shared" ref="E197:J197" si="53">E195-E198</f>
        <v>0</v>
      </c>
      <c r="F197" s="55">
        <f t="shared" si="53"/>
        <v>0</v>
      </c>
      <c r="G197" s="55">
        <f t="shared" si="53"/>
        <v>0</v>
      </c>
      <c r="H197" s="55">
        <f t="shared" si="53"/>
        <v>0</v>
      </c>
      <c r="I197" s="55">
        <f t="shared" si="53"/>
        <v>0</v>
      </c>
      <c r="J197" s="55">
        <f t="shared" si="53"/>
        <v>0</v>
      </c>
      <c r="K197" s="56"/>
      <c r="L197" s="30"/>
      <c r="M197" s="57" t="s">
        <v>28</v>
      </c>
      <c r="N197" s="58" t="b">
        <v>0</v>
      </c>
    </row>
    <row r="198" ht="13.5" customHeight="1">
      <c r="A198" s="64"/>
      <c r="B198" s="59"/>
      <c r="C198" s="53" t="s">
        <v>30</v>
      </c>
      <c r="D198" s="54"/>
      <c r="E198" s="60"/>
      <c r="F198" s="60"/>
      <c r="G198" s="60"/>
      <c r="H198" s="60"/>
      <c r="I198" s="60"/>
      <c r="J198" s="60"/>
      <c r="K198" s="61" t="s">
        <v>30</v>
      </c>
      <c r="L198" s="62">
        <f>(E198*E191)+(F198*F191)+(G198*G191)+(H198*H191)+(I198*I191)+(J198*J191)</f>
        <v>0</v>
      </c>
      <c r="M198" s="57" t="s">
        <v>31</v>
      </c>
      <c r="N198" s="63" t="b">
        <v>0</v>
      </c>
    </row>
    <row r="199" ht="13.5" customHeight="1">
      <c r="A199" s="68"/>
      <c r="B199" s="65" t="s">
        <v>42</v>
      </c>
      <c r="C199" s="53" t="s">
        <v>34</v>
      </c>
      <c r="D199" s="54"/>
      <c r="E199" s="66"/>
      <c r="F199" s="66"/>
      <c r="G199" s="66"/>
      <c r="H199" s="66"/>
      <c r="I199" s="66"/>
      <c r="J199" s="66"/>
      <c r="K199" s="67" t="s">
        <v>35</v>
      </c>
      <c r="L199" s="62">
        <f>(E199*E191)+(F199*F191)+(G199*G191)+(H199*H191)+(I199*I191)+(J199*J191)</f>
        <v>0</v>
      </c>
      <c r="M199" s="57" t="s">
        <v>36</v>
      </c>
      <c r="N199" s="63" t="b">
        <v>0</v>
      </c>
    </row>
    <row r="200" ht="15.0" customHeight="1">
      <c r="A200" s="46" t="s">
        <v>43</v>
      </c>
      <c r="B200" s="69" t="str">
        <f>IFS(L200=0,"",B200&lt;&gt;"",B200,TRUE,NOW())</f>
        <v/>
      </c>
      <c r="C200" s="70" t="s">
        <v>37</v>
      </c>
      <c r="D200" s="33"/>
      <c r="E200" s="71"/>
      <c r="F200" s="71"/>
      <c r="G200" s="71"/>
      <c r="H200" s="71"/>
      <c r="I200" s="71"/>
      <c r="J200" s="71"/>
      <c r="K200" s="72" t="s">
        <v>38</v>
      </c>
      <c r="L200" s="73">
        <f>L199-L198</f>
        <v>0</v>
      </c>
      <c r="M200" s="74" t="s">
        <v>39</v>
      </c>
      <c r="N200" s="75" t="b">
        <v>0</v>
      </c>
    </row>
    <row r="201" ht="13.5" customHeight="1">
      <c r="A201" s="64"/>
      <c r="B201" s="52" t="s">
        <v>84</v>
      </c>
      <c r="C201" s="53" t="s">
        <v>27</v>
      </c>
      <c r="D201" s="54"/>
      <c r="E201" s="55">
        <f t="shared" ref="E201:J201" si="54">E199-E202</f>
        <v>0</v>
      </c>
      <c r="F201" s="55">
        <f t="shared" si="54"/>
        <v>0</v>
      </c>
      <c r="G201" s="55">
        <f t="shared" si="54"/>
        <v>0</v>
      </c>
      <c r="H201" s="55">
        <f t="shared" si="54"/>
        <v>0</v>
      </c>
      <c r="I201" s="55">
        <f t="shared" si="54"/>
        <v>0</v>
      </c>
      <c r="J201" s="55">
        <f t="shared" si="54"/>
        <v>0</v>
      </c>
      <c r="K201" s="56"/>
      <c r="L201" s="30"/>
      <c r="M201" s="57" t="s">
        <v>28</v>
      </c>
      <c r="N201" s="58" t="b">
        <v>0</v>
      </c>
    </row>
    <row r="202" ht="13.5" customHeight="1">
      <c r="A202" s="46" t="s">
        <v>45</v>
      </c>
      <c r="B202" s="59"/>
      <c r="C202" s="53" t="s">
        <v>30</v>
      </c>
      <c r="D202" s="54"/>
      <c r="E202" s="60"/>
      <c r="F202" s="60"/>
      <c r="G202" s="60"/>
      <c r="H202" s="60"/>
      <c r="I202" s="60"/>
      <c r="J202" s="60"/>
      <c r="K202" s="61" t="s">
        <v>30</v>
      </c>
      <c r="L202" s="62">
        <f>(E202*E191)+(F202*F191)+(G202*G191)+(H202*H191)+(I202*I191)+(J202*J191)</f>
        <v>0</v>
      </c>
      <c r="M202" s="57" t="s">
        <v>31</v>
      </c>
      <c r="N202" s="63" t="b">
        <v>0</v>
      </c>
    </row>
    <row r="203" ht="13.5" customHeight="1">
      <c r="A203" s="77"/>
      <c r="B203" s="65" t="s">
        <v>47</v>
      </c>
      <c r="C203" s="53" t="s">
        <v>34</v>
      </c>
      <c r="D203" s="54"/>
      <c r="E203" s="66"/>
      <c r="F203" s="66"/>
      <c r="G203" s="66"/>
      <c r="H203" s="66"/>
      <c r="I203" s="66"/>
      <c r="J203" s="66"/>
      <c r="K203" s="67" t="s">
        <v>35</v>
      </c>
      <c r="L203" s="62">
        <f>(E203*E191)+(F203*F191)+(G203*G191)+(H203*H191)+(I203*I191)+(J203*J191)</f>
        <v>0</v>
      </c>
      <c r="M203" s="57" t="s">
        <v>36</v>
      </c>
      <c r="N203" s="63" t="b">
        <v>0</v>
      </c>
    </row>
    <row r="204" ht="13.5" customHeight="1">
      <c r="A204" s="68"/>
      <c r="B204" s="69" t="str">
        <f>IFS(L204=0,"",B204&lt;&gt;"",B204,TRUE,NOW())</f>
        <v/>
      </c>
      <c r="C204" s="70" t="s">
        <v>37</v>
      </c>
      <c r="D204" s="33"/>
      <c r="E204" s="71"/>
      <c r="F204" s="71"/>
      <c r="G204" s="71"/>
      <c r="H204" s="71"/>
      <c r="I204" s="71"/>
      <c r="J204" s="71"/>
      <c r="K204" s="72" t="s">
        <v>38</v>
      </c>
      <c r="L204" s="73">
        <f>L203-L202</f>
        <v>0</v>
      </c>
      <c r="M204" s="74" t="s">
        <v>39</v>
      </c>
      <c r="N204" s="75" t="b">
        <v>0</v>
      </c>
    </row>
    <row r="205" ht="13.5" customHeight="1">
      <c r="A205" s="78" t="s">
        <v>48</v>
      </c>
      <c r="B205" s="52" t="s">
        <v>84</v>
      </c>
      <c r="C205" s="53" t="s">
        <v>27</v>
      </c>
      <c r="D205" s="54"/>
      <c r="E205" s="55">
        <f t="shared" ref="E205:J205" si="55">E203-E206</f>
        <v>0</v>
      </c>
      <c r="F205" s="55">
        <f t="shared" si="55"/>
        <v>0</v>
      </c>
      <c r="G205" s="55">
        <f t="shared" si="55"/>
        <v>0</v>
      </c>
      <c r="H205" s="55">
        <f t="shared" si="55"/>
        <v>0</v>
      </c>
      <c r="I205" s="55">
        <f t="shared" si="55"/>
        <v>0</v>
      </c>
      <c r="J205" s="55">
        <f t="shared" si="55"/>
        <v>0</v>
      </c>
      <c r="K205" s="56"/>
      <c r="L205" s="30"/>
      <c r="M205" s="57" t="s">
        <v>28</v>
      </c>
      <c r="N205" s="58" t="b">
        <v>0</v>
      </c>
    </row>
    <row r="206" ht="13.5" customHeight="1">
      <c r="A206" s="87"/>
      <c r="B206" s="59"/>
      <c r="C206" s="53" t="s">
        <v>30</v>
      </c>
      <c r="D206" s="54"/>
      <c r="E206" s="60"/>
      <c r="F206" s="60"/>
      <c r="G206" s="60"/>
      <c r="H206" s="60"/>
      <c r="I206" s="60"/>
      <c r="J206" s="60"/>
      <c r="K206" s="61" t="s">
        <v>30</v>
      </c>
      <c r="L206" s="62">
        <f>(E206*E191)+(F206*F191)+(G206*G191)+(H206*H191)+(I206*I191)+(J206*J191)</f>
        <v>0</v>
      </c>
      <c r="M206" s="57" t="s">
        <v>31</v>
      </c>
      <c r="N206" s="63" t="b">
        <v>0</v>
      </c>
    </row>
    <row r="207" ht="18.0" customHeight="1">
      <c r="A207" s="68"/>
      <c r="B207" s="65" t="s">
        <v>49</v>
      </c>
      <c r="C207" s="53" t="s">
        <v>34</v>
      </c>
      <c r="D207" s="54"/>
      <c r="E207" s="66"/>
      <c r="F207" s="66"/>
      <c r="G207" s="66"/>
      <c r="H207" s="66"/>
      <c r="I207" s="66"/>
      <c r="J207" s="66"/>
      <c r="K207" s="67" t="s">
        <v>35</v>
      </c>
      <c r="L207" s="62">
        <f>(E207*E191)+(F207*F191)+(G207*G191)+(H207*H191)+(I207*I191)+(J207*J191)</f>
        <v>0</v>
      </c>
      <c r="M207" s="57" t="s">
        <v>36</v>
      </c>
      <c r="N207" s="63" t="b">
        <v>0</v>
      </c>
    </row>
    <row r="208" ht="13.5" customHeight="1">
      <c r="A208" s="80"/>
      <c r="B208" s="69" t="str">
        <f>IFS(L208=0,"",B208&lt;&gt;"",B208,TRUE,NOW())</f>
        <v/>
      </c>
      <c r="C208" s="53" t="s">
        <v>37</v>
      </c>
      <c r="D208" s="54"/>
      <c r="E208" s="81"/>
      <c r="F208" s="81"/>
      <c r="G208" s="81"/>
      <c r="H208" s="82"/>
      <c r="I208" s="81"/>
      <c r="J208" s="81"/>
      <c r="K208" s="72" t="s">
        <v>38</v>
      </c>
      <c r="L208" s="73">
        <f>L207-L206</f>
        <v>0</v>
      </c>
      <c r="M208" s="74" t="s">
        <v>39</v>
      </c>
      <c r="N208" s="75" t="b">
        <v>0</v>
      </c>
    </row>
    <row r="209" ht="13.5" customHeight="1">
      <c r="A209" s="83" t="s">
        <v>86</v>
      </c>
      <c r="B209" s="42" t="s">
        <v>20</v>
      </c>
      <c r="C209" s="24"/>
      <c r="D209" s="33"/>
      <c r="E209" s="43">
        <f t="shared" ref="E209:J209" si="56">E6</f>
        <v>17</v>
      </c>
      <c r="F209" s="43">
        <f t="shared" si="56"/>
        <v>27</v>
      </c>
      <c r="G209" s="43">
        <f t="shared" si="56"/>
        <v>27</v>
      </c>
      <c r="H209" s="43">
        <f t="shared" si="56"/>
        <v>27</v>
      </c>
      <c r="I209" s="43">
        <f t="shared" si="56"/>
        <v>32</v>
      </c>
      <c r="J209" s="44">
        <f t="shared" si="56"/>
        <v>37</v>
      </c>
      <c r="K209" s="42" t="s">
        <v>21</v>
      </c>
      <c r="L209" s="25"/>
      <c r="M209" s="45" t="s">
        <v>22</v>
      </c>
      <c r="N209" s="25"/>
    </row>
    <row r="210" ht="13.5" customHeight="1">
      <c r="A210" s="46" t="s">
        <v>23</v>
      </c>
      <c r="B210" s="47" t="s">
        <v>24</v>
      </c>
      <c r="C210" s="32" t="s">
        <v>25</v>
      </c>
      <c r="D210" s="33"/>
      <c r="E210" s="48"/>
      <c r="F210" s="48"/>
      <c r="G210" s="48"/>
      <c r="H210" s="48"/>
      <c r="I210" s="48"/>
      <c r="J210" s="48"/>
      <c r="K210" s="49"/>
      <c r="L210" s="25"/>
      <c r="M210" s="50"/>
      <c r="N210" s="10"/>
    </row>
    <row r="211" ht="13.5" customHeight="1">
      <c r="A211" s="92"/>
      <c r="B211" s="52" t="s">
        <v>87</v>
      </c>
      <c r="C211" s="53" t="s">
        <v>27</v>
      </c>
      <c r="D211" s="54"/>
      <c r="E211" s="55">
        <f t="shared" ref="E211:J211" si="57">E210-E212</f>
        <v>0</v>
      </c>
      <c r="F211" s="55">
        <f t="shared" si="57"/>
        <v>0</v>
      </c>
      <c r="G211" s="55">
        <f t="shared" si="57"/>
        <v>-1</v>
      </c>
      <c r="H211" s="55">
        <f t="shared" si="57"/>
        <v>-1</v>
      </c>
      <c r="I211" s="55">
        <f t="shared" si="57"/>
        <v>-1</v>
      </c>
      <c r="J211" s="55">
        <f t="shared" si="57"/>
        <v>0</v>
      </c>
      <c r="K211" s="56"/>
      <c r="L211" s="30"/>
      <c r="M211" s="57" t="s">
        <v>28</v>
      </c>
      <c r="N211" s="58" t="b">
        <v>0</v>
      </c>
    </row>
    <row r="212" ht="18.0" customHeight="1">
      <c r="A212" s="46" t="s">
        <v>29</v>
      </c>
      <c r="B212" s="59"/>
      <c r="C212" s="53" t="s">
        <v>30</v>
      </c>
      <c r="D212" s="54"/>
      <c r="E212" s="60"/>
      <c r="F212" s="60"/>
      <c r="G212" s="84">
        <v>1.0</v>
      </c>
      <c r="H212" s="84">
        <v>1.0</v>
      </c>
      <c r="I212" s="84">
        <v>1.0</v>
      </c>
      <c r="J212" s="60"/>
      <c r="K212" s="61" t="s">
        <v>30</v>
      </c>
      <c r="L212" s="62">
        <f>(E212*E209)+(F212*F209)+(G212*G209)+(H212*H209)+(I212*I209)+(J212*J209)</f>
        <v>86</v>
      </c>
      <c r="M212" s="57" t="s">
        <v>31</v>
      </c>
      <c r="N212" s="63" t="b">
        <v>0</v>
      </c>
    </row>
    <row r="213" ht="13.5" customHeight="1">
      <c r="A213" s="64" t="s">
        <v>187</v>
      </c>
      <c r="B213" s="65" t="s">
        <v>33</v>
      </c>
      <c r="C213" s="53" t="s">
        <v>34</v>
      </c>
      <c r="D213" s="54"/>
      <c r="E213" s="66"/>
      <c r="F213" s="76">
        <v>2.0</v>
      </c>
      <c r="G213" s="76">
        <v>2.0</v>
      </c>
      <c r="H213" s="76">
        <v>2.0</v>
      </c>
      <c r="I213" s="76">
        <v>1.0</v>
      </c>
      <c r="J213" s="76">
        <v>4.0</v>
      </c>
      <c r="K213" s="67" t="s">
        <v>35</v>
      </c>
      <c r="L213" s="62">
        <f>(E213*E209)+(F213*F209)+(G213*G209)+(H213*H209)+(I213*I209)+(J213*J209)</f>
        <v>342</v>
      </c>
      <c r="M213" s="57" t="s">
        <v>36</v>
      </c>
      <c r="N213" s="63" t="b">
        <v>0</v>
      </c>
    </row>
    <row r="214" ht="13.5" customHeight="1">
      <c r="A214" s="68"/>
      <c r="B214" s="69">
        <f>IFS(L214=0,"",B214&lt;&gt;"",B214,TRUE,NOW())</f>
        <v>46142.6886</v>
      </c>
      <c r="C214" s="70" t="s">
        <v>37</v>
      </c>
      <c r="D214" s="33"/>
      <c r="E214" s="71"/>
      <c r="F214" s="71"/>
      <c r="G214" s="71"/>
      <c r="H214" s="71"/>
      <c r="I214" s="71"/>
      <c r="J214" s="71"/>
      <c r="K214" s="72" t="s">
        <v>38</v>
      </c>
      <c r="L214" s="73">
        <f>L213-L212</f>
        <v>256</v>
      </c>
      <c r="M214" s="74" t="s">
        <v>39</v>
      </c>
      <c r="N214" s="75" t="b">
        <v>0</v>
      </c>
    </row>
    <row r="215" ht="13.5" customHeight="1">
      <c r="A215" s="46" t="s">
        <v>40</v>
      </c>
      <c r="B215" s="52" t="s">
        <v>87</v>
      </c>
      <c r="C215" s="53" t="s">
        <v>27</v>
      </c>
      <c r="D215" s="54"/>
      <c r="E215" s="55">
        <f t="shared" ref="E215:J215" si="58">E213-E216</f>
        <v>0</v>
      </c>
      <c r="F215" s="55">
        <f t="shared" si="58"/>
        <v>2</v>
      </c>
      <c r="G215" s="55">
        <f t="shared" si="58"/>
        <v>0</v>
      </c>
      <c r="H215" s="55">
        <f t="shared" si="58"/>
        <v>2</v>
      </c>
      <c r="I215" s="55">
        <f t="shared" si="58"/>
        <v>1</v>
      </c>
      <c r="J215" s="55">
        <f t="shared" si="58"/>
        <v>4</v>
      </c>
      <c r="K215" s="56"/>
      <c r="L215" s="30"/>
      <c r="M215" s="57" t="s">
        <v>28</v>
      </c>
      <c r="N215" s="58" t="b">
        <v>0</v>
      </c>
    </row>
    <row r="216" ht="13.5" customHeight="1">
      <c r="A216" s="64"/>
      <c r="B216" s="59"/>
      <c r="C216" s="53" t="s">
        <v>30</v>
      </c>
      <c r="D216" s="54"/>
      <c r="E216" s="60"/>
      <c r="F216" s="60"/>
      <c r="G216" s="84">
        <v>2.0</v>
      </c>
      <c r="H216" s="60"/>
      <c r="I216" s="60"/>
      <c r="J216" s="60"/>
      <c r="K216" s="61" t="s">
        <v>30</v>
      </c>
      <c r="L216" s="62">
        <f>(E216*E209)+(F216*F209)+(G216*G209)+(H216*H209)+(I216*I209)+(J216*J209)</f>
        <v>54</v>
      </c>
      <c r="M216" s="57" t="s">
        <v>31</v>
      </c>
      <c r="N216" s="63" t="b">
        <v>0</v>
      </c>
    </row>
    <row r="217" ht="15.0" customHeight="1">
      <c r="A217" s="68"/>
      <c r="B217" s="65" t="s">
        <v>42</v>
      </c>
      <c r="C217" s="53" t="s">
        <v>34</v>
      </c>
      <c r="D217" s="54"/>
      <c r="E217" s="66"/>
      <c r="F217" s="76">
        <v>3.0</v>
      </c>
      <c r="G217" s="76">
        <v>3.0</v>
      </c>
      <c r="H217" s="76">
        <v>3.0</v>
      </c>
      <c r="I217" s="76">
        <v>3.0</v>
      </c>
      <c r="J217" s="76">
        <v>3.0</v>
      </c>
      <c r="K217" s="67" t="s">
        <v>35</v>
      </c>
      <c r="L217" s="62">
        <f>(E217*E209)+(F217*F209)+(G217*G209)+(H217*H209)+(I217*I209)+(J217*J209)</f>
        <v>450</v>
      </c>
      <c r="M217" s="57" t="s">
        <v>36</v>
      </c>
      <c r="N217" s="63" t="b">
        <v>0</v>
      </c>
    </row>
    <row r="218" ht="13.5" customHeight="1">
      <c r="A218" s="46" t="s">
        <v>43</v>
      </c>
      <c r="B218" s="69">
        <f>IFS(L218=0,"",B218&lt;&gt;"",B218,TRUE,NOW())</f>
        <v>46151.58744</v>
      </c>
      <c r="C218" s="70" t="s">
        <v>37</v>
      </c>
      <c r="D218" s="33"/>
      <c r="E218" s="71"/>
      <c r="F218" s="71"/>
      <c r="G218" s="71"/>
      <c r="H218" s="71"/>
      <c r="I218" s="71"/>
      <c r="J218" s="71"/>
      <c r="K218" s="72" t="s">
        <v>38</v>
      </c>
      <c r="L218" s="73">
        <f>L217-L216</f>
        <v>396</v>
      </c>
      <c r="M218" s="74" t="s">
        <v>39</v>
      </c>
      <c r="N218" s="75" t="b">
        <v>0</v>
      </c>
    </row>
    <row r="219" ht="13.5" customHeight="1">
      <c r="A219" s="64"/>
      <c r="B219" s="52" t="s">
        <v>87</v>
      </c>
      <c r="C219" s="53" t="s">
        <v>27</v>
      </c>
      <c r="D219" s="54"/>
      <c r="E219" s="55">
        <f t="shared" ref="E219:J219" si="59">E217-E220</f>
        <v>0</v>
      </c>
      <c r="F219" s="55">
        <f t="shared" si="59"/>
        <v>3</v>
      </c>
      <c r="G219" s="55">
        <f t="shared" si="59"/>
        <v>3</v>
      </c>
      <c r="H219" s="55">
        <f t="shared" si="59"/>
        <v>3</v>
      </c>
      <c r="I219" s="55">
        <f t="shared" si="59"/>
        <v>3</v>
      </c>
      <c r="J219" s="55">
        <f t="shared" si="59"/>
        <v>3</v>
      </c>
      <c r="K219" s="56"/>
      <c r="L219" s="30"/>
      <c r="M219" s="57" t="s">
        <v>28</v>
      </c>
      <c r="N219" s="58" t="b">
        <v>0</v>
      </c>
    </row>
    <row r="220" ht="13.5" customHeight="1">
      <c r="A220" s="46" t="s">
        <v>45</v>
      </c>
      <c r="B220" s="59"/>
      <c r="C220" s="53" t="s">
        <v>30</v>
      </c>
      <c r="D220" s="54"/>
      <c r="E220" s="60"/>
      <c r="F220" s="60"/>
      <c r="G220" s="60"/>
      <c r="H220" s="60"/>
      <c r="I220" s="60"/>
      <c r="J220" s="60"/>
      <c r="K220" s="61" t="s">
        <v>30</v>
      </c>
      <c r="L220" s="62">
        <f>(E220*E209)+(F220*F209)+(G220*G209)+(H220*H209)+(I220*I209)+(J220*J209)</f>
        <v>0</v>
      </c>
      <c r="M220" s="57" t="s">
        <v>31</v>
      </c>
      <c r="N220" s="63" t="b">
        <v>0</v>
      </c>
    </row>
    <row r="221" ht="13.5" customHeight="1">
      <c r="A221" s="77"/>
      <c r="B221" s="65" t="s">
        <v>47</v>
      </c>
      <c r="C221" s="53" t="s">
        <v>34</v>
      </c>
      <c r="D221" s="54"/>
      <c r="E221" s="66"/>
      <c r="F221" s="66"/>
      <c r="G221" s="66"/>
      <c r="H221" s="66"/>
      <c r="I221" s="66"/>
      <c r="J221" s="66"/>
      <c r="K221" s="67" t="s">
        <v>35</v>
      </c>
      <c r="L221" s="62">
        <f>(E221*E209)+(F221*F209)+(G221*G209)+(H221*H209)+(I221*I209)+(J221*J209)</f>
        <v>0</v>
      </c>
      <c r="M221" s="57" t="s">
        <v>36</v>
      </c>
      <c r="N221" s="63" t="b">
        <v>0</v>
      </c>
    </row>
    <row r="222" ht="15.0" customHeight="1">
      <c r="A222" s="68"/>
      <c r="B222" s="69" t="str">
        <f>IFS(L222=0,"",B222&lt;&gt;"",B222,TRUE,NOW())</f>
        <v/>
      </c>
      <c r="C222" s="70" t="s">
        <v>37</v>
      </c>
      <c r="D222" s="33"/>
      <c r="E222" s="71"/>
      <c r="F222" s="71"/>
      <c r="G222" s="71"/>
      <c r="H222" s="71"/>
      <c r="I222" s="71"/>
      <c r="J222" s="71"/>
      <c r="K222" s="72" t="s">
        <v>38</v>
      </c>
      <c r="L222" s="73">
        <f>L221-L220</f>
        <v>0</v>
      </c>
      <c r="M222" s="74" t="s">
        <v>39</v>
      </c>
      <c r="N222" s="75" t="b">
        <v>0</v>
      </c>
    </row>
    <row r="223" ht="13.5" customHeight="1">
      <c r="A223" s="78" t="s">
        <v>48</v>
      </c>
      <c r="B223" s="52" t="s">
        <v>87</v>
      </c>
      <c r="C223" s="53" t="s">
        <v>27</v>
      </c>
      <c r="D223" s="54"/>
      <c r="E223" s="55">
        <f t="shared" ref="E223:J223" si="60">E221-E224</f>
        <v>0</v>
      </c>
      <c r="F223" s="55">
        <f t="shared" si="60"/>
        <v>0</v>
      </c>
      <c r="G223" s="55">
        <f t="shared" si="60"/>
        <v>0</v>
      </c>
      <c r="H223" s="55">
        <f t="shared" si="60"/>
        <v>0</v>
      </c>
      <c r="I223" s="55">
        <f t="shared" si="60"/>
        <v>0</v>
      </c>
      <c r="J223" s="55">
        <f t="shared" si="60"/>
        <v>0</v>
      </c>
      <c r="K223" s="56"/>
      <c r="L223" s="30"/>
      <c r="M223" s="57" t="s">
        <v>28</v>
      </c>
      <c r="N223" s="58" t="b">
        <v>0</v>
      </c>
    </row>
    <row r="224" ht="13.5" customHeight="1">
      <c r="A224" s="87"/>
      <c r="B224" s="59"/>
      <c r="C224" s="53" t="s">
        <v>30</v>
      </c>
      <c r="D224" s="54"/>
      <c r="E224" s="60"/>
      <c r="F224" s="60"/>
      <c r="G224" s="60"/>
      <c r="H224" s="60"/>
      <c r="I224" s="60"/>
      <c r="J224" s="60"/>
      <c r="K224" s="61" t="s">
        <v>30</v>
      </c>
      <c r="L224" s="62">
        <f>(E224*E209)+(F224*F209)+(G224*G209)+(H224*H209)+(I224*I209)+(J224*J209)</f>
        <v>0</v>
      </c>
      <c r="M224" s="57" t="s">
        <v>31</v>
      </c>
      <c r="N224" s="63" t="b">
        <v>0</v>
      </c>
    </row>
    <row r="225" ht="13.5" customHeight="1">
      <c r="A225" s="68"/>
      <c r="B225" s="65" t="s">
        <v>49</v>
      </c>
      <c r="C225" s="53" t="s">
        <v>34</v>
      </c>
      <c r="D225" s="54"/>
      <c r="E225" s="66"/>
      <c r="F225" s="66"/>
      <c r="G225" s="66"/>
      <c r="H225" s="66"/>
      <c r="I225" s="66"/>
      <c r="J225" s="66"/>
      <c r="K225" s="67" t="s">
        <v>35</v>
      </c>
      <c r="L225" s="62">
        <f>(E225*E209)+(F225*F209)+(G225*G209)+(H225*H209)+(I225*I209)+(J225*J209)</f>
        <v>0</v>
      </c>
      <c r="M225" s="57" t="s">
        <v>36</v>
      </c>
      <c r="N225" s="63" t="b">
        <v>0</v>
      </c>
    </row>
    <row r="226" ht="13.5" customHeight="1">
      <c r="A226" s="80"/>
      <c r="B226" s="69" t="str">
        <f>IFS(L226=0,"",B226&lt;&gt;"",B226,TRUE,NOW())</f>
        <v/>
      </c>
      <c r="C226" s="53" t="s">
        <v>37</v>
      </c>
      <c r="D226" s="54"/>
      <c r="E226" s="81"/>
      <c r="F226" s="81"/>
      <c r="G226" s="81"/>
      <c r="H226" s="82"/>
      <c r="I226" s="81"/>
      <c r="J226" s="81"/>
      <c r="K226" s="72" t="s">
        <v>38</v>
      </c>
      <c r="L226" s="73">
        <f>L225-L224</f>
        <v>0</v>
      </c>
      <c r="M226" s="74" t="s">
        <v>39</v>
      </c>
      <c r="N226" s="75" t="b">
        <v>0</v>
      </c>
    </row>
    <row r="227" ht="13.5" customHeight="1">
      <c r="A227" s="83" t="s">
        <v>89</v>
      </c>
      <c r="B227" s="42" t="s">
        <v>20</v>
      </c>
      <c r="C227" s="24"/>
      <c r="D227" s="33"/>
      <c r="E227" s="43">
        <f t="shared" ref="E227:J227" si="61">E6</f>
        <v>17</v>
      </c>
      <c r="F227" s="43">
        <f t="shared" si="61"/>
        <v>27</v>
      </c>
      <c r="G227" s="43">
        <f t="shared" si="61"/>
        <v>27</v>
      </c>
      <c r="H227" s="43">
        <f t="shared" si="61"/>
        <v>27</v>
      </c>
      <c r="I227" s="43">
        <f t="shared" si="61"/>
        <v>32</v>
      </c>
      <c r="J227" s="44">
        <f t="shared" si="61"/>
        <v>37</v>
      </c>
      <c r="K227" s="42" t="s">
        <v>21</v>
      </c>
      <c r="L227" s="25"/>
      <c r="M227" s="45" t="s">
        <v>22</v>
      </c>
      <c r="N227" s="25"/>
    </row>
    <row r="228" ht="13.5" customHeight="1">
      <c r="A228" s="46" t="s">
        <v>23</v>
      </c>
      <c r="B228" s="47" t="s">
        <v>24</v>
      </c>
      <c r="C228" s="32" t="s">
        <v>25</v>
      </c>
      <c r="D228" s="33"/>
      <c r="E228" s="48"/>
      <c r="F228" s="48"/>
      <c r="G228" s="48"/>
      <c r="H228" s="48"/>
      <c r="I228" s="48"/>
      <c r="J228" s="48"/>
      <c r="K228" s="49"/>
      <c r="L228" s="25"/>
      <c r="M228" s="50"/>
      <c r="N228" s="10"/>
    </row>
    <row r="229" ht="15.0" customHeight="1">
      <c r="A229" s="92"/>
      <c r="B229" s="52" t="s">
        <v>90</v>
      </c>
      <c r="C229" s="53" t="s">
        <v>27</v>
      </c>
      <c r="D229" s="54"/>
      <c r="E229" s="55">
        <f t="shared" ref="E229:J229" si="62">E228-E230</f>
        <v>0</v>
      </c>
      <c r="F229" s="55">
        <f t="shared" si="62"/>
        <v>0</v>
      </c>
      <c r="G229" s="55">
        <f t="shared" si="62"/>
        <v>0</v>
      </c>
      <c r="H229" s="55">
        <f t="shared" si="62"/>
        <v>0</v>
      </c>
      <c r="I229" s="55">
        <f t="shared" si="62"/>
        <v>0</v>
      </c>
      <c r="J229" s="55">
        <f t="shared" si="62"/>
        <v>0</v>
      </c>
      <c r="K229" s="56"/>
      <c r="L229" s="30"/>
      <c r="M229" s="57" t="s">
        <v>28</v>
      </c>
      <c r="N229" s="58" t="b">
        <v>0</v>
      </c>
    </row>
    <row r="230" ht="13.5" customHeight="1">
      <c r="A230" s="46" t="s">
        <v>29</v>
      </c>
      <c r="B230" s="59"/>
      <c r="C230" s="53" t="s">
        <v>30</v>
      </c>
      <c r="D230" s="54"/>
      <c r="E230" s="60"/>
      <c r="F230" s="60"/>
      <c r="G230" s="60"/>
      <c r="H230" s="60"/>
      <c r="I230" s="60"/>
      <c r="J230" s="60"/>
      <c r="K230" s="61" t="s">
        <v>30</v>
      </c>
      <c r="L230" s="62">
        <f>(E230*E227)+(F230*F227)+(G230*G227)+(H230*H227)+(I230*I227)+(J230*J227)</f>
        <v>0</v>
      </c>
      <c r="M230" s="57" t="s">
        <v>31</v>
      </c>
      <c r="N230" s="63" t="b">
        <v>0</v>
      </c>
    </row>
    <row r="231" ht="13.5" customHeight="1">
      <c r="A231" s="64" t="s">
        <v>188</v>
      </c>
      <c r="B231" s="65" t="s">
        <v>33</v>
      </c>
      <c r="C231" s="53" t="s">
        <v>34</v>
      </c>
      <c r="D231" s="54"/>
      <c r="E231" s="66"/>
      <c r="F231" s="76">
        <v>2.0</v>
      </c>
      <c r="G231" s="66"/>
      <c r="H231" s="66"/>
      <c r="I231" s="76">
        <v>3.0</v>
      </c>
      <c r="J231" s="66"/>
      <c r="K231" s="67" t="s">
        <v>35</v>
      </c>
      <c r="L231" s="62">
        <f>(E231*E227)+(F231*F227)+(G231*G227)+(H231*H227)+(I231*I227)+(J231*J227)</f>
        <v>150</v>
      </c>
      <c r="M231" s="57" t="s">
        <v>36</v>
      </c>
      <c r="N231" s="63" t="b">
        <v>0</v>
      </c>
    </row>
    <row r="232" ht="13.5" customHeight="1">
      <c r="A232" s="68"/>
      <c r="B232" s="69">
        <f>IFS(L232=0,"",B232&lt;&gt;"",B232,TRUE,NOW())</f>
        <v>46142.6886</v>
      </c>
      <c r="C232" s="70" t="s">
        <v>37</v>
      </c>
      <c r="D232" s="33"/>
      <c r="E232" s="71"/>
      <c r="F232" s="71"/>
      <c r="G232" s="71"/>
      <c r="H232" s="71"/>
      <c r="I232" s="71"/>
      <c r="J232" s="71"/>
      <c r="K232" s="72" t="s">
        <v>38</v>
      </c>
      <c r="L232" s="73">
        <f>L231-L230</f>
        <v>150</v>
      </c>
      <c r="M232" s="74" t="s">
        <v>39</v>
      </c>
      <c r="N232" s="75" t="b">
        <v>0</v>
      </c>
    </row>
    <row r="233" ht="13.5" customHeight="1">
      <c r="A233" s="46" t="s">
        <v>40</v>
      </c>
      <c r="B233" s="52" t="s">
        <v>90</v>
      </c>
      <c r="C233" s="53" t="s">
        <v>27</v>
      </c>
      <c r="D233" s="54"/>
      <c r="E233" s="55">
        <f t="shared" ref="E233:J233" si="63">E231-E234</f>
        <v>0</v>
      </c>
      <c r="F233" s="55">
        <f t="shared" si="63"/>
        <v>2</v>
      </c>
      <c r="G233" s="55">
        <f t="shared" si="63"/>
        <v>0</v>
      </c>
      <c r="H233" s="55">
        <f t="shared" si="63"/>
        <v>0</v>
      </c>
      <c r="I233" s="55">
        <f t="shared" si="63"/>
        <v>3</v>
      </c>
      <c r="J233" s="55">
        <f t="shared" si="63"/>
        <v>0</v>
      </c>
      <c r="K233" s="56"/>
      <c r="L233" s="30"/>
      <c r="M233" s="57" t="s">
        <v>28</v>
      </c>
      <c r="N233" s="58" t="b">
        <v>0</v>
      </c>
    </row>
    <row r="234" ht="15.0" customHeight="1">
      <c r="A234" s="64"/>
      <c r="B234" s="59"/>
      <c r="C234" s="53" t="s">
        <v>30</v>
      </c>
      <c r="D234" s="54"/>
      <c r="E234" s="60"/>
      <c r="F234" s="60"/>
      <c r="G234" s="60"/>
      <c r="H234" s="60"/>
      <c r="I234" s="60"/>
      <c r="J234" s="60"/>
      <c r="K234" s="61" t="s">
        <v>30</v>
      </c>
      <c r="L234" s="62">
        <f>(E234*E227)+(F234*F227)+(G234*G227)+(H234*H227)+(I234*I227)+(J234*J227)</f>
        <v>0</v>
      </c>
      <c r="M234" s="57" t="s">
        <v>31</v>
      </c>
      <c r="N234" s="63" t="b">
        <v>0</v>
      </c>
    </row>
    <row r="235" ht="13.5" customHeight="1">
      <c r="A235" s="68"/>
      <c r="B235" s="65" t="s">
        <v>42</v>
      </c>
      <c r="C235" s="53" t="s">
        <v>34</v>
      </c>
      <c r="D235" s="54"/>
      <c r="E235" s="66"/>
      <c r="F235" s="66"/>
      <c r="G235" s="66"/>
      <c r="H235" s="66"/>
      <c r="I235" s="66"/>
      <c r="J235" s="66"/>
      <c r="K235" s="67" t="s">
        <v>35</v>
      </c>
      <c r="L235" s="62">
        <f>(E235*E227)+(F235*F227)+(G235*G227)+(H235*H227)+(I235*I227)+(J235*J227)</f>
        <v>0</v>
      </c>
      <c r="M235" s="57" t="s">
        <v>36</v>
      </c>
      <c r="N235" s="63" t="b">
        <v>0</v>
      </c>
    </row>
    <row r="236" ht="13.5" customHeight="1">
      <c r="A236" s="46" t="s">
        <v>43</v>
      </c>
      <c r="B236" s="69" t="str">
        <f>IFS(L236=0,"",B236&lt;&gt;"",B236,TRUE,NOW())</f>
        <v/>
      </c>
      <c r="C236" s="70" t="s">
        <v>37</v>
      </c>
      <c r="D236" s="33"/>
      <c r="E236" s="71"/>
      <c r="F236" s="71"/>
      <c r="G236" s="71"/>
      <c r="H236" s="71"/>
      <c r="I236" s="71"/>
      <c r="J236" s="71"/>
      <c r="K236" s="72" t="s">
        <v>38</v>
      </c>
      <c r="L236" s="73">
        <f>L235-L234</f>
        <v>0</v>
      </c>
      <c r="M236" s="74" t="s">
        <v>39</v>
      </c>
      <c r="N236" s="75" t="b">
        <v>0</v>
      </c>
    </row>
    <row r="237" ht="13.5" customHeight="1">
      <c r="A237" s="64"/>
      <c r="B237" s="52" t="s">
        <v>90</v>
      </c>
      <c r="C237" s="53" t="s">
        <v>27</v>
      </c>
      <c r="D237" s="54"/>
      <c r="E237" s="55">
        <f t="shared" ref="E237:J237" si="64">E235-E238</f>
        <v>0</v>
      </c>
      <c r="F237" s="55">
        <f t="shared" si="64"/>
        <v>0</v>
      </c>
      <c r="G237" s="55">
        <f t="shared" si="64"/>
        <v>0</v>
      </c>
      <c r="H237" s="55">
        <f t="shared" si="64"/>
        <v>0</v>
      </c>
      <c r="I237" s="55">
        <f t="shared" si="64"/>
        <v>0</v>
      </c>
      <c r="J237" s="55">
        <f t="shared" si="64"/>
        <v>0</v>
      </c>
      <c r="K237" s="56"/>
      <c r="L237" s="30"/>
      <c r="M237" s="57" t="s">
        <v>28</v>
      </c>
      <c r="N237" s="58" t="b">
        <v>0</v>
      </c>
    </row>
    <row r="238" ht="13.5" customHeight="1">
      <c r="A238" s="46" t="s">
        <v>45</v>
      </c>
      <c r="B238" s="59"/>
      <c r="C238" s="53" t="s">
        <v>30</v>
      </c>
      <c r="D238" s="54"/>
      <c r="E238" s="60"/>
      <c r="F238" s="60"/>
      <c r="G238" s="60"/>
      <c r="H238" s="60"/>
      <c r="I238" s="60"/>
      <c r="J238" s="60"/>
      <c r="K238" s="61" t="s">
        <v>30</v>
      </c>
      <c r="L238" s="62">
        <f>(E238*E227)+(F238*F227)+(G238*G227)+(H238*H227)+(I238*I227)+(J238*J227)</f>
        <v>0</v>
      </c>
      <c r="M238" s="57" t="s">
        <v>31</v>
      </c>
      <c r="N238" s="63" t="b">
        <v>0</v>
      </c>
    </row>
    <row r="239" ht="15.0" customHeight="1">
      <c r="A239" s="77"/>
      <c r="B239" s="65" t="s">
        <v>47</v>
      </c>
      <c r="C239" s="53" t="s">
        <v>34</v>
      </c>
      <c r="D239" s="54"/>
      <c r="E239" s="66"/>
      <c r="F239" s="66"/>
      <c r="G239" s="66"/>
      <c r="H239" s="66"/>
      <c r="I239" s="66"/>
      <c r="J239" s="66"/>
      <c r="K239" s="67" t="s">
        <v>35</v>
      </c>
      <c r="L239" s="62">
        <f>(E239*E227)+(F239*F227)+(G239*G227)+(H239*H227)+(I239*I227)+(J239*J227)</f>
        <v>0</v>
      </c>
      <c r="M239" s="57" t="s">
        <v>36</v>
      </c>
      <c r="N239" s="63" t="b">
        <v>0</v>
      </c>
    </row>
    <row r="240" ht="13.5" customHeight="1">
      <c r="A240" s="68"/>
      <c r="B240" s="69" t="str">
        <f>IFS(L240=0,"",B240&lt;&gt;"",B240,TRUE,NOW())</f>
        <v/>
      </c>
      <c r="C240" s="70" t="s">
        <v>37</v>
      </c>
      <c r="D240" s="33"/>
      <c r="E240" s="71"/>
      <c r="F240" s="71"/>
      <c r="G240" s="71"/>
      <c r="H240" s="71"/>
      <c r="I240" s="71"/>
      <c r="J240" s="71"/>
      <c r="K240" s="72" t="s">
        <v>38</v>
      </c>
      <c r="L240" s="73">
        <f>L239-L238</f>
        <v>0</v>
      </c>
      <c r="M240" s="74" t="s">
        <v>39</v>
      </c>
      <c r="N240" s="75" t="b">
        <v>0</v>
      </c>
    </row>
    <row r="241" ht="13.5" customHeight="1">
      <c r="A241" s="78" t="s">
        <v>48</v>
      </c>
      <c r="B241" s="52" t="s">
        <v>90</v>
      </c>
      <c r="C241" s="53" t="s">
        <v>27</v>
      </c>
      <c r="D241" s="54"/>
      <c r="E241" s="55">
        <f t="shared" ref="E241:J241" si="65">E239-E242</f>
        <v>0</v>
      </c>
      <c r="F241" s="55">
        <f t="shared" si="65"/>
        <v>0</v>
      </c>
      <c r="G241" s="55">
        <f t="shared" si="65"/>
        <v>0</v>
      </c>
      <c r="H241" s="55">
        <f t="shared" si="65"/>
        <v>0</v>
      </c>
      <c r="I241" s="55">
        <f t="shared" si="65"/>
        <v>0</v>
      </c>
      <c r="J241" s="55">
        <f t="shared" si="65"/>
        <v>0</v>
      </c>
      <c r="K241" s="56"/>
      <c r="L241" s="30"/>
      <c r="M241" s="57" t="s">
        <v>28</v>
      </c>
      <c r="N241" s="58" t="b">
        <v>0</v>
      </c>
    </row>
    <row r="242" ht="13.5" customHeight="1">
      <c r="A242" s="87"/>
      <c r="B242" s="59"/>
      <c r="C242" s="53" t="s">
        <v>30</v>
      </c>
      <c r="D242" s="54"/>
      <c r="E242" s="60"/>
      <c r="F242" s="60"/>
      <c r="G242" s="60"/>
      <c r="H242" s="60"/>
      <c r="I242" s="60"/>
      <c r="J242" s="60"/>
      <c r="K242" s="61" t="s">
        <v>30</v>
      </c>
      <c r="L242" s="62">
        <f>(E242*E227)+(F242*F227)+(G242*G227)+(H242*H227)+(I242*I227)+(J242*J227)</f>
        <v>0</v>
      </c>
      <c r="M242" s="57" t="s">
        <v>31</v>
      </c>
      <c r="N242" s="63" t="b">
        <v>0</v>
      </c>
    </row>
    <row r="243" ht="13.5" customHeight="1">
      <c r="A243" s="68"/>
      <c r="B243" s="65" t="s">
        <v>49</v>
      </c>
      <c r="C243" s="53" t="s">
        <v>34</v>
      </c>
      <c r="D243" s="54"/>
      <c r="E243" s="66"/>
      <c r="F243" s="66"/>
      <c r="G243" s="66"/>
      <c r="H243" s="66"/>
      <c r="I243" s="66"/>
      <c r="J243" s="66"/>
      <c r="K243" s="67" t="s">
        <v>35</v>
      </c>
      <c r="L243" s="62">
        <f>(E243*E227)+(F243*F227)+(G243*G227)+(H243*H227)+(I243*I227)+(J243*J227)</f>
        <v>0</v>
      </c>
      <c r="M243" s="57" t="s">
        <v>36</v>
      </c>
      <c r="N243" s="63" t="b">
        <v>0</v>
      </c>
    </row>
    <row r="244" ht="15.0" customHeight="1">
      <c r="A244" s="80"/>
      <c r="B244" s="69" t="str">
        <f>IFS(L244=0,"",B244&lt;&gt;"",B244,TRUE,NOW())</f>
        <v/>
      </c>
      <c r="C244" s="53" t="s">
        <v>37</v>
      </c>
      <c r="D244" s="54"/>
      <c r="E244" s="81"/>
      <c r="F244" s="81"/>
      <c r="G244" s="81"/>
      <c r="H244" s="82"/>
      <c r="I244" s="81"/>
      <c r="J244" s="81"/>
      <c r="K244" s="72" t="s">
        <v>38</v>
      </c>
      <c r="L244" s="73">
        <f>L243-L242</f>
        <v>0</v>
      </c>
      <c r="M244" s="74" t="s">
        <v>39</v>
      </c>
      <c r="N244" s="75" t="b">
        <v>0</v>
      </c>
    </row>
    <row r="245" ht="13.5" customHeight="1">
      <c r="A245" s="83" t="s">
        <v>92</v>
      </c>
      <c r="B245" s="42" t="s">
        <v>20</v>
      </c>
      <c r="C245" s="24"/>
      <c r="D245" s="33"/>
      <c r="E245" s="43">
        <f t="shared" ref="E245:J245" si="66">E6</f>
        <v>17</v>
      </c>
      <c r="F245" s="43">
        <f t="shared" si="66"/>
        <v>27</v>
      </c>
      <c r="G245" s="43">
        <f t="shared" si="66"/>
        <v>27</v>
      </c>
      <c r="H245" s="43">
        <f t="shared" si="66"/>
        <v>27</v>
      </c>
      <c r="I245" s="43">
        <f t="shared" si="66"/>
        <v>32</v>
      </c>
      <c r="J245" s="44">
        <f t="shared" si="66"/>
        <v>37</v>
      </c>
      <c r="K245" s="42" t="s">
        <v>21</v>
      </c>
      <c r="L245" s="25"/>
      <c r="M245" s="45" t="s">
        <v>22</v>
      </c>
      <c r="N245" s="25"/>
    </row>
    <row r="246" ht="13.5" customHeight="1">
      <c r="A246" s="46" t="s">
        <v>23</v>
      </c>
      <c r="B246" s="47" t="s">
        <v>24</v>
      </c>
      <c r="C246" s="32" t="s">
        <v>25</v>
      </c>
      <c r="D246" s="33"/>
      <c r="E246" s="48"/>
      <c r="F246" s="48"/>
      <c r="G246" s="48"/>
      <c r="H246" s="48"/>
      <c r="I246" s="48"/>
      <c r="J246" s="48"/>
      <c r="K246" s="49"/>
      <c r="L246" s="25"/>
      <c r="M246" s="50"/>
      <c r="N246" s="10"/>
    </row>
    <row r="247" ht="13.5" customHeight="1">
      <c r="A247" s="92"/>
      <c r="B247" s="52" t="s">
        <v>93</v>
      </c>
      <c r="C247" s="53" t="s">
        <v>27</v>
      </c>
      <c r="D247" s="54"/>
      <c r="E247" s="55">
        <f t="shared" ref="E247:J247" si="67">E246-E248</f>
        <v>0</v>
      </c>
      <c r="F247" s="55">
        <f t="shared" si="67"/>
        <v>0</v>
      </c>
      <c r="G247" s="55">
        <f t="shared" si="67"/>
        <v>0</v>
      </c>
      <c r="H247" s="55">
        <f t="shared" si="67"/>
        <v>-2</v>
      </c>
      <c r="I247" s="55">
        <f t="shared" si="67"/>
        <v>0</v>
      </c>
      <c r="J247" s="55">
        <f t="shared" si="67"/>
        <v>0</v>
      </c>
      <c r="K247" s="56"/>
      <c r="L247" s="30"/>
      <c r="M247" s="57" t="s">
        <v>28</v>
      </c>
      <c r="N247" s="58" t="b">
        <v>0</v>
      </c>
    </row>
    <row r="248" ht="13.5" customHeight="1">
      <c r="A248" s="46" t="s">
        <v>29</v>
      </c>
      <c r="B248" s="59"/>
      <c r="C248" s="53" t="s">
        <v>30</v>
      </c>
      <c r="D248" s="54"/>
      <c r="E248" s="60"/>
      <c r="F248" s="60"/>
      <c r="G248" s="60"/>
      <c r="H248" s="84">
        <v>2.0</v>
      </c>
      <c r="I248" s="60"/>
      <c r="J248" s="60"/>
      <c r="K248" s="61" t="s">
        <v>30</v>
      </c>
      <c r="L248" s="62">
        <f>(E248*E245)+(F248*F245)+(G248*G245)+(H248*H245)+(I248*I245)+(J248*J245)</f>
        <v>54</v>
      </c>
      <c r="M248" s="57" t="s">
        <v>31</v>
      </c>
      <c r="N248" s="63" t="b">
        <v>0</v>
      </c>
    </row>
    <row r="249" ht="13.5" customHeight="1">
      <c r="A249" s="64" t="s">
        <v>76</v>
      </c>
      <c r="B249" s="65" t="s">
        <v>33</v>
      </c>
      <c r="C249" s="53" t="s">
        <v>34</v>
      </c>
      <c r="D249" s="54"/>
      <c r="E249" s="66"/>
      <c r="F249" s="76">
        <v>3.0</v>
      </c>
      <c r="G249" s="76">
        <v>3.0</v>
      </c>
      <c r="H249" s="76">
        <v>3.0</v>
      </c>
      <c r="I249" s="76">
        <v>2.0</v>
      </c>
      <c r="J249" s="76">
        <v>3.0</v>
      </c>
      <c r="K249" s="67" t="s">
        <v>35</v>
      </c>
      <c r="L249" s="62">
        <f>(E249*E245)+(F249*F245)+(G249*G245)+(H249*H245)+(I249*I245)+(J249*J245)</f>
        <v>418</v>
      </c>
      <c r="M249" s="57" t="s">
        <v>36</v>
      </c>
      <c r="N249" s="63" t="b">
        <v>0</v>
      </c>
    </row>
    <row r="250" ht="13.5" customHeight="1">
      <c r="A250" s="68"/>
      <c r="B250" s="69">
        <f>IFS(L250=0,"",B250&lt;&gt;"",B250,TRUE,NOW())</f>
        <v>46142.68925</v>
      </c>
      <c r="C250" s="70" t="s">
        <v>37</v>
      </c>
      <c r="D250" s="33"/>
      <c r="E250" s="71"/>
      <c r="F250" s="71"/>
      <c r="G250" s="71"/>
      <c r="H250" s="71"/>
      <c r="I250" s="71"/>
      <c r="J250" s="71"/>
      <c r="K250" s="72" t="s">
        <v>38</v>
      </c>
      <c r="L250" s="73">
        <f>L249-L248</f>
        <v>364</v>
      </c>
      <c r="M250" s="74" t="s">
        <v>39</v>
      </c>
      <c r="N250" s="75" t="b">
        <v>0</v>
      </c>
    </row>
    <row r="251" ht="15.0" customHeight="1">
      <c r="A251" s="46" t="s">
        <v>40</v>
      </c>
      <c r="B251" s="52" t="s">
        <v>93</v>
      </c>
      <c r="C251" s="53" t="s">
        <v>27</v>
      </c>
      <c r="D251" s="54"/>
      <c r="E251" s="55">
        <f t="shared" ref="E251:J251" si="68">E249-E252</f>
        <v>0</v>
      </c>
      <c r="F251" s="55">
        <f t="shared" si="68"/>
        <v>3</v>
      </c>
      <c r="G251" s="55">
        <f t="shared" si="68"/>
        <v>3</v>
      </c>
      <c r="H251" s="55">
        <f t="shared" si="68"/>
        <v>3</v>
      </c>
      <c r="I251" s="55">
        <f t="shared" si="68"/>
        <v>2</v>
      </c>
      <c r="J251" s="55">
        <f t="shared" si="68"/>
        <v>3</v>
      </c>
      <c r="K251" s="56"/>
      <c r="L251" s="30"/>
      <c r="M251" s="57" t="s">
        <v>28</v>
      </c>
      <c r="N251" s="58" t="b">
        <v>0</v>
      </c>
    </row>
    <row r="252" ht="13.5" customHeight="1">
      <c r="A252" s="64"/>
      <c r="B252" s="59"/>
      <c r="C252" s="53" t="s">
        <v>30</v>
      </c>
      <c r="D252" s="54"/>
      <c r="E252" s="60"/>
      <c r="F252" s="60"/>
      <c r="G252" s="60"/>
      <c r="H252" s="60"/>
      <c r="I252" s="60"/>
      <c r="J252" s="60"/>
      <c r="K252" s="61" t="s">
        <v>30</v>
      </c>
      <c r="L252" s="62">
        <f>(E252*E245)+(F252*F245)+(G252*G245)+(H252*H245)+(I252*I245)+(J252*J245)</f>
        <v>0</v>
      </c>
      <c r="M252" s="57" t="s">
        <v>31</v>
      </c>
      <c r="N252" s="63" t="b">
        <v>0</v>
      </c>
    </row>
    <row r="253" ht="13.5" customHeight="1">
      <c r="A253" s="68"/>
      <c r="B253" s="65" t="s">
        <v>42</v>
      </c>
      <c r="C253" s="53" t="s">
        <v>34</v>
      </c>
      <c r="D253" s="54"/>
      <c r="E253" s="66"/>
      <c r="F253" s="76"/>
      <c r="G253" s="76"/>
      <c r="H253" s="76"/>
      <c r="I253" s="76"/>
      <c r="J253" s="76"/>
      <c r="K253" s="67" t="s">
        <v>35</v>
      </c>
      <c r="L253" s="62">
        <f>(E253*E245)+(F253*F245)+(G253*G245)+(H253*H245)+(I253*I245)+(J253*J245)</f>
        <v>0</v>
      </c>
      <c r="M253" s="57" t="s">
        <v>36</v>
      </c>
      <c r="N253" s="63" t="b">
        <v>0</v>
      </c>
    </row>
    <row r="254" ht="13.5" customHeight="1">
      <c r="A254" s="46" t="s">
        <v>43</v>
      </c>
      <c r="B254" s="69" t="str">
        <f>IFS(L254=0,"",B254&lt;&gt;"",B254,TRUE,NOW())</f>
        <v/>
      </c>
      <c r="C254" s="70" t="s">
        <v>37</v>
      </c>
      <c r="D254" s="33"/>
      <c r="E254" s="71"/>
      <c r="F254" s="71"/>
      <c r="G254" s="71"/>
      <c r="H254" s="71"/>
      <c r="I254" s="71"/>
      <c r="J254" s="71"/>
      <c r="K254" s="72" t="s">
        <v>38</v>
      </c>
      <c r="L254" s="73">
        <f>L253-L252</f>
        <v>0</v>
      </c>
      <c r="M254" s="74" t="s">
        <v>39</v>
      </c>
      <c r="N254" s="75" t="b">
        <v>0</v>
      </c>
    </row>
    <row r="255" ht="13.5" customHeight="1">
      <c r="A255" s="64"/>
      <c r="B255" s="52" t="s">
        <v>93</v>
      </c>
      <c r="C255" s="53" t="s">
        <v>27</v>
      </c>
      <c r="D255" s="54"/>
      <c r="E255" s="55">
        <f t="shared" ref="E255:J255" si="69">E253-E256</f>
        <v>0</v>
      </c>
      <c r="F255" s="55">
        <f t="shared" si="69"/>
        <v>0</v>
      </c>
      <c r="G255" s="55">
        <f t="shared" si="69"/>
        <v>0</v>
      </c>
      <c r="H255" s="55">
        <f t="shared" si="69"/>
        <v>0</v>
      </c>
      <c r="I255" s="55">
        <f t="shared" si="69"/>
        <v>0</v>
      </c>
      <c r="J255" s="55">
        <f t="shared" si="69"/>
        <v>0</v>
      </c>
      <c r="K255" s="56"/>
      <c r="L255" s="30"/>
      <c r="M255" s="57" t="s">
        <v>28</v>
      </c>
      <c r="N255" s="58" t="b">
        <v>0</v>
      </c>
    </row>
    <row r="256" ht="15.0" customHeight="1">
      <c r="A256" s="46" t="s">
        <v>45</v>
      </c>
      <c r="B256" s="59"/>
      <c r="C256" s="53" t="s">
        <v>30</v>
      </c>
      <c r="D256" s="54"/>
      <c r="E256" s="60"/>
      <c r="F256" s="60"/>
      <c r="G256" s="60"/>
      <c r="H256" s="60"/>
      <c r="I256" s="60"/>
      <c r="J256" s="60"/>
      <c r="K256" s="61" t="s">
        <v>30</v>
      </c>
      <c r="L256" s="62">
        <f>(E256*E245)+(F256*F245)+(G256*G245)+(H256*H245)+(I256*I245)+(J256*J245)</f>
        <v>0</v>
      </c>
      <c r="M256" s="57" t="s">
        <v>31</v>
      </c>
      <c r="N256" s="63" t="b">
        <v>0</v>
      </c>
    </row>
    <row r="257" ht="13.5" customHeight="1">
      <c r="A257" s="77"/>
      <c r="B257" s="65" t="s">
        <v>47</v>
      </c>
      <c r="C257" s="53" t="s">
        <v>34</v>
      </c>
      <c r="D257" s="54"/>
      <c r="E257" s="66"/>
      <c r="F257" s="66"/>
      <c r="G257" s="66"/>
      <c r="H257" s="66"/>
      <c r="I257" s="66"/>
      <c r="J257" s="66"/>
      <c r="K257" s="67" t="s">
        <v>35</v>
      </c>
      <c r="L257" s="62">
        <f>(E257*E245)+(F257*F245)+(G257*G245)+(H257*H245)+(I257*I245)+(J257*J245)</f>
        <v>0</v>
      </c>
      <c r="M257" s="57" t="s">
        <v>36</v>
      </c>
      <c r="N257" s="63" t="b">
        <v>0</v>
      </c>
    </row>
    <row r="258" ht="13.5" customHeight="1">
      <c r="A258" s="68"/>
      <c r="B258" s="69" t="str">
        <f>IFS(L258=0,"",B258&lt;&gt;"",B258,TRUE,NOW())</f>
        <v/>
      </c>
      <c r="C258" s="70" t="s">
        <v>37</v>
      </c>
      <c r="D258" s="33"/>
      <c r="E258" s="71"/>
      <c r="F258" s="71"/>
      <c r="G258" s="71"/>
      <c r="H258" s="71"/>
      <c r="I258" s="71"/>
      <c r="J258" s="71"/>
      <c r="K258" s="72" t="s">
        <v>38</v>
      </c>
      <c r="L258" s="73">
        <f>L257-L256</f>
        <v>0</v>
      </c>
      <c r="M258" s="74" t="s">
        <v>39</v>
      </c>
      <c r="N258" s="75" t="b">
        <v>0</v>
      </c>
    </row>
    <row r="259" ht="13.5" customHeight="1">
      <c r="A259" s="78" t="s">
        <v>48</v>
      </c>
      <c r="B259" s="52" t="s">
        <v>93</v>
      </c>
      <c r="C259" s="53" t="s">
        <v>27</v>
      </c>
      <c r="D259" s="54"/>
      <c r="E259" s="55">
        <f t="shared" ref="E259:J259" si="70">E257-E260</f>
        <v>0</v>
      </c>
      <c r="F259" s="55">
        <f t="shared" si="70"/>
        <v>0</v>
      </c>
      <c r="G259" s="55">
        <f t="shared" si="70"/>
        <v>0</v>
      </c>
      <c r="H259" s="55">
        <f t="shared" si="70"/>
        <v>0</v>
      </c>
      <c r="I259" s="55">
        <f t="shared" si="70"/>
        <v>0</v>
      </c>
      <c r="J259" s="55">
        <f t="shared" si="70"/>
        <v>0</v>
      </c>
      <c r="K259" s="56"/>
      <c r="L259" s="30"/>
      <c r="M259" s="57" t="s">
        <v>28</v>
      </c>
      <c r="N259" s="58" t="b">
        <v>0</v>
      </c>
    </row>
    <row r="260" ht="13.5" customHeight="1">
      <c r="A260" s="87"/>
      <c r="B260" s="59"/>
      <c r="C260" s="53" t="s">
        <v>30</v>
      </c>
      <c r="D260" s="54"/>
      <c r="E260" s="60"/>
      <c r="F260" s="60"/>
      <c r="G260" s="60"/>
      <c r="H260" s="60"/>
      <c r="I260" s="60"/>
      <c r="J260" s="60"/>
      <c r="K260" s="61" t="s">
        <v>30</v>
      </c>
      <c r="L260" s="62">
        <f>(E260*E245)+(F260*F245)+(G260*G245)+(H260*H245)+(I260*I245)+(J260*J245)</f>
        <v>0</v>
      </c>
      <c r="M260" s="57" t="s">
        <v>31</v>
      </c>
      <c r="N260" s="63" t="b">
        <v>0</v>
      </c>
    </row>
    <row r="261" ht="15.0" customHeight="1">
      <c r="A261" s="68"/>
      <c r="B261" s="65" t="s">
        <v>49</v>
      </c>
      <c r="C261" s="53" t="s">
        <v>34</v>
      </c>
      <c r="D261" s="54"/>
      <c r="E261" s="66"/>
      <c r="F261" s="66"/>
      <c r="G261" s="66"/>
      <c r="H261" s="66"/>
      <c r="I261" s="66"/>
      <c r="J261" s="66"/>
      <c r="K261" s="67" t="s">
        <v>35</v>
      </c>
      <c r="L261" s="62">
        <f>(E261*E245)+(F261*F245)+(G261*G245)+(H261*H245)+(I261*I245)+(J261*J245)</f>
        <v>0</v>
      </c>
      <c r="M261" s="57" t="s">
        <v>36</v>
      </c>
      <c r="N261" s="63" t="b">
        <v>0</v>
      </c>
    </row>
    <row r="262" ht="13.5" customHeight="1">
      <c r="A262" s="80"/>
      <c r="B262" s="69" t="str">
        <f>IFS(L262=0,"",B262&lt;&gt;"",B262,TRUE,NOW())</f>
        <v/>
      </c>
      <c r="C262" s="86" t="s">
        <v>37</v>
      </c>
      <c r="D262" s="59"/>
      <c r="E262" s="81"/>
      <c r="F262" s="81"/>
      <c r="G262" s="81"/>
      <c r="H262" s="82"/>
      <c r="I262" s="81"/>
      <c r="J262" s="81"/>
      <c r="K262" s="72" t="s">
        <v>38</v>
      </c>
      <c r="L262" s="73">
        <f>L261-L260</f>
        <v>0</v>
      </c>
      <c r="M262" s="74" t="s">
        <v>39</v>
      </c>
      <c r="N262" s="75" t="b">
        <v>0</v>
      </c>
    </row>
    <row r="263" ht="13.5" customHeight="1">
      <c r="A263" s="83" t="s">
        <v>95</v>
      </c>
      <c r="B263" s="42" t="s">
        <v>20</v>
      </c>
      <c r="C263" s="24"/>
      <c r="D263" s="33"/>
      <c r="E263" s="43">
        <f t="shared" ref="E263:J263" si="71">E6</f>
        <v>17</v>
      </c>
      <c r="F263" s="43">
        <f t="shared" si="71"/>
        <v>27</v>
      </c>
      <c r="G263" s="43">
        <f t="shared" si="71"/>
        <v>27</v>
      </c>
      <c r="H263" s="43">
        <f t="shared" si="71"/>
        <v>27</v>
      </c>
      <c r="I263" s="43">
        <f t="shared" si="71"/>
        <v>32</v>
      </c>
      <c r="J263" s="44">
        <f t="shared" si="71"/>
        <v>37</v>
      </c>
      <c r="K263" s="42" t="s">
        <v>21</v>
      </c>
      <c r="L263" s="25"/>
      <c r="M263" s="45" t="s">
        <v>22</v>
      </c>
      <c r="N263" s="25"/>
    </row>
    <row r="264" ht="13.5" customHeight="1">
      <c r="A264" s="46" t="s">
        <v>23</v>
      </c>
      <c r="B264" s="47" t="s">
        <v>24</v>
      </c>
      <c r="C264" s="32" t="s">
        <v>25</v>
      </c>
      <c r="D264" s="33"/>
      <c r="E264" s="48"/>
      <c r="F264" s="48"/>
      <c r="G264" s="48"/>
      <c r="H264" s="48"/>
      <c r="I264" s="48"/>
      <c r="J264" s="48"/>
      <c r="K264" s="49"/>
      <c r="L264" s="25"/>
      <c r="M264" s="50"/>
      <c r="N264" s="10"/>
    </row>
    <row r="265" ht="13.5" customHeight="1">
      <c r="A265" s="92"/>
      <c r="B265" s="52" t="s">
        <v>96</v>
      </c>
      <c r="C265" s="53" t="s">
        <v>27</v>
      </c>
      <c r="D265" s="54"/>
      <c r="E265" s="55">
        <f t="shared" ref="E265:J265" si="72">E264-E266</f>
        <v>0</v>
      </c>
      <c r="F265" s="55">
        <f t="shared" si="72"/>
        <v>-2</v>
      </c>
      <c r="G265" s="55">
        <f t="shared" si="72"/>
        <v>-3</v>
      </c>
      <c r="H265" s="55">
        <f t="shared" si="72"/>
        <v>0</v>
      </c>
      <c r="I265" s="55">
        <f t="shared" si="72"/>
        <v>0</v>
      </c>
      <c r="J265" s="55">
        <f t="shared" si="72"/>
        <v>-2</v>
      </c>
      <c r="K265" s="56"/>
      <c r="L265" s="30"/>
      <c r="M265" s="57" t="s">
        <v>28</v>
      </c>
      <c r="N265" s="58" t="b">
        <v>0</v>
      </c>
    </row>
    <row r="266" ht="15.0" customHeight="1">
      <c r="A266" s="46" t="s">
        <v>29</v>
      </c>
      <c r="B266" s="59"/>
      <c r="C266" s="53" t="s">
        <v>30</v>
      </c>
      <c r="D266" s="54"/>
      <c r="E266" s="60"/>
      <c r="F266" s="84">
        <v>2.0</v>
      </c>
      <c r="G266" s="84">
        <v>3.0</v>
      </c>
      <c r="H266" s="60"/>
      <c r="I266" s="60"/>
      <c r="J266" s="84">
        <v>2.0</v>
      </c>
      <c r="K266" s="61" t="s">
        <v>30</v>
      </c>
      <c r="L266" s="62">
        <f>(E266*E263)+(F266*F263)+(G266*G263)+(H266*H263)+(I266*I263)+(J266*J263)</f>
        <v>209</v>
      </c>
      <c r="M266" s="57" t="s">
        <v>31</v>
      </c>
      <c r="N266" s="63" t="b">
        <v>0</v>
      </c>
    </row>
    <row r="267" ht="13.5" customHeight="1">
      <c r="A267" s="64"/>
      <c r="B267" s="65" t="s">
        <v>33</v>
      </c>
      <c r="C267" s="53" t="s">
        <v>34</v>
      </c>
      <c r="D267" s="54"/>
      <c r="E267" s="66"/>
      <c r="F267" s="76">
        <v>2.0</v>
      </c>
      <c r="G267" s="76">
        <v>3.0</v>
      </c>
      <c r="H267" s="66"/>
      <c r="I267" s="66"/>
      <c r="J267" s="76">
        <v>2.0</v>
      </c>
      <c r="K267" s="67" t="s">
        <v>35</v>
      </c>
      <c r="L267" s="62">
        <f>(E267*E263)+(F267*F263)+(G267*G263)+(H267*H263)+(I267*I263)+(J267*J263)</f>
        <v>209</v>
      </c>
      <c r="M267" s="57" t="s">
        <v>36</v>
      </c>
      <c r="N267" s="63" t="b">
        <v>0</v>
      </c>
    </row>
    <row r="268" ht="13.5" customHeight="1">
      <c r="A268" s="68"/>
      <c r="B268" s="69" t="str">
        <f>IFS(L268=0,"",B268&lt;&gt;"",B268,TRUE,NOW())</f>
        <v/>
      </c>
      <c r="C268" s="70" t="s">
        <v>37</v>
      </c>
      <c r="D268" s="33"/>
      <c r="E268" s="71"/>
      <c r="F268" s="71"/>
      <c r="G268" s="71"/>
      <c r="H268" s="71"/>
      <c r="I268" s="71"/>
      <c r="J268" s="71"/>
      <c r="K268" s="72" t="s">
        <v>38</v>
      </c>
      <c r="L268" s="73">
        <f>L267-L266</f>
        <v>0</v>
      </c>
      <c r="M268" s="74" t="s">
        <v>39</v>
      </c>
      <c r="N268" s="75" t="b">
        <v>0</v>
      </c>
    </row>
    <row r="269" ht="13.5" customHeight="1">
      <c r="A269" s="46" t="s">
        <v>40</v>
      </c>
      <c r="B269" s="52" t="s">
        <v>96</v>
      </c>
      <c r="C269" s="53" t="s">
        <v>27</v>
      </c>
      <c r="D269" s="54"/>
      <c r="E269" s="55">
        <f t="shared" ref="E269:J269" si="73">E267-E270</f>
        <v>0</v>
      </c>
      <c r="F269" s="55">
        <f t="shared" si="73"/>
        <v>2</v>
      </c>
      <c r="G269" s="55">
        <f t="shared" si="73"/>
        <v>3</v>
      </c>
      <c r="H269" s="55">
        <f t="shared" si="73"/>
        <v>0</v>
      </c>
      <c r="I269" s="55">
        <f t="shared" si="73"/>
        <v>0</v>
      </c>
      <c r="J269" s="55">
        <f t="shared" si="73"/>
        <v>2</v>
      </c>
      <c r="K269" s="56"/>
      <c r="L269" s="30"/>
      <c r="M269" s="57" t="s">
        <v>28</v>
      </c>
      <c r="N269" s="58" t="b">
        <v>0</v>
      </c>
    </row>
    <row r="270" ht="13.5" customHeight="1">
      <c r="A270" s="64"/>
      <c r="B270" s="59"/>
      <c r="C270" s="53" t="s">
        <v>30</v>
      </c>
      <c r="D270" s="54"/>
      <c r="E270" s="60"/>
      <c r="F270" s="60"/>
      <c r="G270" s="60"/>
      <c r="H270" s="60"/>
      <c r="I270" s="60"/>
      <c r="J270" s="60"/>
      <c r="K270" s="61" t="s">
        <v>30</v>
      </c>
      <c r="L270" s="62">
        <f>(E270*E263)+(F270*F263)+(G270*G263)+(H270*H263)+(I270*I263)+(J270*J263)</f>
        <v>0</v>
      </c>
      <c r="M270" s="57" t="s">
        <v>31</v>
      </c>
      <c r="N270" s="63" t="b">
        <v>0</v>
      </c>
    </row>
    <row r="271" ht="13.5" customHeight="1">
      <c r="A271" s="68"/>
      <c r="B271" s="65" t="s">
        <v>42</v>
      </c>
      <c r="C271" s="53" t="s">
        <v>34</v>
      </c>
      <c r="D271" s="54"/>
      <c r="E271" s="66"/>
      <c r="F271" s="76"/>
      <c r="G271" s="76"/>
      <c r="H271" s="76"/>
      <c r="I271" s="76"/>
      <c r="J271" s="76"/>
      <c r="K271" s="67" t="s">
        <v>35</v>
      </c>
      <c r="L271" s="62">
        <f>(E271*E263)+(F271*F263)+(G271*G263)+(H271*H263)+(I271*I263)+(J271*J263)</f>
        <v>0</v>
      </c>
      <c r="M271" s="57" t="s">
        <v>36</v>
      </c>
      <c r="N271" s="63" t="b">
        <v>0</v>
      </c>
    </row>
    <row r="272" ht="13.5" customHeight="1">
      <c r="A272" s="46" t="s">
        <v>43</v>
      </c>
      <c r="B272" s="69" t="str">
        <f>IFS(L272=0,"",B272&lt;&gt;"",B272,TRUE,NOW())</f>
        <v/>
      </c>
      <c r="C272" s="70" t="s">
        <v>37</v>
      </c>
      <c r="D272" s="33"/>
      <c r="E272" s="71"/>
      <c r="F272" s="71"/>
      <c r="G272" s="71"/>
      <c r="H272" s="71"/>
      <c r="I272" s="71"/>
      <c r="J272" s="71"/>
      <c r="K272" s="72" t="s">
        <v>38</v>
      </c>
      <c r="L272" s="73">
        <f>L271-L270</f>
        <v>0</v>
      </c>
      <c r="M272" s="74" t="s">
        <v>39</v>
      </c>
      <c r="N272" s="75" t="b">
        <v>0</v>
      </c>
    </row>
    <row r="273" ht="18.0" customHeight="1">
      <c r="A273" s="64"/>
      <c r="B273" s="52" t="s">
        <v>96</v>
      </c>
      <c r="C273" s="53" t="s">
        <v>27</v>
      </c>
      <c r="D273" s="54"/>
      <c r="E273" s="55">
        <f t="shared" ref="E273:J273" si="74">E271-E274</f>
        <v>0</v>
      </c>
      <c r="F273" s="55">
        <f t="shared" si="74"/>
        <v>0</v>
      </c>
      <c r="G273" s="55">
        <f t="shared" si="74"/>
        <v>0</v>
      </c>
      <c r="H273" s="55">
        <f t="shared" si="74"/>
        <v>0</v>
      </c>
      <c r="I273" s="55">
        <f t="shared" si="74"/>
        <v>0</v>
      </c>
      <c r="J273" s="55">
        <f t="shared" si="74"/>
        <v>0</v>
      </c>
      <c r="K273" s="56"/>
      <c r="L273" s="30"/>
      <c r="M273" s="57" t="s">
        <v>28</v>
      </c>
      <c r="N273" s="58" t="b">
        <v>0</v>
      </c>
    </row>
    <row r="274" ht="13.5" customHeight="1">
      <c r="A274" s="46" t="s">
        <v>45</v>
      </c>
      <c r="B274" s="59"/>
      <c r="C274" s="53" t="s">
        <v>30</v>
      </c>
      <c r="D274" s="54"/>
      <c r="E274" s="60"/>
      <c r="F274" s="60"/>
      <c r="G274" s="60"/>
      <c r="H274" s="60"/>
      <c r="I274" s="60"/>
      <c r="J274" s="60"/>
      <c r="K274" s="61" t="s">
        <v>30</v>
      </c>
      <c r="L274" s="62">
        <f>(E274*E263)+(F274*F263)+(G274*G263)+(H274*H263)+(I274*I263)+(J274*J263)</f>
        <v>0</v>
      </c>
      <c r="M274" s="57" t="s">
        <v>31</v>
      </c>
      <c r="N274" s="63" t="b">
        <v>0</v>
      </c>
    </row>
    <row r="275" ht="13.5" customHeight="1">
      <c r="A275" s="77"/>
      <c r="B275" s="65" t="s">
        <v>47</v>
      </c>
      <c r="C275" s="53" t="s">
        <v>34</v>
      </c>
      <c r="D275" s="54"/>
      <c r="E275" s="66"/>
      <c r="F275" s="66"/>
      <c r="G275" s="66"/>
      <c r="H275" s="66"/>
      <c r="I275" s="66"/>
      <c r="J275" s="66"/>
      <c r="K275" s="67" t="s">
        <v>35</v>
      </c>
      <c r="L275" s="62">
        <f>(E275*E263)+(F275*F263)+(G275*G263)+(H275*H263)+(I275*I263)+(J275*J263)</f>
        <v>0</v>
      </c>
      <c r="M275" s="57" t="s">
        <v>36</v>
      </c>
      <c r="N275" s="63" t="b">
        <v>0</v>
      </c>
    </row>
    <row r="276" ht="13.5" customHeight="1">
      <c r="A276" s="68"/>
      <c r="B276" s="69" t="str">
        <f>IFS(L276=0,"",B276&lt;&gt;"",B276,TRUE,NOW())</f>
        <v/>
      </c>
      <c r="C276" s="70" t="s">
        <v>37</v>
      </c>
      <c r="D276" s="33"/>
      <c r="E276" s="71"/>
      <c r="F276" s="71"/>
      <c r="G276" s="71"/>
      <c r="H276" s="71"/>
      <c r="I276" s="71"/>
      <c r="J276" s="71"/>
      <c r="K276" s="72" t="s">
        <v>38</v>
      </c>
      <c r="L276" s="73">
        <f>L275-L274</f>
        <v>0</v>
      </c>
      <c r="M276" s="74" t="s">
        <v>39</v>
      </c>
      <c r="N276" s="75" t="b">
        <v>0</v>
      </c>
    </row>
    <row r="277" ht="13.5" customHeight="1">
      <c r="A277" s="78" t="s">
        <v>48</v>
      </c>
      <c r="B277" s="52" t="s">
        <v>96</v>
      </c>
      <c r="C277" s="53" t="s">
        <v>27</v>
      </c>
      <c r="D277" s="54"/>
      <c r="E277" s="55">
        <f t="shared" ref="E277:J277" si="75">E275-E278</f>
        <v>0</v>
      </c>
      <c r="F277" s="55">
        <f t="shared" si="75"/>
        <v>0</v>
      </c>
      <c r="G277" s="55">
        <f t="shared" si="75"/>
        <v>0</v>
      </c>
      <c r="H277" s="55">
        <f t="shared" si="75"/>
        <v>0</v>
      </c>
      <c r="I277" s="55">
        <f t="shared" si="75"/>
        <v>0</v>
      </c>
      <c r="J277" s="55">
        <f t="shared" si="75"/>
        <v>0</v>
      </c>
      <c r="K277" s="56"/>
      <c r="L277" s="30"/>
      <c r="M277" s="57" t="s">
        <v>28</v>
      </c>
      <c r="N277" s="58" t="b">
        <v>0</v>
      </c>
    </row>
    <row r="278" ht="15.0" customHeight="1">
      <c r="A278" s="87"/>
      <c r="B278" s="59"/>
      <c r="C278" s="53" t="s">
        <v>30</v>
      </c>
      <c r="D278" s="54"/>
      <c r="E278" s="60"/>
      <c r="F278" s="60"/>
      <c r="G278" s="60"/>
      <c r="H278" s="60"/>
      <c r="I278" s="60"/>
      <c r="J278" s="60"/>
      <c r="K278" s="61" t="s">
        <v>30</v>
      </c>
      <c r="L278" s="62">
        <f>(E278*E263)+(F278*F263)+(G278*G263)+(H278*H263)+(I278*I263)+(J278*J263)</f>
        <v>0</v>
      </c>
      <c r="M278" s="57" t="s">
        <v>31</v>
      </c>
      <c r="N278" s="63" t="b">
        <v>0</v>
      </c>
    </row>
    <row r="279" ht="13.5" customHeight="1">
      <c r="A279" s="68"/>
      <c r="B279" s="65" t="s">
        <v>49</v>
      </c>
      <c r="C279" s="53" t="s">
        <v>34</v>
      </c>
      <c r="D279" s="54"/>
      <c r="E279" s="66"/>
      <c r="F279" s="66"/>
      <c r="G279" s="66"/>
      <c r="H279" s="66"/>
      <c r="I279" s="66"/>
      <c r="J279" s="66"/>
      <c r="K279" s="67" t="s">
        <v>35</v>
      </c>
      <c r="L279" s="62">
        <f>(E279*E263)+(F279*F263)+(G279*G263)+(H279*H263)+(I279*I263)+(J279*J263)</f>
        <v>0</v>
      </c>
      <c r="M279" s="57" t="s">
        <v>36</v>
      </c>
      <c r="N279" s="63" t="b">
        <v>0</v>
      </c>
    </row>
    <row r="280" ht="13.5" customHeight="1">
      <c r="A280" s="80"/>
      <c r="B280" s="69" t="str">
        <f>IFS(L280=0,"",B280&lt;&gt;"",B280,TRUE,NOW())</f>
        <v/>
      </c>
      <c r="C280" s="86" t="s">
        <v>37</v>
      </c>
      <c r="D280" s="59"/>
      <c r="E280" s="81"/>
      <c r="F280" s="81"/>
      <c r="G280" s="81"/>
      <c r="H280" s="82"/>
      <c r="I280" s="81"/>
      <c r="J280" s="81"/>
      <c r="K280" s="72" t="s">
        <v>38</v>
      </c>
      <c r="L280" s="73">
        <f>L279-L278</f>
        <v>0</v>
      </c>
      <c r="M280" s="74" t="s">
        <v>39</v>
      </c>
      <c r="N280" s="75" t="b">
        <v>0</v>
      </c>
    </row>
    <row r="281" ht="13.5" customHeight="1">
      <c r="A281" s="83" t="s">
        <v>97</v>
      </c>
      <c r="B281" s="42" t="s">
        <v>20</v>
      </c>
      <c r="C281" s="24"/>
      <c r="D281" s="33"/>
      <c r="E281" s="43">
        <f t="shared" ref="E281:J281" si="76">E6</f>
        <v>17</v>
      </c>
      <c r="F281" s="43">
        <f t="shared" si="76"/>
        <v>27</v>
      </c>
      <c r="G281" s="43">
        <f t="shared" si="76"/>
        <v>27</v>
      </c>
      <c r="H281" s="43">
        <f t="shared" si="76"/>
        <v>27</v>
      </c>
      <c r="I281" s="43">
        <f t="shared" si="76"/>
        <v>32</v>
      </c>
      <c r="J281" s="44">
        <f t="shared" si="76"/>
        <v>37</v>
      </c>
      <c r="K281" s="42" t="s">
        <v>21</v>
      </c>
      <c r="L281" s="25"/>
      <c r="M281" s="45" t="s">
        <v>22</v>
      </c>
      <c r="N281" s="25"/>
    </row>
    <row r="282" ht="13.5" customHeight="1">
      <c r="A282" s="46" t="s">
        <v>23</v>
      </c>
      <c r="B282" s="47" t="s">
        <v>24</v>
      </c>
      <c r="C282" s="32" t="s">
        <v>25</v>
      </c>
      <c r="D282" s="33"/>
      <c r="E282" s="48"/>
      <c r="F282" s="48"/>
      <c r="G282" s="48"/>
      <c r="H282" s="48"/>
      <c r="I282" s="48"/>
      <c r="J282" s="48"/>
      <c r="K282" s="49"/>
      <c r="L282" s="25"/>
      <c r="M282" s="50"/>
      <c r="N282" s="10"/>
    </row>
    <row r="283" ht="15.0" customHeight="1">
      <c r="A283" s="92"/>
      <c r="B283" s="52" t="s">
        <v>98</v>
      </c>
      <c r="C283" s="53" t="s">
        <v>27</v>
      </c>
      <c r="D283" s="54"/>
      <c r="E283" s="55">
        <f t="shared" ref="E283:J283" si="77">E282-E284</f>
        <v>0</v>
      </c>
      <c r="F283" s="55">
        <f t="shared" si="77"/>
        <v>0</v>
      </c>
      <c r="G283" s="55">
        <f t="shared" si="77"/>
        <v>0</v>
      </c>
      <c r="H283" s="55">
        <f t="shared" si="77"/>
        <v>0</v>
      </c>
      <c r="I283" s="55">
        <f t="shared" si="77"/>
        <v>0</v>
      </c>
      <c r="J283" s="55">
        <f t="shared" si="77"/>
        <v>0</v>
      </c>
      <c r="K283" s="56"/>
      <c r="L283" s="30"/>
      <c r="M283" s="57" t="s">
        <v>28</v>
      </c>
      <c r="N283" s="58" t="b">
        <v>0</v>
      </c>
    </row>
    <row r="284" ht="13.5" customHeight="1">
      <c r="A284" s="46" t="s">
        <v>29</v>
      </c>
      <c r="B284" s="59"/>
      <c r="C284" s="53" t="s">
        <v>30</v>
      </c>
      <c r="D284" s="54"/>
      <c r="E284" s="60"/>
      <c r="F284" s="60"/>
      <c r="G284" s="60"/>
      <c r="H284" s="60"/>
      <c r="I284" s="60"/>
      <c r="J284" s="60"/>
      <c r="K284" s="61" t="s">
        <v>30</v>
      </c>
      <c r="L284" s="62">
        <f>(E284*E281)+(F284*F281)+(G284*G281)+(H284*H281)+(I284*I281)+(J284*J281)</f>
        <v>0</v>
      </c>
      <c r="M284" s="57" t="s">
        <v>31</v>
      </c>
      <c r="N284" s="63" t="b">
        <v>0</v>
      </c>
    </row>
    <row r="285" ht="13.5" customHeight="1">
      <c r="A285" s="64"/>
      <c r="B285" s="65" t="s">
        <v>33</v>
      </c>
      <c r="C285" s="53" t="s">
        <v>34</v>
      </c>
      <c r="D285" s="54"/>
      <c r="E285" s="66"/>
      <c r="F285" s="66"/>
      <c r="G285" s="66"/>
      <c r="H285" s="66"/>
      <c r="I285" s="66"/>
      <c r="J285" s="66"/>
      <c r="K285" s="67" t="s">
        <v>35</v>
      </c>
      <c r="L285" s="62">
        <f>(E285*E281)+(F285*F281)+(G285*G281)+(H285*H281)+(I285*I281)+(J285*J281)</f>
        <v>0</v>
      </c>
      <c r="M285" s="57" t="s">
        <v>36</v>
      </c>
      <c r="N285" s="63" t="b">
        <v>0</v>
      </c>
    </row>
    <row r="286" ht="13.5" customHeight="1">
      <c r="A286" s="68"/>
      <c r="B286" s="69" t="str">
        <f>IFS(L286=0,"",B286&lt;&gt;"",B286,TRUE,NOW())</f>
        <v/>
      </c>
      <c r="C286" s="70" t="s">
        <v>37</v>
      </c>
      <c r="D286" s="33"/>
      <c r="E286" s="71"/>
      <c r="F286" s="71"/>
      <c r="G286" s="71"/>
      <c r="H286" s="71"/>
      <c r="I286" s="71"/>
      <c r="J286" s="71"/>
      <c r="K286" s="72" t="s">
        <v>38</v>
      </c>
      <c r="L286" s="73">
        <f>L285-L284</f>
        <v>0</v>
      </c>
      <c r="M286" s="74" t="s">
        <v>39</v>
      </c>
      <c r="N286" s="75" t="b">
        <v>0</v>
      </c>
    </row>
    <row r="287" ht="13.5" customHeight="1">
      <c r="A287" s="46" t="s">
        <v>40</v>
      </c>
      <c r="B287" s="52" t="s">
        <v>98</v>
      </c>
      <c r="C287" s="53" t="s">
        <v>27</v>
      </c>
      <c r="D287" s="54"/>
      <c r="E287" s="55">
        <f t="shared" ref="E287:J287" si="78">E285-E288</f>
        <v>0</v>
      </c>
      <c r="F287" s="55">
        <f t="shared" si="78"/>
        <v>0</v>
      </c>
      <c r="G287" s="55">
        <f t="shared" si="78"/>
        <v>0</v>
      </c>
      <c r="H287" s="55">
        <f t="shared" si="78"/>
        <v>0</v>
      </c>
      <c r="I287" s="55">
        <f t="shared" si="78"/>
        <v>0</v>
      </c>
      <c r="J287" s="55">
        <f t="shared" si="78"/>
        <v>0</v>
      </c>
      <c r="K287" s="56"/>
      <c r="L287" s="30"/>
      <c r="M287" s="57" t="s">
        <v>28</v>
      </c>
      <c r="N287" s="58" t="b">
        <v>0</v>
      </c>
    </row>
    <row r="288" ht="15.0" customHeight="1">
      <c r="A288" s="64"/>
      <c r="B288" s="59"/>
      <c r="C288" s="53" t="s">
        <v>30</v>
      </c>
      <c r="D288" s="54"/>
      <c r="E288" s="60"/>
      <c r="F288" s="60"/>
      <c r="G288" s="60"/>
      <c r="H288" s="60"/>
      <c r="I288" s="60"/>
      <c r="J288" s="60"/>
      <c r="K288" s="61" t="s">
        <v>30</v>
      </c>
      <c r="L288" s="62">
        <f>(E288*E281)+(F288*F281)+(G288*G281)+(H288*H281)+(I288*I281)+(J288*J281)</f>
        <v>0</v>
      </c>
      <c r="M288" s="57" t="s">
        <v>31</v>
      </c>
      <c r="N288" s="63" t="b">
        <v>0</v>
      </c>
    </row>
    <row r="289" ht="13.5" customHeight="1">
      <c r="A289" s="68"/>
      <c r="B289" s="65" t="s">
        <v>42</v>
      </c>
      <c r="C289" s="53" t="s">
        <v>34</v>
      </c>
      <c r="D289" s="54"/>
      <c r="E289" s="66"/>
      <c r="F289" s="66"/>
      <c r="G289" s="66"/>
      <c r="H289" s="66"/>
      <c r="I289" s="66"/>
      <c r="J289" s="66"/>
      <c r="K289" s="67" t="s">
        <v>35</v>
      </c>
      <c r="L289" s="62">
        <f>(E289*E281)+(F289*F281)+(G289*G281)+(H289*H281)+(I289*I281)+(J289*J281)</f>
        <v>0</v>
      </c>
      <c r="M289" s="57" t="s">
        <v>36</v>
      </c>
      <c r="N289" s="63" t="b">
        <v>0</v>
      </c>
    </row>
    <row r="290" ht="13.5" customHeight="1">
      <c r="A290" s="46" t="s">
        <v>43</v>
      </c>
      <c r="B290" s="69" t="str">
        <f>IFS(L290=0,"",B290&lt;&gt;"",B290,TRUE,NOW())</f>
        <v/>
      </c>
      <c r="C290" s="70" t="s">
        <v>37</v>
      </c>
      <c r="D290" s="33"/>
      <c r="E290" s="71"/>
      <c r="F290" s="71"/>
      <c r="G290" s="71"/>
      <c r="H290" s="71"/>
      <c r="I290" s="71"/>
      <c r="J290" s="71"/>
      <c r="K290" s="72" t="s">
        <v>38</v>
      </c>
      <c r="L290" s="73">
        <f>L289-L288</f>
        <v>0</v>
      </c>
      <c r="M290" s="74" t="s">
        <v>39</v>
      </c>
      <c r="N290" s="75" t="b">
        <v>0</v>
      </c>
    </row>
    <row r="291" ht="13.5" customHeight="1">
      <c r="A291" s="64"/>
      <c r="B291" s="52" t="s">
        <v>98</v>
      </c>
      <c r="C291" s="53" t="s">
        <v>27</v>
      </c>
      <c r="D291" s="54"/>
      <c r="E291" s="55">
        <f t="shared" ref="E291:J291" si="79">E289-E292</f>
        <v>0</v>
      </c>
      <c r="F291" s="55">
        <f t="shared" si="79"/>
        <v>0</v>
      </c>
      <c r="G291" s="55">
        <f t="shared" si="79"/>
        <v>0</v>
      </c>
      <c r="H291" s="55">
        <f t="shared" si="79"/>
        <v>0</v>
      </c>
      <c r="I291" s="55">
        <f t="shared" si="79"/>
        <v>0</v>
      </c>
      <c r="J291" s="55">
        <f t="shared" si="79"/>
        <v>0</v>
      </c>
      <c r="K291" s="56"/>
      <c r="L291" s="30"/>
      <c r="M291" s="57" t="s">
        <v>28</v>
      </c>
      <c r="N291" s="58" t="b">
        <v>0</v>
      </c>
    </row>
    <row r="292" ht="13.5" customHeight="1">
      <c r="A292" s="46" t="s">
        <v>45</v>
      </c>
      <c r="B292" s="59"/>
      <c r="C292" s="53" t="s">
        <v>30</v>
      </c>
      <c r="D292" s="54"/>
      <c r="E292" s="60"/>
      <c r="F292" s="60"/>
      <c r="G292" s="60"/>
      <c r="H292" s="60"/>
      <c r="I292" s="60"/>
      <c r="J292" s="60"/>
      <c r="K292" s="61" t="s">
        <v>30</v>
      </c>
      <c r="L292" s="62">
        <f>(E292*E281)+(F292*F281)+(G292*G281)+(H292*H281)+(I292*I281)+(J292*J281)</f>
        <v>0</v>
      </c>
      <c r="M292" s="57" t="s">
        <v>31</v>
      </c>
      <c r="N292" s="63" t="b">
        <v>0</v>
      </c>
    </row>
    <row r="293" ht="13.5" customHeight="1">
      <c r="A293" s="77"/>
      <c r="B293" s="65" t="s">
        <v>47</v>
      </c>
      <c r="C293" s="53" t="s">
        <v>34</v>
      </c>
      <c r="D293" s="54"/>
      <c r="E293" s="66"/>
      <c r="F293" s="66"/>
      <c r="G293" s="66"/>
      <c r="H293" s="66"/>
      <c r="I293" s="66"/>
      <c r="J293" s="66"/>
      <c r="K293" s="67" t="s">
        <v>35</v>
      </c>
      <c r="L293" s="62">
        <f>(E293*E281)+(F293*F281)+(G293*G281)+(H293*H281)+(I293*I281)+(J293*J281)</f>
        <v>0</v>
      </c>
      <c r="M293" s="57" t="s">
        <v>36</v>
      </c>
      <c r="N293" s="63" t="b">
        <v>0</v>
      </c>
    </row>
    <row r="294" ht="13.5" customHeight="1">
      <c r="A294" s="68"/>
      <c r="B294" s="69" t="str">
        <f>IFS(L294=0,"",B294&lt;&gt;"",B294,TRUE,NOW())</f>
        <v/>
      </c>
      <c r="C294" s="70" t="s">
        <v>37</v>
      </c>
      <c r="D294" s="33"/>
      <c r="E294" s="71"/>
      <c r="F294" s="71"/>
      <c r="G294" s="71"/>
      <c r="H294" s="71"/>
      <c r="I294" s="71"/>
      <c r="J294" s="71"/>
      <c r="K294" s="72" t="s">
        <v>38</v>
      </c>
      <c r="L294" s="73">
        <f>L293-L292</f>
        <v>0</v>
      </c>
      <c r="M294" s="74" t="s">
        <v>39</v>
      </c>
      <c r="N294" s="75" t="b">
        <v>0</v>
      </c>
    </row>
    <row r="295" ht="15.0" customHeight="1">
      <c r="A295" s="78" t="s">
        <v>48</v>
      </c>
      <c r="B295" s="52" t="s">
        <v>98</v>
      </c>
      <c r="C295" s="53" t="s">
        <v>27</v>
      </c>
      <c r="D295" s="54"/>
      <c r="E295" s="55">
        <f t="shared" ref="E295:J295" si="80">E293-E296</f>
        <v>0</v>
      </c>
      <c r="F295" s="55">
        <f t="shared" si="80"/>
        <v>0</v>
      </c>
      <c r="G295" s="55">
        <f t="shared" si="80"/>
        <v>0</v>
      </c>
      <c r="H295" s="55">
        <f t="shared" si="80"/>
        <v>0</v>
      </c>
      <c r="I295" s="55">
        <f t="shared" si="80"/>
        <v>0</v>
      </c>
      <c r="J295" s="55">
        <f t="shared" si="80"/>
        <v>0</v>
      </c>
      <c r="K295" s="56"/>
      <c r="L295" s="30"/>
      <c r="M295" s="57" t="s">
        <v>28</v>
      </c>
      <c r="N295" s="58" t="b">
        <v>0</v>
      </c>
    </row>
    <row r="296" ht="13.5" customHeight="1">
      <c r="A296" s="87"/>
      <c r="B296" s="59"/>
      <c r="C296" s="53" t="s">
        <v>30</v>
      </c>
      <c r="D296" s="54"/>
      <c r="E296" s="60"/>
      <c r="F296" s="60"/>
      <c r="G296" s="60"/>
      <c r="H296" s="60"/>
      <c r="I296" s="60"/>
      <c r="J296" s="60"/>
      <c r="K296" s="61" t="s">
        <v>30</v>
      </c>
      <c r="L296" s="62">
        <f>(E296*E281)+(F296*F281)+(G296*G281)+(H296*H281)+(I296*I281)+(J296*J281)</f>
        <v>0</v>
      </c>
      <c r="M296" s="57" t="s">
        <v>31</v>
      </c>
      <c r="N296" s="63" t="b">
        <v>0</v>
      </c>
    </row>
    <row r="297" ht="13.5" customHeight="1">
      <c r="A297" s="68"/>
      <c r="B297" s="65" t="s">
        <v>49</v>
      </c>
      <c r="C297" s="53" t="s">
        <v>34</v>
      </c>
      <c r="D297" s="54"/>
      <c r="E297" s="66"/>
      <c r="F297" s="66"/>
      <c r="G297" s="66"/>
      <c r="H297" s="66"/>
      <c r="I297" s="66"/>
      <c r="J297" s="66"/>
      <c r="K297" s="67" t="s">
        <v>35</v>
      </c>
      <c r="L297" s="62">
        <f>(E297*E281)+(F297*F281)+(G297*G281)+(H297*H281)+(I297*I281)+(J297*J281)</f>
        <v>0</v>
      </c>
      <c r="M297" s="57" t="s">
        <v>36</v>
      </c>
      <c r="N297" s="63" t="b">
        <v>0</v>
      </c>
    </row>
    <row r="298" ht="13.5" customHeight="1">
      <c r="A298" s="80"/>
      <c r="B298" s="69" t="str">
        <f>IFS(L298=0,"",B298&lt;&gt;"",B298,TRUE,NOW())</f>
        <v/>
      </c>
      <c r="C298" s="53" t="s">
        <v>37</v>
      </c>
      <c r="D298" s="54"/>
      <c r="E298" s="81"/>
      <c r="F298" s="81"/>
      <c r="G298" s="81"/>
      <c r="H298" s="82"/>
      <c r="I298" s="81"/>
      <c r="J298" s="81"/>
      <c r="K298" s="72" t="s">
        <v>38</v>
      </c>
      <c r="L298" s="73">
        <f>L297-L296</f>
        <v>0</v>
      </c>
      <c r="M298" s="74" t="s">
        <v>39</v>
      </c>
      <c r="N298" s="75" t="b">
        <v>0</v>
      </c>
    </row>
    <row r="299" ht="13.5" customHeight="1">
      <c r="A299" s="83" t="s">
        <v>99</v>
      </c>
      <c r="B299" s="42" t="s">
        <v>20</v>
      </c>
      <c r="C299" s="24"/>
      <c r="D299" s="33"/>
      <c r="E299" s="43">
        <f t="shared" ref="E299:J299" si="81">E6</f>
        <v>17</v>
      </c>
      <c r="F299" s="43">
        <f t="shared" si="81"/>
        <v>27</v>
      </c>
      <c r="G299" s="43">
        <f t="shared" si="81"/>
        <v>27</v>
      </c>
      <c r="H299" s="43">
        <f t="shared" si="81"/>
        <v>27</v>
      </c>
      <c r="I299" s="43">
        <f t="shared" si="81"/>
        <v>32</v>
      </c>
      <c r="J299" s="44">
        <f t="shared" si="81"/>
        <v>37</v>
      </c>
      <c r="K299" s="42" t="s">
        <v>21</v>
      </c>
      <c r="L299" s="25"/>
      <c r="M299" s="45" t="s">
        <v>22</v>
      </c>
      <c r="N299" s="25"/>
    </row>
    <row r="300" ht="17.25" customHeight="1">
      <c r="A300" s="46" t="s">
        <v>23</v>
      </c>
      <c r="B300" s="47" t="s">
        <v>24</v>
      </c>
      <c r="C300" s="32" t="s">
        <v>25</v>
      </c>
      <c r="D300" s="33"/>
      <c r="E300" s="48"/>
      <c r="F300" s="48"/>
      <c r="G300" s="48"/>
      <c r="H300" s="48"/>
      <c r="I300" s="48"/>
      <c r="J300" s="48"/>
      <c r="K300" s="49"/>
      <c r="L300" s="25"/>
      <c r="M300" s="50"/>
      <c r="N300" s="10"/>
    </row>
    <row r="301" ht="13.5" customHeight="1">
      <c r="A301" s="92"/>
      <c r="B301" s="52" t="s">
        <v>100</v>
      </c>
      <c r="C301" s="53" t="s">
        <v>27</v>
      </c>
      <c r="D301" s="54"/>
      <c r="E301" s="55">
        <f t="shared" ref="E301:J301" si="82">E300-E302</f>
        <v>0</v>
      </c>
      <c r="F301" s="55">
        <f t="shared" si="82"/>
        <v>0</v>
      </c>
      <c r="G301" s="55">
        <f t="shared" si="82"/>
        <v>0</v>
      </c>
      <c r="H301" s="55">
        <f t="shared" si="82"/>
        <v>0</v>
      </c>
      <c r="I301" s="55">
        <f t="shared" si="82"/>
        <v>0</v>
      </c>
      <c r="J301" s="55">
        <f t="shared" si="82"/>
        <v>0</v>
      </c>
      <c r="K301" s="56"/>
      <c r="L301" s="30"/>
      <c r="M301" s="57" t="s">
        <v>28</v>
      </c>
      <c r="N301" s="58" t="b">
        <v>0</v>
      </c>
    </row>
    <row r="302" ht="13.5" customHeight="1">
      <c r="A302" s="46" t="s">
        <v>29</v>
      </c>
      <c r="B302" s="59"/>
      <c r="C302" s="53" t="s">
        <v>30</v>
      </c>
      <c r="D302" s="54"/>
      <c r="E302" s="60"/>
      <c r="F302" s="60"/>
      <c r="G302" s="60"/>
      <c r="H302" s="60"/>
      <c r="I302" s="60"/>
      <c r="J302" s="60"/>
      <c r="K302" s="61" t="s">
        <v>30</v>
      </c>
      <c r="L302" s="62">
        <f>(E302*E299)+(F302*F299)+(G302*G299)+(H302*H299)+(I302*I299)+(J302*J299)</f>
        <v>0</v>
      </c>
      <c r="M302" s="57" t="s">
        <v>31</v>
      </c>
      <c r="N302" s="63" t="b">
        <v>0</v>
      </c>
    </row>
    <row r="303" ht="13.5" customHeight="1">
      <c r="A303" s="64"/>
      <c r="B303" s="65" t="s">
        <v>33</v>
      </c>
      <c r="C303" s="53" t="s">
        <v>34</v>
      </c>
      <c r="D303" s="54"/>
      <c r="E303" s="66"/>
      <c r="F303" s="66"/>
      <c r="G303" s="66"/>
      <c r="H303" s="66"/>
      <c r="I303" s="66"/>
      <c r="J303" s="66"/>
      <c r="K303" s="67" t="s">
        <v>35</v>
      </c>
      <c r="L303" s="62">
        <f>(E303*E299)+(F303*F299)+(G303*G299)+(H303*H299)+(I303*I299)+(J303*J299)</f>
        <v>0</v>
      </c>
      <c r="M303" s="57" t="s">
        <v>36</v>
      </c>
      <c r="N303" s="63" t="b">
        <v>0</v>
      </c>
    </row>
    <row r="304" ht="13.5" customHeight="1">
      <c r="A304" s="68"/>
      <c r="B304" s="69" t="str">
        <f>IFS(L304=0,"",B304&lt;&gt;"",B304,TRUE,NOW())</f>
        <v/>
      </c>
      <c r="C304" s="70" t="s">
        <v>37</v>
      </c>
      <c r="D304" s="33"/>
      <c r="E304" s="71"/>
      <c r="F304" s="71"/>
      <c r="G304" s="71"/>
      <c r="H304" s="71"/>
      <c r="I304" s="71"/>
      <c r="J304" s="71"/>
      <c r="K304" s="72" t="s">
        <v>38</v>
      </c>
      <c r="L304" s="73">
        <f>L303-L302</f>
        <v>0</v>
      </c>
      <c r="M304" s="74" t="s">
        <v>39</v>
      </c>
      <c r="N304" s="75" t="b">
        <v>0</v>
      </c>
    </row>
    <row r="305" ht="18.75" customHeight="1">
      <c r="A305" s="46" t="s">
        <v>40</v>
      </c>
      <c r="B305" s="52" t="s">
        <v>100</v>
      </c>
      <c r="C305" s="53" t="s">
        <v>27</v>
      </c>
      <c r="D305" s="54"/>
      <c r="E305" s="55">
        <f t="shared" ref="E305:J305" si="83">E303-E306</f>
        <v>0</v>
      </c>
      <c r="F305" s="55">
        <f t="shared" si="83"/>
        <v>0</v>
      </c>
      <c r="G305" s="55">
        <f t="shared" si="83"/>
        <v>0</v>
      </c>
      <c r="H305" s="55">
        <f t="shared" si="83"/>
        <v>0</v>
      </c>
      <c r="I305" s="55">
        <f t="shared" si="83"/>
        <v>0</v>
      </c>
      <c r="J305" s="55">
        <f t="shared" si="83"/>
        <v>0</v>
      </c>
      <c r="K305" s="56"/>
      <c r="L305" s="30"/>
      <c r="M305" s="57" t="s">
        <v>28</v>
      </c>
      <c r="N305" s="58" t="b">
        <v>0</v>
      </c>
    </row>
    <row r="306" ht="13.5" customHeight="1">
      <c r="A306" s="64"/>
      <c r="B306" s="59"/>
      <c r="C306" s="53" t="s">
        <v>30</v>
      </c>
      <c r="D306" s="54"/>
      <c r="E306" s="60"/>
      <c r="F306" s="60"/>
      <c r="G306" s="60"/>
      <c r="H306" s="60"/>
      <c r="I306" s="60"/>
      <c r="J306" s="60"/>
      <c r="K306" s="61" t="s">
        <v>30</v>
      </c>
      <c r="L306" s="62">
        <f>(E306*E299)+(F306*F299)+(G306*G299)+(H306*H299)+(I306*I299)+(J306*J299)</f>
        <v>0</v>
      </c>
      <c r="M306" s="57" t="s">
        <v>31</v>
      </c>
      <c r="N306" s="63" t="b">
        <v>0</v>
      </c>
    </row>
    <row r="307" ht="13.5" customHeight="1">
      <c r="A307" s="68"/>
      <c r="B307" s="65" t="s">
        <v>42</v>
      </c>
      <c r="C307" s="53" t="s">
        <v>34</v>
      </c>
      <c r="D307" s="54"/>
      <c r="E307" s="66"/>
      <c r="F307" s="66"/>
      <c r="G307" s="66"/>
      <c r="H307" s="66"/>
      <c r="I307" s="66"/>
      <c r="J307" s="66"/>
      <c r="K307" s="67" t="s">
        <v>35</v>
      </c>
      <c r="L307" s="62">
        <f>(E307*E299)+(F307*F299)+(G307*G299)+(H307*H299)+(I307*I299)+(J307*J299)</f>
        <v>0</v>
      </c>
      <c r="M307" s="57" t="s">
        <v>36</v>
      </c>
      <c r="N307" s="63" t="b">
        <v>0</v>
      </c>
    </row>
    <row r="308" ht="13.5" customHeight="1">
      <c r="A308" s="46" t="s">
        <v>43</v>
      </c>
      <c r="B308" s="69" t="str">
        <f>IFS(L308=0,"",B308&lt;&gt;"",B308,TRUE,NOW())</f>
        <v/>
      </c>
      <c r="C308" s="70" t="s">
        <v>37</v>
      </c>
      <c r="D308" s="33"/>
      <c r="E308" s="71"/>
      <c r="F308" s="71"/>
      <c r="G308" s="71"/>
      <c r="H308" s="71"/>
      <c r="I308" s="71"/>
      <c r="J308" s="71"/>
      <c r="K308" s="72" t="s">
        <v>38</v>
      </c>
      <c r="L308" s="73">
        <f>L307-L306</f>
        <v>0</v>
      </c>
      <c r="M308" s="74" t="s">
        <v>39</v>
      </c>
      <c r="N308" s="75" t="b">
        <v>0</v>
      </c>
    </row>
    <row r="309" ht="13.5" customHeight="1">
      <c r="A309" s="64"/>
      <c r="B309" s="52" t="s">
        <v>100</v>
      </c>
      <c r="C309" s="53" t="s">
        <v>27</v>
      </c>
      <c r="D309" s="54"/>
      <c r="E309" s="55">
        <f t="shared" ref="E309:J309" si="84">E307-E310</f>
        <v>0</v>
      </c>
      <c r="F309" s="55">
        <f t="shared" si="84"/>
        <v>0</v>
      </c>
      <c r="G309" s="55">
        <f t="shared" si="84"/>
        <v>0</v>
      </c>
      <c r="H309" s="55">
        <f t="shared" si="84"/>
        <v>0</v>
      </c>
      <c r="I309" s="55">
        <f t="shared" si="84"/>
        <v>0</v>
      </c>
      <c r="J309" s="55">
        <f t="shared" si="84"/>
        <v>0</v>
      </c>
      <c r="K309" s="56"/>
      <c r="L309" s="30"/>
      <c r="M309" s="57" t="s">
        <v>28</v>
      </c>
      <c r="N309" s="58" t="b">
        <v>0</v>
      </c>
    </row>
    <row r="310" ht="15.0" customHeight="1">
      <c r="A310" s="46" t="s">
        <v>45</v>
      </c>
      <c r="B310" s="59"/>
      <c r="C310" s="53" t="s">
        <v>30</v>
      </c>
      <c r="D310" s="54"/>
      <c r="E310" s="60"/>
      <c r="F310" s="60"/>
      <c r="G310" s="60"/>
      <c r="H310" s="60"/>
      <c r="I310" s="60"/>
      <c r="J310" s="60"/>
      <c r="K310" s="61" t="s">
        <v>30</v>
      </c>
      <c r="L310" s="62">
        <f>(E310*E299)+(F310*F299)+(G310*G299)+(H310*H299)+(I310*I299)+(J310*J299)</f>
        <v>0</v>
      </c>
      <c r="M310" s="57" t="s">
        <v>31</v>
      </c>
      <c r="N310" s="63" t="b">
        <v>0</v>
      </c>
    </row>
    <row r="311" ht="13.5" customHeight="1">
      <c r="A311" s="77"/>
      <c r="B311" s="65" t="s">
        <v>47</v>
      </c>
      <c r="C311" s="53" t="s">
        <v>34</v>
      </c>
      <c r="D311" s="54"/>
      <c r="E311" s="66"/>
      <c r="F311" s="66"/>
      <c r="G311" s="66"/>
      <c r="H311" s="66"/>
      <c r="I311" s="66"/>
      <c r="J311" s="66"/>
      <c r="K311" s="67" t="s">
        <v>35</v>
      </c>
      <c r="L311" s="62">
        <f>(E311*E299)+(F311*F299)+(G311*G299)+(H311*H299)+(I311*I299)+(J311*J299)</f>
        <v>0</v>
      </c>
      <c r="M311" s="57" t="s">
        <v>36</v>
      </c>
      <c r="N311" s="63" t="b">
        <v>0</v>
      </c>
    </row>
    <row r="312" ht="13.5" customHeight="1">
      <c r="A312" s="68"/>
      <c r="B312" s="69" t="str">
        <f>IFS(L312=0,"",B312&lt;&gt;"",B312,TRUE,NOW())</f>
        <v/>
      </c>
      <c r="C312" s="70" t="s">
        <v>37</v>
      </c>
      <c r="D312" s="33"/>
      <c r="E312" s="71"/>
      <c r="F312" s="71"/>
      <c r="G312" s="71"/>
      <c r="H312" s="71"/>
      <c r="I312" s="71"/>
      <c r="J312" s="71"/>
      <c r="K312" s="72" t="s">
        <v>38</v>
      </c>
      <c r="L312" s="73">
        <f>L311-L310</f>
        <v>0</v>
      </c>
      <c r="M312" s="74" t="s">
        <v>39</v>
      </c>
      <c r="N312" s="75" t="b">
        <v>0</v>
      </c>
    </row>
    <row r="313" ht="13.5" customHeight="1">
      <c r="A313" s="78" t="s">
        <v>48</v>
      </c>
      <c r="B313" s="52" t="s">
        <v>100</v>
      </c>
      <c r="C313" s="53" t="s">
        <v>27</v>
      </c>
      <c r="D313" s="54"/>
      <c r="E313" s="55">
        <f t="shared" ref="E313:J313" si="85">E311-E314</f>
        <v>0</v>
      </c>
      <c r="F313" s="55">
        <f t="shared" si="85"/>
        <v>0</v>
      </c>
      <c r="G313" s="55">
        <f t="shared" si="85"/>
        <v>0</v>
      </c>
      <c r="H313" s="55">
        <f t="shared" si="85"/>
        <v>0</v>
      </c>
      <c r="I313" s="55">
        <f t="shared" si="85"/>
        <v>0</v>
      </c>
      <c r="J313" s="55">
        <f t="shared" si="85"/>
        <v>0</v>
      </c>
      <c r="K313" s="56"/>
      <c r="L313" s="30"/>
      <c r="M313" s="57" t="s">
        <v>28</v>
      </c>
      <c r="N313" s="58" t="b">
        <v>0</v>
      </c>
    </row>
    <row r="314" ht="13.5" customHeight="1">
      <c r="A314" s="87"/>
      <c r="B314" s="59"/>
      <c r="C314" s="53" t="s">
        <v>30</v>
      </c>
      <c r="D314" s="54"/>
      <c r="E314" s="60"/>
      <c r="F314" s="60"/>
      <c r="G314" s="60"/>
      <c r="H314" s="60"/>
      <c r="I314" s="60"/>
      <c r="J314" s="60"/>
      <c r="K314" s="61" t="s">
        <v>30</v>
      </c>
      <c r="L314" s="62">
        <f>(E314*E299)+(F314*F299)+(G314*G299)+(H314*H299)+(I314*I299)+(J314*J299)</f>
        <v>0</v>
      </c>
      <c r="M314" s="57" t="s">
        <v>31</v>
      </c>
      <c r="N314" s="63" t="b">
        <v>0</v>
      </c>
    </row>
    <row r="315" ht="13.5" customHeight="1">
      <c r="A315" s="68"/>
      <c r="B315" s="65" t="s">
        <v>49</v>
      </c>
      <c r="C315" s="53" t="s">
        <v>34</v>
      </c>
      <c r="D315" s="54"/>
      <c r="E315" s="66"/>
      <c r="F315" s="66"/>
      <c r="G315" s="66"/>
      <c r="H315" s="66"/>
      <c r="I315" s="66"/>
      <c r="J315" s="66"/>
      <c r="K315" s="67" t="s">
        <v>35</v>
      </c>
      <c r="L315" s="62">
        <f>(E315*E299)+(F315*F299)+(G315*G299)+(H315*H299)+(I315*I299)+(J315*J299)</f>
        <v>0</v>
      </c>
      <c r="M315" s="57" t="s">
        <v>36</v>
      </c>
      <c r="N315" s="63" t="b">
        <v>0</v>
      </c>
    </row>
    <row r="316" ht="13.5" customHeight="1">
      <c r="A316" s="80"/>
      <c r="B316" s="69" t="str">
        <f>IFS(L316=0,"",B316&lt;&gt;"",B316,TRUE,NOW())</f>
        <v/>
      </c>
      <c r="C316" s="53" t="s">
        <v>37</v>
      </c>
      <c r="D316" s="54"/>
      <c r="E316" s="81"/>
      <c r="F316" s="81"/>
      <c r="G316" s="81"/>
      <c r="H316" s="82"/>
      <c r="I316" s="81"/>
      <c r="J316" s="81"/>
      <c r="K316" s="72" t="s">
        <v>38</v>
      </c>
      <c r="L316" s="73">
        <f>L315-L314</f>
        <v>0</v>
      </c>
      <c r="M316" s="74" t="s">
        <v>39</v>
      </c>
      <c r="N316" s="75" t="b">
        <v>0</v>
      </c>
    </row>
    <row r="317" ht="15.0" customHeight="1">
      <c r="A317" s="83" t="s">
        <v>101</v>
      </c>
      <c r="B317" s="42" t="s">
        <v>20</v>
      </c>
      <c r="C317" s="24"/>
      <c r="D317" s="33"/>
      <c r="E317" s="43">
        <f t="shared" ref="E317:J317" si="86">E6</f>
        <v>17</v>
      </c>
      <c r="F317" s="43">
        <f t="shared" si="86"/>
        <v>27</v>
      </c>
      <c r="G317" s="43">
        <f t="shared" si="86"/>
        <v>27</v>
      </c>
      <c r="H317" s="43">
        <f t="shared" si="86"/>
        <v>27</v>
      </c>
      <c r="I317" s="43">
        <f t="shared" si="86"/>
        <v>32</v>
      </c>
      <c r="J317" s="44">
        <f t="shared" si="86"/>
        <v>37</v>
      </c>
      <c r="K317" s="42" t="s">
        <v>21</v>
      </c>
      <c r="L317" s="25"/>
      <c r="M317" s="45" t="s">
        <v>22</v>
      </c>
      <c r="N317" s="25"/>
    </row>
    <row r="318" ht="13.5" customHeight="1">
      <c r="A318" s="46" t="s">
        <v>23</v>
      </c>
      <c r="B318" s="47" t="s">
        <v>24</v>
      </c>
      <c r="C318" s="32" t="s">
        <v>25</v>
      </c>
      <c r="D318" s="33"/>
      <c r="E318" s="48"/>
      <c r="F318" s="48"/>
      <c r="G318" s="48"/>
      <c r="H318" s="48"/>
      <c r="I318" s="48"/>
      <c r="J318" s="48"/>
      <c r="K318" s="49"/>
      <c r="L318" s="25"/>
      <c r="M318" s="50"/>
      <c r="N318" s="10"/>
    </row>
    <row r="319" ht="13.5" customHeight="1">
      <c r="A319" s="92"/>
      <c r="B319" s="52" t="s">
        <v>102</v>
      </c>
      <c r="C319" s="53" t="s">
        <v>27</v>
      </c>
      <c r="D319" s="54"/>
      <c r="E319" s="55">
        <f t="shared" ref="E319:J319" si="87">E318-E320</f>
        <v>0</v>
      </c>
      <c r="F319" s="55">
        <f t="shared" si="87"/>
        <v>0</v>
      </c>
      <c r="G319" s="55">
        <f t="shared" si="87"/>
        <v>0</v>
      </c>
      <c r="H319" s="55">
        <f t="shared" si="87"/>
        <v>0</v>
      </c>
      <c r="I319" s="55">
        <f t="shared" si="87"/>
        <v>0</v>
      </c>
      <c r="J319" s="55">
        <f t="shared" si="87"/>
        <v>0</v>
      </c>
      <c r="K319" s="56"/>
      <c r="L319" s="30"/>
      <c r="M319" s="57" t="s">
        <v>28</v>
      </c>
      <c r="N319" s="58" t="b">
        <v>0</v>
      </c>
    </row>
    <row r="320" ht="13.5" customHeight="1">
      <c r="A320" s="46" t="s">
        <v>29</v>
      </c>
      <c r="B320" s="59"/>
      <c r="C320" s="53" t="s">
        <v>30</v>
      </c>
      <c r="D320" s="54"/>
      <c r="E320" s="60"/>
      <c r="F320" s="60"/>
      <c r="G320" s="60"/>
      <c r="H320" s="60"/>
      <c r="I320" s="60"/>
      <c r="J320" s="60"/>
      <c r="K320" s="61" t="s">
        <v>30</v>
      </c>
      <c r="L320" s="62">
        <f>(E320*E317)+(F320*F317)+(G320*G317)+(H320*H317)+(I320*I317)+(J320*J317)</f>
        <v>0</v>
      </c>
      <c r="M320" s="57" t="s">
        <v>31</v>
      </c>
      <c r="N320" s="63" t="b">
        <v>0</v>
      </c>
    </row>
    <row r="321" ht="13.5" customHeight="1">
      <c r="A321" s="64"/>
      <c r="B321" s="65" t="s">
        <v>33</v>
      </c>
      <c r="C321" s="53" t="s">
        <v>34</v>
      </c>
      <c r="D321" s="54"/>
      <c r="E321" s="66"/>
      <c r="F321" s="66"/>
      <c r="G321" s="66"/>
      <c r="H321" s="66"/>
      <c r="I321" s="66"/>
      <c r="J321" s="66"/>
      <c r="K321" s="67" t="s">
        <v>35</v>
      </c>
      <c r="L321" s="62">
        <f>(E321*E317)+(F321*F317)+(G321*G317)+(H321*H317)+(I321*I317)+(J321*J317)</f>
        <v>0</v>
      </c>
      <c r="M321" s="57" t="s">
        <v>36</v>
      </c>
      <c r="N321" s="63" t="b">
        <v>0</v>
      </c>
    </row>
    <row r="322" ht="15.0" customHeight="1">
      <c r="A322" s="68"/>
      <c r="B322" s="69" t="str">
        <f>IFS(L322=0,"",B322&lt;&gt;"",B322,TRUE,NOW())</f>
        <v/>
      </c>
      <c r="C322" s="70" t="s">
        <v>37</v>
      </c>
      <c r="D322" s="33"/>
      <c r="E322" s="71"/>
      <c r="F322" s="71"/>
      <c r="G322" s="71"/>
      <c r="H322" s="71"/>
      <c r="I322" s="71"/>
      <c r="J322" s="71"/>
      <c r="K322" s="72" t="s">
        <v>38</v>
      </c>
      <c r="L322" s="73">
        <f>L321-L320</f>
        <v>0</v>
      </c>
      <c r="M322" s="74" t="s">
        <v>39</v>
      </c>
      <c r="N322" s="75" t="b">
        <v>0</v>
      </c>
    </row>
    <row r="323" ht="13.5" customHeight="1">
      <c r="A323" s="46" t="s">
        <v>40</v>
      </c>
      <c r="B323" s="52" t="s">
        <v>102</v>
      </c>
      <c r="C323" s="53" t="s">
        <v>27</v>
      </c>
      <c r="D323" s="54"/>
      <c r="E323" s="55">
        <f t="shared" ref="E323:J323" si="88">E321-E324</f>
        <v>0</v>
      </c>
      <c r="F323" s="55">
        <f t="shared" si="88"/>
        <v>0</v>
      </c>
      <c r="G323" s="55">
        <f t="shared" si="88"/>
        <v>0</v>
      </c>
      <c r="H323" s="55">
        <f t="shared" si="88"/>
        <v>0</v>
      </c>
      <c r="I323" s="55">
        <f t="shared" si="88"/>
        <v>0</v>
      </c>
      <c r="J323" s="55">
        <f t="shared" si="88"/>
        <v>0</v>
      </c>
      <c r="K323" s="56"/>
      <c r="L323" s="30"/>
      <c r="M323" s="57" t="s">
        <v>28</v>
      </c>
      <c r="N323" s="58" t="b">
        <v>0</v>
      </c>
    </row>
    <row r="324" ht="13.5" customHeight="1">
      <c r="A324" s="64"/>
      <c r="B324" s="59"/>
      <c r="C324" s="53" t="s">
        <v>30</v>
      </c>
      <c r="D324" s="54"/>
      <c r="E324" s="60"/>
      <c r="F324" s="60"/>
      <c r="G324" s="60"/>
      <c r="H324" s="60"/>
      <c r="I324" s="60"/>
      <c r="J324" s="60"/>
      <c r="K324" s="61" t="s">
        <v>30</v>
      </c>
      <c r="L324" s="62">
        <f>(E324*E317)+(F324*F317)+(G324*G317)+(H324*H317)+(I324*I317)+(J324*J317)</f>
        <v>0</v>
      </c>
      <c r="M324" s="57" t="s">
        <v>31</v>
      </c>
      <c r="N324" s="63" t="b">
        <v>0</v>
      </c>
    </row>
    <row r="325" ht="13.5" customHeight="1">
      <c r="A325" s="68"/>
      <c r="B325" s="65" t="s">
        <v>42</v>
      </c>
      <c r="C325" s="53" t="s">
        <v>34</v>
      </c>
      <c r="D325" s="54"/>
      <c r="E325" s="66"/>
      <c r="F325" s="66"/>
      <c r="G325" s="66"/>
      <c r="H325" s="66"/>
      <c r="I325" s="66"/>
      <c r="J325" s="66"/>
      <c r="K325" s="67" t="s">
        <v>35</v>
      </c>
      <c r="L325" s="62">
        <f>(E325*E317)+(F325*F317)+(G325*G317)+(H325*H317)+(I325*I317)+(J325*J317)</f>
        <v>0</v>
      </c>
      <c r="M325" s="57" t="s">
        <v>36</v>
      </c>
      <c r="N325" s="63" t="b">
        <v>0</v>
      </c>
    </row>
    <row r="326" ht="13.5" customHeight="1">
      <c r="A326" s="46" t="s">
        <v>43</v>
      </c>
      <c r="B326" s="69" t="str">
        <f>IFS(L326=0,"",B326&lt;&gt;"",B326,TRUE,NOW())</f>
        <v/>
      </c>
      <c r="C326" s="70" t="s">
        <v>37</v>
      </c>
      <c r="D326" s="33"/>
      <c r="E326" s="71"/>
      <c r="F326" s="71"/>
      <c r="G326" s="71"/>
      <c r="H326" s="71"/>
      <c r="I326" s="71"/>
      <c r="J326" s="71"/>
      <c r="K326" s="72" t="s">
        <v>38</v>
      </c>
      <c r="L326" s="73">
        <f>L325-L324</f>
        <v>0</v>
      </c>
      <c r="M326" s="74" t="s">
        <v>39</v>
      </c>
      <c r="N326" s="75" t="b">
        <v>0</v>
      </c>
    </row>
    <row r="327" ht="15.0" customHeight="1">
      <c r="A327" s="64"/>
      <c r="B327" s="52" t="s">
        <v>102</v>
      </c>
      <c r="C327" s="53" t="s">
        <v>27</v>
      </c>
      <c r="D327" s="54"/>
      <c r="E327" s="55">
        <f t="shared" ref="E327:J327" si="89">E325-E328</f>
        <v>0</v>
      </c>
      <c r="F327" s="55">
        <f t="shared" si="89"/>
        <v>0</v>
      </c>
      <c r="G327" s="55">
        <f t="shared" si="89"/>
        <v>0</v>
      </c>
      <c r="H327" s="55">
        <f t="shared" si="89"/>
        <v>0</v>
      </c>
      <c r="I327" s="55">
        <f t="shared" si="89"/>
        <v>0</v>
      </c>
      <c r="J327" s="55">
        <f t="shared" si="89"/>
        <v>0</v>
      </c>
      <c r="K327" s="56"/>
      <c r="L327" s="30"/>
      <c r="M327" s="57" t="s">
        <v>28</v>
      </c>
      <c r="N327" s="58" t="b">
        <v>0</v>
      </c>
    </row>
    <row r="328" ht="13.5" customHeight="1">
      <c r="A328" s="46" t="s">
        <v>45</v>
      </c>
      <c r="B328" s="59"/>
      <c r="C328" s="53" t="s">
        <v>30</v>
      </c>
      <c r="D328" s="54"/>
      <c r="E328" s="60"/>
      <c r="F328" s="60"/>
      <c r="G328" s="60"/>
      <c r="H328" s="60"/>
      <c r="I328" s="60"/>
      <c r="J328" s="60"/>
      <c r="K328" s="61" t="s">
        <v>30</v>
      </c>
      <c r="L328" s="62">
        <f>(E328*E317)+(F328*F317)+(G328*G317)+(H328*H317)+(I328*I317)+(J328*J317)</f>
        <v>0</v>
      </c>
      <c r="M328" s="57" t="s">
        <v>31</v>
      </c>
      <c r="N328" s="63" t="b">
        <v>0</v>
      </c>
    </row>
    <row r="329" ht="13.5" customHeight="1">
      <c r="A329" s="77"/>
      <c r="B329" s="65" t="s">
        <v>47</v>
      </c>
      <c r="C329" s="53" t="s">
        <v>34</v>
      </c>
      <c r="D329" s="54"/>
      <c r="E329" s="66"/>
      <c r="F329" s="66"/>
      <c r="G329" s="66"/>
      <c r="H329" s="66"/>
      <c r="I329" s="66"/>
      <c r="J329" s="66"/>
      <c r="K329" s="67" t="s">
        <v>35</v>
      </c>
      <c r="L329" s="62">
        <f>(E329*E317)+(F329*F317)+(G329*G317)+(H329*H317)+(I329*I317)+(J329*J317)</f>
        <v>0</v>
      </c>
      <c r="M329" s="57" t="s">
        <v>36</v>
      </c>
      <c r="N329" s="63" t="b">
        <v>0</v>
      </c>
    </row>
    <row r="330" ht="13.5" customHeight="1">
      <c r="A330" s="68"/>
      <c r="B330" s="69" t="str">
        <f>IFS(L330=0,"",B330&lt;&gt;"",B330,TRUE,NOW())</f>
        <v/>
      </c>
      <c r="C330" s="70" t="s">
        <v>37</v>
      </c>
      <c r="D330" s="33"/>
      <c r="E330" s="71"/>
      <c r="F330" s="71"/>
      <c r="G330" s="71"/>
      <c r="H330" s="71"/>
      <c r="I330" s="71"/>
      <c r="J330" s="71"/>
      <c r="K330" s="72" t="s">
        <v>38</v>
      </c>
      <c r="L330" s="73">
        <f>L329-L328</f>
        <v>0</v>
      </c>
      <c r="M330" s="74" t="s">
        <v>39</v>
      </c>
      <c r="N330" s="75" t="b">
        <v>0</v>
      </c>
    </row>
    <row r="331" ht="13.5" customHeight="1">
      <c r="A331" s="78" t="s">
        <v>48</v>
      </c>
      <c r="B331" s="52" t="s">
        <v>102</v>
      </c>
      <c r="C331" s="53" t="s">
        <v>27</v>
      </c>
      <c r="D331" s="54"/>
      <c r="E331" s="55">
        <f t="shared" ref="E331:J331" si="90">E329-E332</f>
        <v>0</v>
      </c>
      <c r="F331" s="55">
        <f t="shared" si="90"/>
        <v>0</v>
      </c>
      <c r="G331" s="55">
        <f t="shared" si="90"/>
        <v>0</v>
      </c>
      <c r="H331" s="55">
        <f t="shared" si="90"/>
        <v>0</v>
      </c>
      <c r="I331" s="55">
        <f t="shared" si="90"/>
        <v>0</v>
      </c>
      <c r="J331" s="55">
        <f t="shared" si="90"/>
        <v>0</v>
      </c>
      <c r="K331" s="56"/>
      <c r="L331" s="30"/>
      <c r="M331" s="57" t="s">
        <v>28</v>
      </c>
      <c r="N331" s="58" t="b">
        <v>0</v>
      </c>
    </row>
    <row r="332" ht="15.0" customHeight="1">
      <c r="A332" s="87"/>
      <c r="B332" s="59"/>
      <c r="C332" s="53" t="s">
        <v>30</v>
      </c>
      <c r="D332" s="54"/>
      <c r="E332" s="60"/>
      <c r="F332" s="60"/>
      <c r="G332" s="60"/>
      <c r="H332" s="60"/>
      <c r="I332" s="60"/>
      <c r="J332" s="60"/>
      <c r="K332" s="61" t="s">
        <v>30</v>
      </c>
      <c r="L332" s="62">
        <f>(E332*E317)+(F332*F317)+(G332*G317)+(H332*H317)+(I332*I317)+(J332*J317)</f>
        <v>0</v>
      </c>
      <c r="M332" s="57" t="s">
        <v>31</v>
      </c>
      <c r="N332" s="63" t="b">
        <v>0</v>
      </c>
    </row>
    <row r="333" ht="13.5" customHeight="1">
      <c r="A333" s="68"/>
      <c r="B333" s="65" t="s">
        <v>49</v>
      </c>
      <c r="C333" s="53" t="s">
        <v>34</v>
      </c>
      <c r="D333" s="54"/>
      <c r="E333" s="66"/>
      <c r="F333" s="66"/>
      <c r="G333" s="66"/>
      <c r="H333" s="66"/>
      <c r="I333" s="66"/>
      <c r="J333" s="66"/>
      <c r="K333" s="67" t="s">
        <v>35</v>
      </c>
      <c r="L333" s="62">
        <f>(E333*E317)+(F333*F317)+(G333*G317)+(H333*H317)+(I333*I317)+(J333*J317)</f>
        <v>0</v>
      </c>
      <c r="M333" s="57" t="s">
        <v>36</v>
      </c>
      <c r="N333" s="63" t="b">
        <v>0</v>
      </c>
    </row>
    <row r="334" ht="13.5" customHeight="1">
      <c r="A334" s="80"/>
      <c r="B334" s="69" t="str">
        <f>IFS(L334=0,"",B334&lt;&gt;"",B334,TRUE,NOW())</f>
        <v/>
      </c>
      <c r="C334" s="53" t="s">
        <v>37</v>
      </c>
      <c r="D334" s="54"/>
      <c r="E334" s="81"/>
      <c r="F334" s="81"/>
      <c r="G334" s="81"/>
      <c r="H334" s="82"/>
      <c r="I334" s="81"/>
      <c r="J334" s="81"/>
      <c r="K334" s="72" t="s">
        <v>38</v>
      </c>
      <c r="L334" s="73">
        <f>L333-L332</f>
        <v>0</v>
      </c>
      <c r="M334" s="74" t="s">
        <v>39</v>
      </c>
      <c r="N334" s="75" t="b">
        <v>0</v>
      </c>
    </row>
    <row r="335" ht="13.5" customHeight="1">
      <c r="A335" s="83" t="s">
        <v>103</v>
      </c>
      <c r="B335" s="42" t="s">
        <v>20</v>
      </c>
      <c r="C335" s="24"/>
      <c r="D335" s="33"/>
      <c r="E335" s="43">
        <f t="shared" ref="E335:J335" si="91">E6</f>
        <v>17</v>
      </c>
      <c r="F335" s="43">
        <f t="shared" si="91"/>
        <v>27</v>
      </c>
      <c r="G335" s="43">
        <f t="shared" si="91"/>
        <v>27</v>
      </c>
      <c r="H335" s="43">
        <f t="shared" si="91"/>
        <v>27</v>
      </c>
      <c r="I335" s="43">
        <f t="shared" si="91"/>
        <v>32</v>
      </c>
      <c r="J335" s="44">
        <f t="shared" si="91"/>
        <v>37</v>
      </c>
      <c r="K335" s="42" t="s">
        <v>21</v>
      </c>
      <c r="L335" s="25"/>
      <c r="M335" s="45" t="s">
        <v>22</v>
      </c>
      <c r="N335" s="25"/>
    </row>
    <row r="336" ht="13.5" customHeight="1">
      <c r="A336" s="46" t="s">
        <v>23</v>
      </c>
      <c r="B336" s="47" t="s">
        <v>24</v>
      </c>
      <c r="C336" s="32" t="s">
        <v>25</v>
      </c>
      <c r="D336" s="33"/>
      <c r="E336" s="48"/>
      <c r="F336" s="48"/>
      <c r="G336" s="48"/>
      <c r="H336" s="48"/>
      <c r="I336" s="48"/>
      <c r="J336" s="48"/>
      <c r="K336" s="49"/>
      <c r="L336" s="25"/>
      <c r="M336" s="50"/>
      <c r="N336" s="10"/>
    </row>
    <row r="337" ht="13.5" customHeight="1">
      <c r="A337" s="92"/>
      <c r="B337" s="52" t="s">
        <v>104</v>
      </c>
      <c r="C337" s="53" t="s">
        <v>27</v>
      </c>
      <c r="D337" s="54"/>
      <c r="E337" s="55">
        <f t="shared" ref="E337:J337" si="92">E336-E338</f>
        <v>0</v>
      </c>
      <c r="F337" s="55">
        <f t="shared" si="92"/>
        <v>0</v>
      </c>
      <c r="G337" s="55">
        <f t="shared" si="92"/>
        <v>0</v>
      </c>
      <c r="H337" s="55">
        <f t="shared" si="92"/>
        <v>0</v>
      </c>
      <c r="I337" s="55">
        <f t="shared" si="92"/>
        <v>0</v>
      </c>
      <c r="J337" s="55">
        <f t="shared" si="92"/>
        <v>0</v>
      </c>
      <c r="K337" s="56"/>
      <c r="L337" s="30"/>
      <c r="M337" s="57" t="s">
        <v>28</v>
      </c>
      <c r="N337" s="58" t="b">
        <v>0</v>
      </c>
    </row>
    <row r="338" ht="13.5" customHeight="1">
      <c r="A338" s="46" t="s">
        <v>29</v>
      </c>
      <c r="B338" s="59"/>
      <c r="C338" s="53" t="s">
        <v>30</v>
      </c>
      <c r="D338" s="54"/>
      <c r="E338" s="60"/>
      <c r="F338" s="60"/>
      <c r="G338" s="60"/>
      <c r="H338" s="60"/>
      <c r="I338" s="60"/>
      <c r="J338" s="60"/>
      <c r="K338" s="61" t="s">
        <v>30</v>
      </c>
      <c r="L338" s="62">
        <f>(E338*E335)+(F338*F335)+(G338*G335)+(H338*H335)+(I338*I335)+(J338*J335)</f>
        <v>0</v>
      </c>
      <c r="M338" s="57" t="s">
        <v>31</v>
      </c>
      <c r="N338" s="63" t="b">
        <v>0</v>
      </c>
    </row>
    <row r="339" ht="15.0" customHeight="1">
      <c r="A339" s="64"/>
      <c r="B339" s="65" t="s">
        <v>33</v>
      </c>
      <c r="C339" s="53" t="s">
        <v>34</v>
      </c>
      <c r="D339" s="54"/>
      <c r="E339" s="66"/>
      <c r="F339" s="66"/>
      <c r="G339" s="66"/>
      <c r="H339" s="66"/>
      <c r="I339" s="66"/>
      <c r="J339" s="66"/>
      <c r="K339" s="67" t="s">
        <v>35</v>
      </c>
      <c r="L339" s="62">
        <f>(E339*E335)+(F339*F335)+(G339*G335)+(H339*H335)+(I339*I335)+(J339*J335)</f>
        <v>0</v>
      </c>
      <c r="M339" s="57" t="s">
        <v>36</v>
      </c>
      <c r="N339" s="63" t="b">
        <v>0</v>
      </c>
    </row>
    <row r="340" ht="13.5" customHeight="1">
      <c r="A340" s="68"/>
      <c r="B340" s="69" t="str">
        <f>IFS(L340=0,"",B340&lt;&gt;"",B340,TRUE,NOW())</f>
        <v/>
      </c>
      <c r="C340" s="70" t="s">
        <v>37</v>
      </c>
      <c r="D340" s="33"/>
      <c r="E340" s="71"/>
      <c r="F340" s="71"/>
      <c r="G340" s="71"/>
      <c r="H340" s="71"/>
      <c r="I340" s="71"/>
      <c r="J340" s="71"/>
      <c r="K340" s="72" t="s">
        <v>38</v>
      </c>
      <c r="L340" s="73">
        <f>L339-L338</f>
        <v>0</v>
      </c>
      <c r="M340" s="74" t="s">
        <v>39</v>
      </c>
      <c r="N340" s="75" t="b">
        <v>0</v>
      </c>
    </row>
    <row r="341" ht="13.5" customHeight="1">
      <c r="A341" s="46" t="s">
        <v>40</v>
      </c>
      <c r="B341" s="52" t="s">
        <v>104</v>
      </c>
      <c r="C341" s="53" t="s">
        <v>27</v>
      </c>
      <c r="D341" s="54"/>
      <c r="E341" s="55">
        <f t="shared" ref="E341:J341" si="93">E339-E342</f>
        <v>0</v>
      </c>
      <c r="F341" s="55">
        <f t="shared" si="93"/>
        <v>0</v>
      </c>
      <c r="G341" s="55">
        <f t="shared" si="93"/>
        <v>0</v>
      </c>
      <c r="H341" s="55">
        <f t="shared" si="93"/>
        <v>0</v>
      </c>
      <c r="I341" s="55">
        <f t="shared" si="93"/>
        <v>0</v>
      </c>
      <c r="J341" s="55">
        <f t="shared" si="93"/>
        <v>0</v>
      </c>
      <c r="K341" s="56"/>
      <c r="L341" s="30"/>
      <c r="M341" s="57" t="s">
        <v>28</v>
      </c>
      <c r="N341" s="58" t="b">
        <v>0</v>
      </c>
    </row>
    <row r="342" ht="13.5" customHeight="1">
      <c r="A342" s="64"/>
      <c r="B342" s="59"/>
      <c r="C342" s="53" t="s">
        <v>30</v>
      </c>
      <c r="D342" s="54"/>
      <c r="E342" s="60"/>
      <c r="F342" s="60"/>
      <c r="G342" s="60"/>
      <c r="H342" s="60"/>
      <c r="I342" s="60"/>
      <c r="J342" s="60"/>
      <c r="K342" s="61" t="s">
        <v>30</v>
      </c>
      <c r="L342" s="62">
        <f>(E342*E335)+(F342*F335)+(G342*G335)+(H342*H335)+(I342*I335)+(J342*J335)</f>
        <v>0</v>
      </c>
      <c r="M342" s="57" t="s">
        <v>31</v>
      </c>
      <c r="N342" s="63" t="b">
        <v>0</v>
      </c>
    </row>
    <row r="343" ht="13.5" customHeight="1">
      <c r="A343" s="68"/>
      <c r="B343" s="65" t="s">
        <v>42</v>
      </c>
      <c r="C343" s="53" t="s">
        <v>34</v>
      </c>
      <c r="D343" s="54"/>
      <c r="E343" s="66"/>
      <c r="F343" s="66"/>
      <c r="G343" s="66"/>
      <c r="H343" s="66"/>
      <c r="I343" s="66"/>
      <c r="J343" s="66"/>
      <c r="K343" s="67" t="s">
        <v>35</v>
      </c>
      <c r="L343" s="62">
        <f>(E343*E335)+(F343*F335)+(G343*G335)+(H343*H335)+(I343*I335)+(J343*J335)</f>
        <v>0</v>
      </c>
      <c r="M343" s="57" t="s">
        <v>36</v>
      </c>
      <c r="N343" s="63" t="b">
        <v>0</v>
      </c>
    </row>
    <row r="344" ht="15.0" customHeight="1">
      <c r="A344" s="46" t="s">
        <v>43</v>
      </c>
      <c r="B344" s="69" t="str">
        <f>IFS(L344=0,"",B344&lt;&gt;"",B344,TRUE,NOW())</f>
        <v/>
      </c>
      <c r="C344" s="70" t="s">
        <v>37</v>
      </c>
      <c r="D344" s="33"/>
      <c r="E344" s="71"/>
      <c r="F344" s="71"/>
      <c r="G344" s="71"/>
      <c r="H344" s="71"/>
      <c r="I344" s="71"/>
      <c r="J344" s="71"/>
      <c r="K344" s="72" t="s">
        <v>38</v>
      </c>
      <c r="L344" s="73">
        <f>L343-L342</f>
        <v>0</v>
      </c>
      <c r="M344" s="74" t="s">
        <v>39</v>
      </c>
      <c r="N344" s="75" t="b">
        <v>0</v>
      </c>
    </row>
    <row r="345" ht="13.5" customHeight="1">
      <c r="A345" s="64"/>
      <c r="B345" s="52" t="s">
        <v>104</v>
      </c>
      <c r="C345" s="53" t="s">
        <v>27</v>
      </c>
      <c r="D345" s="54"/>
      <c r="E345" s="55">
        <f t="shared" ref="E345:J345" si="94">E343-E346</f>
        <v>0</v>
      </c>
      <c r="F345" s="55">
        <f t="shared" si="94"/>
        <v>0</v>
      </c>
      <c r="G345" s="55">
        <f t="shared" si="94"/>
        <v>0</v>
      </c>
      <c r="H345" s="55">
        <f t="shared" si="94"/>
        <v>0</v>
      </c>
      <c r="I345" s="55">
        <f t="shared" si="94"/>
        <v>0</v>
      </c>
      <c r="J345" s="55">
        <f t="shared" si="94"/>
        <v>0</v>
      </c>
      <c r="K345" s="56"/>
      <c r="L345" s="30"/>
      <c r="M345" s="57" t="s">
        <v>28</v>
      </c>
      <c r="N345" s="58" t="b">
        <v>0</v>
      </c>
    </row>
    <row r="346" ht="13.5" customHeight="1">
      <c r="A346" s="46" t="s">
        <v>45</v>
      </c>
      <c r="B346" s="59"/>
      <c r="C346" s="53" t="s">
        <v>30</v>
      </c>
      <c r="D346" s="54"/>
      <c r="E346" s="60"/>
      <c r="F346" s="60"/>
      <c r="G346" s="60"/>
      <c r="H346" s="60"/>
      <c r="I346" s="60"/>
      <c r="J346" s="60"/>
      <c r="K346" s="61" t="s">
        <v>30</v>
      </c>
      <c r="L346" s="62">
        <f>(E346*E335)+(F346*F335)+(G346*G335)+(H346*H335)+(I346*I335)+(J346*J335)</f>
        <v>0</v>
      </c>
      <c r="M346" s="57" t="s">
        <v>31</v>
      </c>
      <c r="N346" s="63" t="b">
        <v>0</v>
      </c>
    </row>
    <row r="347" ht="13.5" customHeight="1">
      <c r="A347" s="77"/>
      <c r="B347" s="65" t="s">
        <v>47</v>
      </c>
      <c r="C347" s="53" t="s">
        <v>34</v>
      </c>
      <c r="D347" s="54"/>
      <c r="E347" s="66"/>
      <c r="F347" s="66"/>
      <c r="G347" s="66"/>
      <c r="H347" s="66"/>
      <c r="I347" s="66"/>
      <c r="J347" s="66"/>
      <c r="K347" s="67" t="s">
        <v>35</v>
      </c>
      <c r="L347" s="62">
        <f>(E347*E335)+(F347*F335)+(G347*G335)+(H347*H335)+(I347*I335)+(J347*J335)</f>
        <v>0</v>
      </c>
      <c r="M347" s="57" t="s">
        <v>36</v>
      </c>
      <c r="N347" s="63" t="b">
        <v>0</v>
      </c>
    </row>
    <row r="348" ht="13.5" customHeight="1">
      <c r="A348" s="68"/>
      <c r="B348" s="69" t="str">
        <f>IFS(L348=0,"",B348&lt;&gt;"",B348,TRUE,NOW())</f>
        <v/>
      </c>
      <c r="C348" s="70" t="s">
        <v>37</v>
      </c>
      <c r="D348" s="33"/>
      <c r="E348" s="71"/>
      <c r="F348" s="71"/>
      <c r="G348" s="71"/>
      <c r="H348" s="71"/>
      <c r="I348" s="71"/>
      <c r="J348" s="71"/>
      <c r="K348" s="72" t="s">
        <v>38</v>
      </c>
      <c r="L348" s="73">
        <f>L347-L346</f>
        <v>0</v>
      </c>
      <c r="M348" s="74" t="s">
        <v>39</v>
      </c>
      <c r="N348" s="75" t="b">
        <v>0</v>
      </c>
    </row>
    <row r="349" ht="15.0" customHeight="1">
      <c r="A349" s="78" t="s">
        <v>48</v>
      </c>
      <c r="B349" s="52" t="s">
        <v>104</v>
      </c>
      <c r="C349" s="53" t="s">
        <v>27</v>
      </c>
      <c r="D349" s="54"/>
      <c r="E349" s="55">
        <f t="shared" ref="E349:J349" si="95">E347-E350</f>
        <v>0</v>
      </c>
      <c r="F349" s="55">
        <f t="shared" si="95"/>
        <v>0</v>
      </c>
      <c r="G349" s="55">
        <f t="shared" si="95"/>
        <v>0</v>
      </c>
      <c r="H349" s="55">
        <f t="shared" si="95"/>
        <v>0</v>
      </c>
      <c r="I349" s="55">
        <f t="shared" si="95"/>
        <v>0</v>
      </c>
      <c r="J349" s="55">
        <f t="shared" si="95"/>
        <v>0</v>
      </c>
      <c r="K349" s="56"/>
      <c r="L349" s="30"/>
      <c r="M349" s="57" t="s">
        <v>28</v>
      </c>
      <c r="N349" s="58" t="b">
        <v>0</v>
      </c>
    </row>
    <row r="350" ht="13.5" customHeight="1">
      <c r="A350" s="87"/>
      <c r="B350" s="59"/>
      <c r="C350" s="53" t="s">
        <v>30</v>
      </c>
      <c r="D350" s="54"/>
      <c r="E350" s="60"/>
      <c r="F350" s="60"/>
      <c r="G350" s="60"/>
      <c r="H350" s="60"/>
      <c r="I350" s="60"/>
      <c r="J350" s="60"/>
      <c r="K350" s="61" t="s">
        <v>30</v>
      </c>
      <c r="L350" s="62">
        <f>(E350*E335)+(F350*F335)+(G350*G335)+(H350*H335)+(I350*I335)+(J350*J335)</f>
        <v>0</v>
      </c>
      <c r="M350" s="57" t="s">
        <v>31</v>
      </c>
      <c r="N350" s="63" t="b">
        <v>0</v>
      </c>
    </row>
    <row r="351" ht="13.5" customHeight="1">
      <c r="A351" s="68"/>
      <c r="B351" s="65" t="s">
        <v>49</v>
      </c>
      <c r="C351" s="53" t="s">
        <v>34</v>
      </c>
      <c r="D351" s="54"/>
      <c r="E351" s="66"/>
      <c r="F351" s="66"/>
      <c r="G351" s="66"/>
      <c r="H351" s="66"/>
      <c r="I351" s="66"/>
      <c r="J351" s="66"/>
      <c r="K351" s="67" t="s">
        <v>35</v>
      </c>
      <c r="L351" s="62">
        <f>(E351*E335)+(F351*F335)+(G351*G335)+(H351*H335)+(I351*I335)+(J351*J335)</f>
        <v>0</v>
      </c>
      <c r="M351" s="57" t="s">
        <v>36</v>
      </c>
      <c r="N351" s="63" t="b">
        <v>0</v>
      </c>
    </row>
    <row r="352" ht="13.5" customHeight="1">
      <c r="A352" s="80"/>
      <c r="B352" s="69" t="str">
        <f>IFS(L352=0,"",B352&lt;&gt;"",B352,TRUE,NOW())</f>
        <v/>
      </c>
      <c r="C352" s="86" t="s">
        <v>37</v>
      </c>
      <c r="D352" s="59"/>
      <c r="E352" s="81"/>
      <c r="F352" s="81"/>
      <c r="G352" s="81"/>
      <c r="H352" s="82"/>
      <c r="I352" s="81"/>
      <c r="J352" s="81"/>
      <c r="K352" s="72" t="s">
        <v>38</v>
      </c>
      <c r="L352" s="73">
        <f>L351-L350</f>
        <v>0</v>
      </c>
      <c r="M352" s="74" t="s">
        <v>39</v>
      </c>
      <c r="N352" s="75" t="b">
        <v>0</v>
      </c>
    </row>
    <row r="353" ht="13.5" customHeight="1">
      <c r="A353" s="83" t="s">
        <v>105</v>
      </c>
      <c r="B353" s="42" t="s">
        <v>20</v>
      </c>
      <c r="C353" s="24"/>
      <c r="D353" s="33"/>
      <c r="E353" s="43">
        <f t="shared" ref="E353:J353" si="96">E6</f>
        <v>17</v>
      </c>
      <c r="F353" s="43">
        <f t="shared" si="96"/>
        <v>27</v>
      </c>
      <c r="G353" s="43">
        <f t="shared" si="96"/>
        <v>27</v>
      </c>
      <c r="H353" s="43">
        <f t="shared" si="96"/>
        <v>27</v>
      </c>
      <c r="I353" s="43">
        <f t="shared" si="96"/>
        <v>32</v>
      </c>
      <c r="J353" s="44">
        <f t="shared" si="96"/>
        <v>37</v>
      </c>
      <c r="K353" s="42" t="s">
        <v>21</v>
      </c>
      <c r="L353" s="25"/>
      <c r="M353" s="45" t="s">
        <v>22</v>
      </c>
      <c r="N353" s="25"/>
    </row>
    <row r="354" ht="18.0" customHeight="1">
      <c r="A354" s="46" t="s">
        <v>23</v>
      </c>
      <c r="B354" s="47" t="s">
        <v>24</v>
      </c>
      <c r="C354" s="32" t="s">
        <v>25</v>
      </c>
      <c r="D354" s="33"/>
      <c r="E354" s="48"/>
      <c r="F354" s="48"/>
      <c r="G354" s="48"/>
      <c r="H354" s="48"/>
      <c r="I354" s="48"/>
      <c r="J354" s="48"/>
      <c r="K354" s="49"/>
      <c r="L354" s="25"/>
      <c r="M354" s="50"/>
      <c r="N354" s="10"/>
    </row>
    <row r="355" ht="13.5" customHeight="1">
      <c r="A355" s="92"/>
      <c r="B355" s="52" t="s">
        <v>106</v>
      </c>
      <c r="C355" s="53" t="s">
        <v>27</v>
      </c>
      <c r="D355" s="54"/>
      <c r="E355" s="55">
        <f t="shared" ref="E355:J355" si="97">E354-E356</f>
        <v>0</v>
      </c>
      <c r="F355" s="55">
        <f t="shared" si="97"/>
        <v>0</v>
      </c>
      <c r="G355" s="55">
        <f t="shared" si="97"/>
        <v>0</v>
      </c>
      <c r="H355" s="55">
        <f t="shared" si="97"/>
        <v>0</v>
      </c>
      <c r="I355" s="55">
        <f t="shared" si="97"/>
        <v>0</v>
      </c>
      <c r="J355" s="55">
        <f t="shared" si="97"/>
        <v>0</v>
      </c>
      <c r="K355" s="56"/>
      <c r="L355" s="30"/>
      <c r="M355" s="57" t="s">
        <v>28</v>
      </c>
      <c r="N355" s="58" t="b">
        <v>0</v>
      </c>
    </row>
    <row r="356" ht="13.5" customHeight="1">
      <c r="A356" s="46" t="s">
        <v>29</v>
      </c>
      <c r="B356" s="59"/>
      <c r="C356" s="53" t="s">
        <v>30</v>
      </c>
      <c r="D356" s="54"/>
      <c r="E356" s="60"/>
      <c r="F356" s="60"/>
      <c r="G356" s="60"/>
      <c r="H356" s="60"/>
      <c r="I356" s="60"/>
      <c r="J356" s="60"/>
      <c r="K356" s="61" t="s">
        <v>30</v>
      </c>
      <c r="L356" s="62">
        <f>(E356*E353)+(F356*F353)+(G356*G353)+(H356*H353)+(I356*I353)+(J356*J353)</f>
        <v>0</v>
      </c>
      <c r="M356" s="57" t="s">
        <v>31</v>
      </c>
      <c r="N356" s="63" t="b">
        <v>0</v>
      </c>
    </row>
    <row r="357" ht="13.5" customHeight="1">
      <c r="A357" s="64"/>
      <c r="B357" s="65" t="s">
        <v>33</v>
      </c>
      <c r="C357" s="53" t="s">
        <v>34</v>
      </c>
      <c r="D357" s="54"/>
      <c r="E357" s="66"/>
      <c r="F357" s="66"/>
      <c r="G357" s="66"/>
      <c r="H357" s="66"/>
      <c r="I357" s="66"/>
      <c r="J357" s="66"/>
      <c r="K357" s="67" t="s">
        <v>35</v>
      </c>
      <c r="L357" s="62">
        <f>(E357*E353)+(F357*F353)+(G357*G353)+(H357*H353)+(I357*I353)+(J357*J353)</f>
        <v>0</v>
      </c>
      <c r="M357" s="57" t="s">
        <v>36</v>
      </c>
      <c r="N357" s="63" t="b">
        <v>0</v>
      </c>
    </row>
    <row r="358" ht="13.5" customHeight="1">
      <c r="A358" s="68"/>
      <c r="B358" s="69" t="str">
        <f>IFS(L358=0,"",B358&lt;&gt;"",B358,TRUE,NOW())</f>
        <v/>
      </c>
      <c r="C358" s="70" t="s">
        <v>37</v>
      </c>
      <c r="D358" s="33"/>
      <c r="E358" s="71"/>
      <c r="F358" s="71"/>
      <c r="G358" s="71"/>
      <c r="H358" s="71"/>
      <c r="I358" s="71"/>
      <c r="J358" s="71"/>
      <c r="K358" s="72" t="s">
        <v>38</v>
      </c>
      <c r="L358" s="73">
        <f>L357-L356</f>
        <v>0</v>
      </c>
      <c r="M358" s="74" t="s">
        <v>39</v>
      </c>
      <c r="N358" s="75" t="b">
        <v>0</v>
      </c>
    </row>
    <row r="359" ht="13.5" customHeight="1">
      <c r="A359" s="46" t="s">
        <v>40</v>
      </c>
      <c r="B359" s="52" t="s">
        <v>106</v>
      </c>
      <c r="C359" s="53" t="s">
        <v>27</v>
      </c>
      <c r="D359" s="54"/>
      <c r="E359" s="55">
        <f t="shared" ref="E359:J359" si="98">E357-E360</f>
        <v>0</v>
      </c>
      <c r="F359" s="55">
        <f t="shared" si="98"/>
        <v>0</v>
      </c>
      <c r="G359" s="55">
        <f t="shared" si="98"/>
        <v>0</v>
      </c>
      <c r="H359" s="55">
        <f t="shared" si="98"/>
        <v>0</v>
      </c>
      <c r="I359" s="55">
        <f t="shared" si="98"/>
        <v>0</v>
      </c>
      <c r="J359" s="55">
        <f t="shared" si="98"/>
        <v>0</v>
      </c>
      <c r="K359" s="56"/>
      <c r="L359" s="30"/>
      <c r="M359" s="57" t="s">
        <v>28</v>
      </c>
      <c r="N359" s="58" t="b">
        <v>0</v>
      </c>
    </row>
    <row r="360" ht="13.5" customHeight="1">
      <c r="A360" s="64"/>
      <c r="B360" s="59"/>
      <c r="C360" s="53" t="s">
        <v>30</v>
      </c>
      <c r="D360" s="54"/>
      <c r="E360" s="60"/>
      <c r="F360" s="60"/>
      <c r="G360" s="60"/>
      <c r="H360" s="60"/>
      <c r="I360" s="60"/>
      <c r="J360" s="60"/>
      <c r="K360" s="61" t="s">
        <v>30</v>
      </c>
      <c r="L360" s="62">
        <f>(E360*E353)+(F360*F353)+(G360*G353)+(H360*H353)+(I360*I353)+(J360*J353)</f>
        <v>0</v>
      </c>
      <c r="M360" s="57" t="s">
        <v>31</v>
      </c>
      <c r="N360" s="63" t="b">
        <v>0</v>
      </c>
    </row>
    <row r="361" ht="15.0" customHeight="1">
      <c r="A361" s="68"/>
      <c r="B361" s="65" t="s">
        <v>42</v>
      </c>
      <c r="C361" s="53" t="s">
        <v>34</v>
      </c>
      <c r="D361" s="54"/>
      <c r="E361" s="66"/>
      <c r="F361" s="66"/>
      <c r="G361" s="66"/>
      <c r="H361" s="66"/>
      <c r="I361" s="66"/>
      <c r="J361" s="66"/>
      <c r="K361" s="67" t="s">
        <v>35</v>
      </c>
      <c r="L361" s="62">
        <f>(E361*E353)+(F361*F353)+(G361*G353)+(H361*H353)+(I361*I353)+(J361*J353)</f>
        <v>0</v>
      </c>
      <c r="M361" s="57" t="s">
        <v>36</v>
      </c>
      <c r="N361" s="63" t="b">
        <v>0</v>
      </c>
    </row>
    <row r="362" ht="13.5" customHeight="1">
      <c r="A362" s="46" t="s">
        <v>43</v>
      </c>
      <c r="B362" s="69" t="str">
        <f>IFS(L362=0,"",B362&lt;&gt;"",B362,TRUE,NOW())</f>
        <v/>
      </c>
      <c r="C362" s="70" t="s">
        <v>37</v>
      </c>
      <c r="D362" s="33"/>
      <c r="E362" s="71"/>
      <c r="F362" s="71"/>
      <c r="G362" s="71"/>
      <c r="H362" s="71"/>
      <c r="I362" s="71"/>
      <c r="J362" s="71"/>
      <c r="K362" s="72" t="s">
        <v>38</v>
      </c>
      <c r="L362" s="73">
        <f>L361-L360</f>
        <v>0</v>
      </c>
      <c r="M362" s="74" t="s">
        <v>39</v>
      </c>
      <c r="N362" s="75" t="b">
        <v>0</v>
      </c>
    </row>
    <row r="363" ht="13.5" customHeight="1">
      <c r="A363" s="64"/>
      <c r="B363" s="52" t="s">
        <v>106</v>
      </c>
      <c r="C363" s="53" t="s">
        <v>27</v>
      </c>
      <c r="D363" s="54"/>
      <c r="E363" s="55">
        <f t="shared" ref="E363:J363" si="99">E361-E364</f>
        <v>0</v>
      </c>
      <c r="F363" s="55">
        <f t="shared" si="99"/>
        <v>0</v>
      </c>
      <c r="G363" s="55">
        <f t="shared" si="99"/>
        <v>0</v>
      </c>
      <c r="H363" s="55">
        <f t="shared" si="99"/>
        <v>0</v>
      </c>
      <c r="I363" s="55">
        <f t="shared" si="99"/>
        <v>0</v>
      </c>
      <c r="J363" s="55">
        <f t="shared" si="99"/>
        <v>0</v>
      </c>
      <c r="K363" s="56"/>
      <c r="L363" s="30"/>
      <c r="M363" s="57" t="s">
        <v>28</v>
      </c>
      <c r="N363" s="58" t="b">
        <v>0</v>
      </c>
    </row>
    <row r="364" ht="13.5" customHeight="1">
      <c r="A364" s="46" t="s">
        <v>45</v>
      </c>
      <c r="B364" s="59"/>
      <c r="C364" s="53" t="s">
        <v>30</v>
      </c>
      <c r="D364" s="54"/>
      <c r="E364" s="60"/>
      <c r="F364" s="60"/>
      <c r="G364" s="60"/>
      <c r="H364" s="60"/>
      <c r="I364" s="60"/>
      <c r="J364" s="60"/>
      <c r="K364" s="61" t="s">
        <v>30</v>
      </c>
      <c r="L364" s="62">
        <f>(E364*E353)+(F364*F353)+(G364*G353)+(H364*H353)+(I364*I353)+(J364*J353)</f>
        <v>0</v>
      </c>
      <c r="M364" s="57" t="s">
        <v>31</v>
      </c>
      <c r="N364" s="63" t="b">
        <v>0</v>
      </c>
    </row>
    <row r="365" ht="13.5" customHeight="1">
      <c r="A365" s="77"/>
      <c r="B365" s="65" t="s">
        <v>47</v>
      </c>
      <c r="C365" s="53" t="s">
        <v>34</v>
      </c>
      <c r="D365" s="54"/>
      <c r="E365" s="66"/>
      <c r="F365" s="66"/>
      <c r="G365" s="66"/>
      <c r="H365" s="66"/>
      <c r="I365" s="66"/>
      <c r="J365" s="66"/>
      <c r="K365" s="67" t="s">
        <v>35</v>
      </c>
      <c r="L365" s="62">
        <f>(E365*E353)+(F365*F353)+(G365*G353)+(H365*H353)+(I365*I353)+(J365*J353)</f>
        <v>0</v>
      </c>
      <c r="M365" s="57" t="s">
        <v>36</v>
      </c>
      <c r="N365" s="63" t="b">
        <v>0</v>
      </c>
    </row>
    <row r="366" ht="15.0" customHeight="1">
      <c r="A366" s="68"/>
      <c r="B366" s="69" t="str">
        <f>IFS(L366=0,"",B366&lt;&gt;"",B366,TRUE,NOW())</f>
        <v/>
      </c>
      <c r="C366" s="70" t="s">
        <v>37</v>
      </c>
      <c r="D366" s="33"/>
      <c r="E366" s="71"/>
      <c r="F366" s="71"/>
      <c r="G366" s="71"/>
      <c r="H366" s="71"/>
      <c r="I366" s="71"/>
      <c r="J366" s="71"/>
      <c r="K366" s="72" t="s">
        <v>38</v>
      </c>
      <c r="L366" s="73">
        <f>L365-L364</f>
        <v>0</v>
      </c>
      <c r="M366" s="74" t="s">
        <v>39</v>
      </c>
      <c r="N366" s="75" t="b">
        <v>0</v>
      </c>
    </row>
    <row r="367" ht="13.5" customHeight="1">
      <c r="A367" s="78" t="s">
        <v>48</v>
      </c>
      <c r="B367" s="52" t="s">
        <v>106</v>
      </c>
      <c r="C367" s="53" t="s">
        <v>27</v>
      </c>
      <c r="D367" s="54"/>
      <c r="E367" s="55">
        <f t="shared" ref="E367:J367" si="100">E365-E368</f>
        <v>0</v>
      </c>
      <c r="F367" s="55">
        <f t="shared" si="100"/>
        <v>0</v>
      </c>
      <c r="G367" s="55">
        <f t="shared" si="100"/>
        <v>0</v>
      </c>
      <c r="H367" s="55">
        <f t="shared" si="100"/>
        <v>0</v>
      </c>
      <c r="I367" s="55">
        <f t="shared" si="100"/>
        <v>0</v>
      </c>
      <c r="J367" s="55">
        <f t="shared" si="100"/>
        <v>0</v>
      </c>
      <c r="K367" s="56"/>
      <c r="L367" s="30"/>
      <c r="M367" s="57" t="s">
        <v>28</v>
      </c>
      <c r="N367" s="58" t="b">
        <v>0</v>
      </c>
    </row>
    <row r="368" ht="13.5" customHeight="1">
      <c r="A368" s="87"/>
      <c r="B368" s="59"/>
      <c r="C368" s="53" t="s">
        <v>30</v>
      </c>
      <c r="D368" s="54"/>
      <c r="E368" s="60"/>
      <c r="F368" s="60"/>
      <c r="G368" s="60"/>
      <c r="H368" s="60"/>
      <c r="I368" s="60"/>
      <c r="J368" s="60"/>
      <c r="K368" s="61" t="s">
        <v>30</v>
      </c>
      <c r="L368" s="62">
        <f>(E368*E353)+(F368*F353)+(G368*G353)+(H368*H353)+(I368*I353)+(J368*J353)</f>
        <v>0</v>
      </c>
      <c r="M368" s="57" t="s">
        <v>31</v>
      </c>
      <c r="N368" s="63" t="b">
        <v>0</v>
      </c>
    </row>
    <row r="369" ht="13.5" customHeight="1">
      <c r="A369" s="68"/>
      <c r="B369" s="65" t="s">
        <v>49</v>
      </c>
      <c r="C369" s="53" t="s">
        <v>34</v>
      </c>
      <c r="D369" s="54"/>
      <c r="E369" s="66"/>
      <c r="F369" s="66"/>
      <c r="G369" s="66"/>
      <c r="H369" s="66"/>
      <c r="I369" s="66"/>
      <c r="J369" s="66"/>
      <c r="K369" s="67" t="s">
        <v>35</v>
      </c>
      <c r="L369" s="62">
        <f>(E369*E353)+(F369*F353)+(G369*G353)+(H369*H353)+(I369*I353)+(J369*J353)</f>
        <v>0</v>
      </c>
      <c r="M369" s="57" t="s">
        <v>36</v>
      </c>
      <c r="N369" s="63" t="b">
        <v>0</v>
      </c>
    </row>
    <row r="370" ht="13.5" customHeight="1">
      <c r="A370" s="80"/>
      <c r="B370" s="69" t="str">
        <f>IFS(L370=0,"",B370&lt;&gt;"",B370,TRUE,NOW())</f>
        <v/>
      </c>
      <c r="C370" s="86" t="s">
        <v>37</v>
      </c>
      <c r="D370" s="59"/>
      <c r="E370" s="81"/>
      <c r="F370" s="81"/>
      <c r="G370" s="81"/>
      <c r="H370" s="82"/>
      <c r="I370" s="81"/>
      <c r="J370" s="81"/>
      <c r="K370" s="72" t="s">
        <v>38</v>
      </c>
      <c r="L370" s="73">
        <f>L369-L368</f>
        <v>0</v>
      </c>
      <c r="M370" s="74" t="s">
        <v>39</v>
      </c>
      <c r="N370" s="75" t="b">
        <v>0</v>
      </c>
    </row>
    <row r="371" ht="18.75" customHeight="1">
      <c r="A371" s="83" t="s">
        <v>107</v>
      </c>
      <c r="B371" s="42" t="s">
        <v>20</v>
      </c>
      <c r="C371" s="24"/>
      <c r="D371" s="33"/>
      <c r="E371" s="43">
        <f t="shared" ref="E371:J371" si="101">E6</f>
        <v>17</v>
      </c>
      <c r="F371" s="43">
        <f t="shared" si="101"/>
        <v>27</v>
      </c>
      <c r="G371" s="43">
        <f t="shared" si="101"/>
        <v>27</v>
      </c>
      <c r="H371" s="43">
        <f t="shared" si="101"/>
        <v>27</v>
      </c>
      <c r="I371" s="43">
        <f t="shared" si="101"/>
        <v>32</v>
      </c>
      <c r="J371" s="44">
        <f t="shared" si="101"/>
        <v>37</v>
      </c>
      <c r="K371" s="42" t="s">
        <v>21</v>
      </c>
      <c r="L371" s="25"/>
      <c r="M371" s="45" t="s">
        <v>22</v>
      </c>
      <c r="N371" s="25"/>
    </row>
    <row r="372" ht="13.5" customHeight="1">
      <c r="A372" s="46" t="s">
        <v>23</v>
      </c>
      <c r="B372" s="47" t="s">
        <v>24</v>
      </c>
      <c r="C372" s="32" t="s">
        <v>25</v>
      </c>
      <c r="D372" s="33"/>
      <c r="E372" s="48"/>
      <c r="F372" s="48"/>
      <c r="G372" s="48"/>
      <c r="H372" s="48"/>
      <c r="I372" s="48"/>
      <c r="J372" s="48"/>
      <c r="K372" s="49"/>
      <c r="L372" s="25"/>
      <c r="M372" s="50"/>
      <c r="N372" s="10"/>
    </row>
    <row r="373" ht="13.5" customHeight="1">
      <c r="A373" s="92"/>
      <c r="B373" s="52" t="s">
        <v>108</v>
      </c>
      <c r="C373" s="53" t="s">
        <v>27</v>
      </c>
      <c r="D373" s="54"/>
      <c r="E373" s="55">
        <f t="shared" ref="E373:J373" si="102">E372-E374</f>
        <v>0</v>
      </c>
      <c r="F373" s="55">
        <f t="shared" si="102"/>
        <v>0</v>
      </c>
      <c r="G373" s="55">
        <f t="shared" si="102"/>
        <v>0</v>
      </c>
      <c r="H373" s="55">
        <f t="shared" si="102"/>
        <v>0</v>
      </c>
      <c r="I373" s="55">
        <f t="shared" si="102"/>
        <v>0</v>
      </c>
      <c r="J373" s="55">
        <f t="shared" si="102"/>
        <v>0</v>
      </c>
      <c r="K373" s="56"/>
      <c r="L373" s="30"/>
      <c r="M373" s="57" t="s">
        <v>28</v>
      </c>
      <c r="N373" s="58" t="b">
        <v>0</v>
      </c>
    </row>
    <row r="374" ht="13.5" customHeight="1">
      <c r="A374" s="46" t="s">
        <v>29</v>
      </c>
      <c r="B374" s="59"/>
      <c r="C374" s="53" t="s">
        <v>30</v>
      </c>
      <c r="D374" s="54"/>
      <c r="E374" s="60"/>
      <c r="F374" s="60"/>
      <c r="G374" s="60"/>
      <c r="H374" s="60"/>
      <c r="I374" s="60"/>
      <c r="J374" s="60"/>
      <c r="K374" s="61" t="s">
        <v>30</v>
      </c>
      <c r="L374" s="62">
        <f>(E374*E371)+(F374*F371)+(G374*G371)+(H374*H371)+(I374*I371)+(J374*J371)</f>
        <v>0</v>
      </c>
      <c r="M374" s="57" t="s">
        <v>31</v>
      </c>
      <c r="N374" s="63" t="b">
        <v>0</v>
      </c>
    </row>
    <row r="375" ht="13.5" customHeight="1">
      <c r="A375" s="64"/>
      <c r="B375" s="65" t="s">
        <v>33</v>
      </c>
      <c r="C375" s="53" t="s">
        <v>34</v>
      </c>
      <c r="D375" s="54"/>
      <c r="E375" s="66"/>
      <c r="F375" s="66"/>
      <c r="G375" s="66"/>
      <c r="H375" s="66"/>
      <c r="I375" s="66"/>
      <c r="J375" s="66"/>
      <c r="K375" s="67" t="s">
        <v>35</v>
      </c>
      <c r="L375" s="62">
        <f>(E375*E371)+(F375*F371)+(G375*G371)+(H375*H371)+(I375*I371)+(J375*J371)</f>
        <v>0</v>
      </c>
      <c r="M375" s="57" t="s">
        <v>36</v>
      </c>
      <c r="N375" s="63" t="b">
        <v>0</v>
      </c>
    </row>
    <row r="376" ht="15.0" customHeight="1">
      <c r="A376" s="68"/>
      <c r="B376" s="69" t="str">
        <f>IFS(L376=0,"",B376&lt;&gt;"",B376,TRUE,NOW())</f>
        <v/>
      </c>
      <c r="C376" s="70" t="s">
        <v>37</v>
      </c>
      <c r="D376" s="33"/>
      <c r="E376" s="71"/>
      <c r="F376" s="71"/>
      <c r="G376" s="71"/>
      <c r="H376" s="71"/>
      <c r="I376" s="71"/>
      <c r="J376" s="71"/>
      <c r="K376" s="72" t="s">
        <v>38</v>
      </c>
      <c r="L376" s="73">
        <f>L375-L374</f>
        <v>0</v>
      </c>
      <c r="M376" s="74" t="s">
        <v>39</v>
      </c>
      <c r="N376" s="75" t="b">
        <v>0</v>
      </c>
    </row>
    <row r="377" ht="13.5" customHeight="1">
      <c r="A377" s="46" t="s">
        <v>40</v>
      </c>
      <c r="B377" s="52" t="s">
        <v>108</v>
      </c>
      <c r="C377" s="53" t="s">
        <v>27</v>
      </c>
      <c r="D377" s="54"/>
      <c r="E377" s="55">
        <f t="shared" ref="E377:J377" si="103">E375-E378</f>
        <v>0</v>
      </c>
      <c r="F377" s="55">
        <f t="shared" si="103"/>
        <v>0</v>
      </c>
      <c r="G377" s="55">
        <f t="shared" si="103"/>
        <v>0</v>
      </c>
      <c r="H377" s="55">
        <f t="shared" si="103"/>
        <v>0</v>
      </c>
      <c r="I377" s="55">
        <f t="shared" si="103"/>
        <v>0</v>
      </c>
      <c r="J377" s="55">
        <f t="shared" si="103"/>
        <v>0</v>
      </c>
      <c r="K377" s="56"/>
      <c r="L377" s="30"/>
      <c r="M377" s="57" t="s">
        <v>28</v>
      </c>
      <c r="N377" s="58" t="b">
        <v>0</v>
      </c>
    </row>
    <row r="378" ht="13.5" customHeight="1">
      <c r="A378" s="64"/>
      <c r="B378" s="59"/>
      <c r="C378" s="53" t="s">
        <v>30</v>
      </c>
      <c r="D378" s="54"/>
      <c r="E378" s="60"/>
      <c r="F378" s="60"/>
      <c r="G378" s="60"/>
      <c r="H378" s="60"/>
      <c r="I378" s="60"/>
      <c r="J378" s="60"/>
      <c r="K378" s="61" t="s">
        <v>30</v>
      </c>
      <c r="L378" s="62">
        <f>(E378*E371)+(F378*F371)+(G378*G371)+(H378*H371)+(I378*I371)+(J378*J371)</f>
        <v>0</v>
      </c>
      <c r="M378" s="57" t="s">
        <v>31</v>
      </c>
      <c r="N378" s="63" t="b">
        <v>0</v>
      </c>
    </row>
    <row r="379" ht="13.5" customHeight="1">
      <c r="A379" s="68"/>
      <c r="B379" s="65" t="s">
        <v>42</v>
      </c>
      <c r="C379" s="53" t="s">
        <v>34</v>
      </c>
      <c r="D379" s="54"/>
      <c r="E379" s="66"/>
      <c r="F379" s="66"/>
      <c r="G379" s="66"/>
      <c r="H379" s="66"/>
      <c r="I379" s="66"/>
      <c r="J379" s="66"/>
      <c r="K379" s="67" t="s">
        <v>35</v>
      </c>
      <c r="L379" s="62">
        <f>(E379*E371)+(F379*F371)+(G379*G371)+(H379*H371)+(I379*I371)+(J379*J371)</f>
        <v>0</v>
      </c>
      <c r="M379" s="57" t="s">
        <v>36</v>
      </c>
      <c r="N379" s="63" t="b">
        <v>0</v>
      </c>
    </row>
    <row r="380" ht="13.5" customHeight="1">
      <c r="A380" s="46" t="s">
        <v>43</v>
      </c>
      <c r="B380" s="69" t="str">
        <f>IFS(L380=0,"",B380&lt;&gt;"",B380,TRUE,NOW())</f>
        <v/>
      </c>
      <c r="C380" s="70" t="s">
        <v>37</v>
      </c>
      <c r="D380" s="33"/>
      <c r="E380" s="71"/>
      <c r="F380" s="71"/>
      <c r="G380" s="71"/>
      <c r="H380" s="71"/>
      <c r="I380" s="71"/>
      <c r="J380" s="71"/>
      <c r="K380" s="72" t="s">
        <v>38</v>
      </c>
      <c r="L380" s="73">
        <f>L379-L378</f>
        <v>0</v>
      </c>
      <c r="M380" s="74" t="s">
        <v>39</v>
      </c>
      <c r="N380" s="75" t="b">
        <v>0</v>
      </c>
    </row>
    <row r="381" ht="13.5" customHeight="1">
      <c r="A381" s="64"/>
      <c r="B381" s="52" t="s">
        <v>108</v>
      </c>
      <c r="C381" s="53" t="s">
        <v>27</v>
      </c>
      <c r="D381" s="54"/>
      <c r="E381" s="55">
        <f t="shared" ref="E381:J381" si="104">E379-E382</f>
        <v>0</v>
      </c>
      <c r="F381" s="55">
        <f t="shared" si="104"/>
        <v>0</v>
      </c>
      <c r="G381" s="55">
        <f t="shared" si="104"/>
        <v>0</v>
      </c>
      <c r="H381" s="55">
        <f t="shared" si="104"/>
        <v>0</v>
      </c>
      <c r="I381" s="55">
        <f t="shared" si="104"/>
        <v>0</v>
      </c>
      <c r="J381" s="55">
        <f t="shared" si="104"/>
        <v>0</v>
      </c>
      <c r="K381" s="56"/>
      <c r="L381" s="30"/>
      <c r="M381" s="57" t="s">
        <v>28</v>
      </c>
      <c r="N381" s="58" t="b">
        <v>0</v>
      </c>
    </row>
    <row r="382" ht="13.5" customHeight="1">
      <c r="A382" s="46" t="s">
        <v>45</v>
      </c>
      <c r="B382" s="59"/>
      <c r="C382" s="53" t="s">
        <v>30</v>
      </c>
      <c r="D382" s="54"/>
      <c r="E382" s="60"/>
      <c r="F382" s="60"/>
      <c r="G382" s="60"/>
      <c r="H382" s="60"/>
      <c r="I382" s="60"/>
      <c r="J382" s="60"/>
      <c r="K382" s="61" t="s">
        <v>30</v>
      </c>
      <c r="L382" s="62">
        <f>(E382*E371)+(F382*F371)+(G382*G371)+(H382*H371)+(I382*I371)+(J382*J371)</f>
        <v>0</v>
      </c>
      <c r="M382" s="57" t="s">
        <v>31</v>
      </c>
      <c r="N382" s="63" t="b">
        <v>0</v>
      </c>
    </row>
    <row r="383" ht="17.25" customHeight="1">
      <c r="A383" s="77"/>
      <c r="B383" s="65" t="s">
        <v>47</v>
      </c>
      <c r="C383" s="53" t="s">
        <v>34</v>
      </c>
      <c r="D383" s="54"/>
      <c r="E383" s="66"/>
      <c r="F383" s="66"/>
      <c r="G383" s="66"/>
      <c r="H383" s="66"/>
      <c r="I383" s="66"/>
      <c r="J383" s="66"/>
      <c r="K383" s="67" t="s">
        <v>35</v>
      </c>
      <c r="L383" s="62">
        <f>(E383*E371)+(F383*F371)+(G383*G371)+(H383*H371)+(I383*I371)+(J383*J371)</f>
        <v>0</v>
      </c>
      <c r="M383" s="57" t="s">
        <v>36</v>
      </c>
      <c r="N383" s="63" t="b">
        <v>0</v>
      </c>
    </row>
    <row r="384" ht="13.5" customHeight="1">
      <c r="A384" s="68"/>
      <c r="B384" s="69" t="str">
        <f>IFS(L384=0,"",B384&lt;&gt;"",B384,TRUE,NOW())</f>
        <v/>
      </c>
      <c r="C384" s="70" t="s">
        <v>37</v>
      </c>
      <c r="D384" s="33"/>
      <c r="E384" s="71"/>
      <c r="F384" s="71"/>
      <c r="G384" s="71"/>
      <c r="H384" s="71"/>
      <c r="I384" s="71"/>
      <c r="J384" s="71"/>
      <c r="K384" s="72" t="s">
        <v>38</v>
      </c>
      <c r="L384" s="73">
        <f>L383-L382</f>
        <v>0</v>
      </c>
      <c r="M384" s="74" t="s">
        <v>39</v>
      </c>
      <c r="N384" s="75" t="b">
        <v>0</v>
      </c>
    </row>
    <row r="385" ht="13.5" customHeight="1">
      <c r="A385" s="78" t="s">
        <v>48</v>
      </c>
      <c r="B385" s="52" t="s">
        <v>108</v>
      </c>
      <c r="C385" s="53" t="s">
        <v>27</v>
      </c>
      <c r="D385" s="54"/>
      <c r="E385" s="55">
        <f t="shared" ref="E385:J385" si="105">E383-E386</f>
        <v>0</v>
      </c>
      <c r="F385" s="55">
        <f t="shared" si="105"/>
        <v>0</v>
      </c>
      <c r="G385" s="55">
        <f t="shared" si="105"/>
        <v>0</v>
      </c>
      <c r="H385" s="55">
        <f t="shared" si="105"/>
        <v>0</v>
      </c>
      <c r="I385" s="55">
        <f t="shared" si="105"/>
        <v>0</v>
      </c>
      <c r="J385" s="55">
        <f t="shared" si="105"/>
        <v>0</v>
      </c>
      <c r="K385" s="56"/>
      <c r="L385" s="30"/>
      <c r="M385" s="57" t="s">
        <v>28</v>
      </c>
      <c r="N385" s="58" t="b">
        <v>0</v>
      </c>
    </row>
    <row r="386" ht="13.5" customHeight="1">
      <c r="A386" s="87"/>
      <c r="B386" s="59"/>
      <c r="C386" s="53" t="s">
        <v>30</v>
      </c>
      <c r="D386" s="54"/>
      <c r="E386" s="60"/>
      <c r="F386" s="60"/>
      <c r="G386" s="60"/>
      <c r="H386" s="60"/>
      <c r="I386" s="60"/>
      <c r="J386" s="60"/>
      <c r="K386" s="61" t="s">
        <v>30</v>
      </c>
      <c r="L386" s="62">
        <f>(E386*E371)+(F386*F371)+(G386*G371)+(H386*H371)+(I386*I371)+(J386*J371)</f>
        <v>0</v>
      </c>
      <c r="M386" s="57" t="s">
        <v>31</v>
      </c>
      <c r="N386" s="63" t="b">
        <v>0</v>
      </c>
    </row>
    <row r="387" ht="13.5" customHeight="1">
      <c r="A387" s="68"/>
      <c r="B387" s="65" t="s">
        <v>49</v>
      </c>
      <c r="C387" s="53" t="s">
        <v>34</v>
      </c>
      <c r="D387" s="54"/>
      <c r="E387" s="66"/>
      <c r="F387" s="66"/>
      <c r="G387" s="66"/>
      <c r="H387" s="66"/>
      <c r="I387" s="66"/>
      <c r="J387" s="66"/>
      <c r="K387" s="67" t="s">
        <v>35</v>
      </c>
      <c r="L387" s="62">
        <f>(E387*E371)+(F387*F371)+(G387*G371)+(H387*H371)+(I387*I371)+(J387*J371)</f>
        <v>0</v>
      </c>
      <c r="M387" s="57" t="s">
        <v>36</v>
      </c>
      <c r="N387" s="63" t="b">
        <v>0</v>
      </c>
    </row>
    <row r="388" ht="15.0" customHeight="1">
      <c r="A388" s="80"/>
      <c r="B388" s="69" t="str">
        <f>IFS(L388=0,"",B388&lt;&gt;"",B388,TRUE,NOW())</f>
        <v/>
      </c>
      <c r="C388" s="53" t="s">
        <v>37</v>
      </c>
      <c r="D388" s="54"/>
      <c r="E388" s="81"/>
      <c r="F388" s="81"/>
      <c r="G388" s="81"/>
      <c r="H388" s="82"/>
      <c r="I388" s="81"/>
      <c r="J388" s="81"/>
      <c r="K388" s="72" t="s">
        <v>38</v>
      </c>
      <c r="L388" s="73">
        <f>L387-L386</f>
        <v>0</v>
      </c>
      <c r="M388" s="74" t="s">
        <v>39</v>
      </c>
      <c r="N388" s="75" t="b">
        <v>0</v>
      </c>
    </row>
    <row r="389" ht="13.5" customHeight="1">
      <c r="A389" s="83" t="s">
        <v>109</v>
      </c>
      <c r="B389" s="42" t="s">
        <v>20</v>
      </c>
      <c r="C389" s="24"/>
      <c r="D389" s="33"/>
      <c r="E389" s="43">
        <f t="shared" ref="E389:J389" si="106">E6</f>
        <v>17</v>
      </c>
      <c r="F389" s="43">
        <f t="shared" si="106"/>
        <v>27</v>
      </c>
      <c r="G389" s="43">
        <f t="shared" si="106"/>
        <v>27</v>
      </c>
      <c r="H389" s="43">
        <f t="shared" si="106"/>
        <v>27</v>
      </c>
      <c r="I389" s="43">
        <f t="shared" si="106"/>
        <v>32</v>
      </c>
      <c r="J389" s="44">
        <f t="shared" si="106"/>
        <v>37</v>
      </c>
      <c r="K389" s="42" t="s">
        <v>21</v>
      </c>
      <c r="L389" s="25"/>
      <c r="M389" s="45" t="s">
        <v>22</v>
      </c>
      <c r="N389" s="25"/>
    </row>
    <row r="390" ht="13.5" customHeight="1">
      <c r="A390" s="46" t="s">
        <v>23</v>
      </c>
      <c r="B390" s="47" t="s">
        <v>24</v>
      </c>
      <c r="C390" s="32" t="s">
        <v>25</v>
      </c>
      <c r="D390" s="33"/>
      <c r="E390" s="48"/>
      <c r="F390" s="48"/>
      <c r="G390" s="48"/>
      <c r="H390" s="48"/>
      <c r="I390" s="48"/>
      <c r="J390" s="48"/>
      <c r="K390" s="49"/>
      <c r="L390" s="25"/>
      <c r="M390" s="50"/>
      <c r="N390" s="10"/>
    </row>
    <row r="391" ht="13.5" customHeight="1">
      <c r="A391" s="92"/>
      <c r="B391" s="52" t="s">
        <v>110</v>
      </c>
      <c r="C391" s="53" t="s">
        <v>27</v>
      </c>
      <c r="D391" s="54"/>
      <c r="E391" s="55">
        <f t="shared" ref="E391:J391" si="107">E390-E392</f>
        <v>0</v>
      </c>
      <c r="F391" s="55">
        <f t="shared" si="107"/>
        <v>0</v>
      </c>
      <c r="G391" s="55">
        <f t="shared" si="107"/>
        <v>0</v>
      </c>
      <c r="H391" s="55">
        <f t="shared" si="107"/>
        <v>0</v>
      </c>
      <c r="I391" s="55">
        <f t="shared" si="107"/>
        <v>0</v>
      </c>
      <c r="J391" s="55">
        <f t="shared" si="107"/>
        <v>0</v>
      </c>
      <c r="K391" s="56"/>
      <c r="L391" s="30"/>
      <c r="M391" s="57" t="s">
        <v>28</v>
      </c>
      <c r="N391" s="58" t="b">
        <v>0</v>
      </c>
    </row>
    <row r="392" ht="13.5" customHeight="1">
      <c r="A392" s="46" t="s">
        <v>29</v>
      </c>
      <c r="B392" s="59"/>
      <c r="C392" s="53" t="s">
        <v>30</v>
      </c>
      <c r="D392" s="54"/>
      <c r="E392" s="60"/>
      <c r="F392" s="60"/>
      <c r="G392" s="60"/>
      <c r="H392" s="60"/>
      <c r="I392" s="60"/>
      <c r="J392" s="60"/>
      <c r="K392" s="61" t="s">
        <v>30</v>
      </c>
      <c r="L392" s="62">
        <f>(E392*E389)+(F392*F389)+(G392*G389)+(H392*H389)+(I392*I389)+(J392*J389)</f>
        <v>0</v>
      </c>
      <c r="M392" s="57" t="s">
        <v>31</v>
      </c>
      <c r="N392" s="63" t="b">
        <v>0</v>
      </c>
    </row>
    <row r="393" ht="16.5" customHeight="1">
      <c r="A393" s="64"/>
      <c r="B393" s="65" t="s">
        <v>33</v>
      </c>
      <c r="C393" s="53" t="s">
        <v>34</v>
      </c>
      <c r="D393" s="54"/>
      <c r="E393" s="66"/>
      <c r="F393" s="66"/>
      <c r="G393" s="66"/>
      <c r="H393" s="66"/>
      <c r="I393" s="66"/>
      <c r="J393" s="66"/>
      <c r="K393" s="67" t="s">
        <v>35</v>
      </c>
      <c r="L393" s="62">
        <f>(E393*E389)+(F393*F389)+(G393*G389)+(H393*H389)+(I393*I389)+(J393*J389)</f>
        <v>0</v>
      </c>
      <c r="M393" s="57" t="s">
        <v>36</v>
      </c>
      <c r="N393" s="63" t="b">
        <v>0</v>
      </c>
    </row>
    <row r="394" ht="13.5" customHeight="1">
      <c r="A394" s="68"/>
      <c r="B394" s="69" t="str">
        <f>IFS(L394=0,"",B394&lt;&gt;"",B394,TRUE,NOW())</f>
        <v/>
      </c>
      <c r="C394" s="70" t="s">
        <v>37</v>
      </c>
      <c r="D394" s="33"/>
      <c r="E394" s="71"/>
      <c r="F394" s="71"/>
      <c r="G394" s="71"/>
      <c r="H394" s="71"/>
      <c r="I394" s="71"/>
      <c r="J394" s="71"/>
      <c r="K394" s="72" t="s">
        <v>38</v>
      </c>
      <c r="L394" s="73">
        <f>L393-L392</f>
        <v>0</v>
      </c>
      <c r="M394" s="74" t="s">
        <v>39</v>
      </c>
      <c r="N394" s="75" t="b">
        <v>0</v>
      </c>
    </row>
    <row r="395" ht="13.5" customHeight="1">
      <c r="A395" s="46" t="s">
        <v>40</v>
      </c>
      <c r="B395" s="52" t="s">
        <v>110</v>
      </c>
      <c r="C395" s="53" t="s">
        <v>27</v>
      </c>
      <c r="D395" s="54"/>
      <c r="E395" s="55">
        <f t="shared" ref="E395:J395" si="108">E393-E396</f>
        <v>0</v>
      </c>
      <c r="F395" s="55">
        <f t="shared" si="108"/>
        <v>0</v>
      </c>
      <c r="G395" s="55">
        <f t="shared" si="108"/>
        <v>0</v>
      </c>
      <c r="H395" s="55">
        <f t="shared" si="108"/>
        <v>0</v>
      </c>
      <c r="I395" s="55">
        <f t="shared" si="108"/>
        <v>0</v>
      </c>
      <c r="J395" s="55">
        <f t="shared" si="108"/>
        <v>0</v>
      </c>
      <c r="K395" s="56"/>
      <c r="L395" s="30"/>
      <c r="M395" s="57" t="s">
        <v>28</v>
      </c>
      <c r="N395" s="58" t="b">
        <v>0</v>
      </c>
    </row>
    <row r="396" ht="13.5" customHeight="1">
      <c r="A396" s="64"/>
      <c r="B396" s="59"/>
      <c r="C396" s="53" t="s">
        <v>30</v>
      </c>
      <c r="D396" s="54"/>
      <c r="E396" s="60"/>
      <c r="F396" s="60"/>
      <c r="G396" s="60"/>
      <c r="H396" s="60"/>
      <c r="I396" s="60"/>
      <c r="J396" s="60"/>
      <c r="K396" s="61" t="s">
        <v>30</v>
      </c>
      <c r="L396" s="62">
        <f>(E396*E389)+(F396*F389)+(G396*G389)+(H396*H389)+(I396*I389)+(J396*J389)</f>
        <v>0</v>
      </c>
      <c r="M396" s="57" t="s">
        <v>31</v>
      </c>
      <c r="N396" s="63" t="b">
        <v>0</v>
      </c>
    </row>
    <row r="397" ht="13.5" customHeight="1">
      <c r="A397" s="68"/>
      <c r="B397" s="65" t="s">
        <v>42</v>
      </c>
      <c r="C397" s="53" t="s">
        <v>34</v>
      </c>
      <c r="D397" s="54"/>
      <c r="E397" s="66"/>
      <c r="F397" s="66"/>
      <c r="G397" s="66"/>
      <c r="H397" s="66"/>
      <c r="I397" s="66"/>
      <c r="J397" s="66"/>
      <c r="K397" s="67" t="s">
        <v>35</v>
      </c>
      <c r="L397" s="62">
        <f>(E397*E389)+(F397*F389)+(G397*G389)+(H397*H389)+(I397*I389)+(J397*J389)</f>
        <v>0</v>
      </c>
      <c r="M397" s="57" t="s">
        <v>36</v>
      </c>
      <c r="N397" s="63" t="b">
        <v>0</v>
      </c>
    </row>
    <row r="398" ht="15.0" customHeight="1">
      <c r="A398" s="46" t="s">
        <v>43</v>
      </c>
      <c r="B398" s="69" t="str">
        <f>IFS(L398=0,"",B398&lt;&gt;"",B398,TRUE,NOW())</f>
        <v/>
      </c>
      <c r="C398" s="70" t="s">
        <v>37</v>
      </c>
      <c r="D398" s="33"/>
      <c r="E398" s="71"/>
      <c r="F398" s="71"/>
      <c r="G398" s="71"/>
      <c r="H398" s="71"/>
      <c r="I398" s="71"/>
      <c r="J398" s="71"/>
      <c r="K398" s="72" t="s">
        <v>38</v>
      </c>
      <c r="L398" s="73">
        <f>L397-L396</f>
        <v>0</v>
      </c>
      <c r="M398" s="74" t="s">
        <v>39</v>
      </c>
      <c r="N398" s="75" t="b">
        <v>0</v>
      </c>
    </row>
    <row r="399" ht="13.5" customHeight="1">
      <c r="A399" s="64"/>
      <c r="B399" s="52" t="s">
        <v>110</v>
      </c>
      <c r="C399" s="53" t="s">
        <v>27</v>
      </c>
      <c r="D399" s="54"/>
      <c r="E399" s="55">
        <f t="shared" ref="E399:J399" si="109">E397-E400</f>
        <v>0</v>
      </c>
      <c r="F399" s="55">
        <f t="shared" si="109"/>
        <v>0</v>
      </c>
      <c r="G399" s="55">
        <f t="shared" si="109"/>
        <v>0</v>
      </c>
      <c r="H399" s="55">
        <f t="shared" si="109"/>
        <v>0</v>
      </c>
      <c r="I399" s="55">
        <f t="shared" si="109"/>
        <v>0</v>
      </c>
      <c r="J399" s="55">
        <f t="shared" si="109"/>
        <v>0</v>
      </c>
      <c r="K399" s="56"/>
      <c r="L399" s="30"/>
      <c r="M399" s="57" t="s">
        <v>28</v>
      </c>
      <c r="N399" s="58" t="b">
        <v>0</v>
      </c>
    </row>
    <row r="400" ht="13.5" customHeight="1">
      <c r="A400" s="46" t="s">
        <v>45</v>
      </c>
      <c r="B400" s="59"/>
      <c r="C400" s="53" t="s">
        <v>30</v>
      </c>
      <c r="D400" s="54"/>
      <c r="E400" s="60"/>
      <c r="F400" s="60"/>
      <c r="G400" s="60"/>
      <c r="H400" s="60"/>
      <c r="I400" s="60"/>
      <c r="J400" s="60"/>
      <c r="K400" s="61" t="s">
        <v>30</v>
      </c>
      <c r="L400" s="62">
        <f>(E400*E389)+(F400*F389)+(G400*G389)+(H400*H389)+(I400*I389)+(J400*J389)</f>
        <v>0</v>
      </c>
      <c r="M400" s="57" t="s">
        <v>31</v>
      </c>
      <c r="N400" s="63" t="b">
        <v>0</v>
      </c>
    </row>
    <row r="401" ht="13.5" customHeight="1">
      <c r="A401" s="77"/>
      <c r="B401" s="65" t="s">
        <v>47</v>
      </c>
      <c r="C401" s="53" t="s">
        <v>34</v>
      </c>
      <c r="D401" s="54"/>
      <c r="E401" s="66"/>
      <c r="F401" s="66"/>
      <c r="G401" s="66"/>
      <c r="H401" s="66"/>
      <c r="I401" s="66"/>
      <c r="J401" s="66"/>
      <c r="K401" s="67" t="s">
        <v>35</v>
      </c>
      <c r="L401" s="62">
        <f>(E401*E389)+(F401*F389)+(G401*G389)+(H401*H389)+(I401*I389)+(J401*J389)</f>
        <v>0</v>
      </c>
      <c r="M401" s="57" t="s">
        <v>36</v>
      </c>
      <c r="N401" s="63" t="b">
        <v>0</v>
      </c>
    </row>
    <row r="402" ht="13.5" customHeight="1">
      <c r="A402" s="68"/>
      <c r="B402" s="69" t="str">
        <f>IFS(L402=0,"",B402&lt;&gt;"",B402,TRUE,NOW())</f>
        <v/>
      </c>
      <c r="C402" s="70" t="s">
        <v>37</v>
      </c>
      <c r="D402" s="33"/>
      <c r="E402" s="71"/>
      <c r="F402" s="71"/>
      <c r="G402" s="71"/>
      <c r="H402" s="71"/>
      <c r="I402" s="71"/>
      <c r="J402" s="71"/>
      <c r="K402" s="72" t="s">
        <v>38</v>
      </c>
      <c r="L402" s="73">
        <f>L401-L400</f>
        <v>0</v>
      </c>
      <c r="M402" s="74" t="s">
        <v>39</v>
      </c>
      <c r="N402" s="75" t="b">
        <v>0</v>
      </c>
    </row>
    <row r="403" ht="13.5" customHeight="1">
      <c r="A403" s="78" t="s">
        <v>48</v>
      </c>
      <c r="B403" s="52" t="s">
        <v>110</v>
      </c>
      <c r="C403" s="53" t="s">
        <v>27</v>
      </c>
      <c r="D403" s="54"/>
      <c r="E403" s="55">
        <f t="shared" ref="E403:J403" si="110">E401-E404</f>
        <v>0</v>
      </c>
      <c r="F403" s="55">
        <f t="shared" si="110"/>
        <v>0</v>
      </c>
      <c r="G403" s="55">
        <f t="shared" si="110"/>
        <v>0</v>
      </c>
      <c r="H403" s="55">
        <f t="shared" si="110"/>
        <v>0</v>
      </c>
      <c r="I403" s="55">
        <f t="shared" si="110"/>
        <v>0</v>
      </c>
      <c r="J403" s="55">
        <f t="shared" si="110"/>
        <v>0</v>
      </c>
      <c r="K403" s="56"/>
      <c r="L403" s="30"/>
      <c r="M403" s="57" t="s">
        <v>28</v>
      </c>
      <c r="N403" s="58" t="b">
        <v>0</v>
      </c>
    </row>
    <row r="404" ht="13.5" customHeight="1">
      <c r="A404" s="87"/>
      <c r="B404" s="59"/>
      <c r="C404" s="53" t="s">
        <v>30</v>
      </c>
      <c r="D404" s="54"/>
      <c r="E404" s="60"/>
      <c r="F404" s="60"/>
      <c r="G404" s="60"/>
      <c r="H404" s="60"/>
      <c r="I404" s="60"/>
      <c r="J404" s="60"/>
      <c r="K404" s="61" t="s">
        <v>30</v>
      </c>
      <c r="L404" s="62">
        <f>(E404*E389)+(F404*F389)+(G404*G389)+(H404*H389)+(I404*I389)+(J404*J389)</f>
        <v>0</v>
      </c>
      <c r="M404" s="57" t="s">
        <v>31</v>
      </c>
      <c r="N404" s="63" t="b">
        <v>0</v>
      </c>
    </row>
    <row r="405" ht="15.0" customHeight="1">
      <c r="A405" s="68"/>
      <c r="B405" s="65" t="s">
        <v>49</v>
      </c>
      <c r="C405" s="53" t="s">
        <v>34</v>
      </c>
      <c r="D405" s="54"/>
      <c r="E405" s="66"/>
      <c r="F405" s="66"/>
      <c r="G405" s="66"/>
      <c r="H405" s="66"/>
      <c r="I405" s="66"/>
      <c r="J405" s="66"/>
      <c r="K405" s="67" t="s">
        <v>35</v>
      </c>
      <c r="L405" s="62">
        <f>(E405*E389)+(F405*F389)+(G405*G389)+(H405*H389)+(I405*I389)+(J405*J389)</f>
        <v>0</v>
      </c>
      <c r="M405" s="57" t="s">
        <v>36</v>
      </c>
      <c r="N405" s="63" t="b">
        <v>0</v>
      </c>
    </row>
    <row r="406" ht="13.5" customHeight="1">
      <c r="A406" s="80"/>
      <c r="B406" s="69" t="str">
        <f>IFS(L406=0,"",B406&lt;&gt;"",B406,TRUE,NOW())</f>
        <v/>
      </c>
      <c r="C406" s="53" t="s">
        <v>37</v>
      </c>
      <c r="D406" s="54"/>
      <c r="E406" s="81"/>
      <c r="F406" s="81"/>
      <c r="G406" s="81"/>
      <c r="H406" s="82"/>
      <c r="I406" s="81"/>
      <c r="J406" s="81"/>
      <c r="K406" s="72" t="s">
        <v>38</v>
      </c>
      <c r="L406" s="73">
        <f>L405-L404</f>
        <v>0</v>
      </c>
      <c r="M406" s="74" t="s">
        <v>39</v>
      </c>
      <c r="N406" s="75" t="b">
        <v>0</v>
      </c>
    </row>
    <row r="407" ht="13.5" customHeight="1">
      <c r="A407" s="83" t="s">
        <v>111</v>
      </c>
      <c r="B407" s="42" t="s">
        <v>20</v>
      </c>
      <c r="C407" s="24"/>
      <c r="D407" s="33"/>
      <c r="E407" s="43">
        <f t="shared" ref="E407:J407" si="111">E6</f>
        <v>17</v>
      </c>
      <c r="F407" s="43">
        <f t="shared" si="111"/>
        <v>27</v>
      </c>
      <c r="G407" s="43">
        <f t="shared" si="111"/>
        <v>27</v>
      </c>
      <c r="H407" s="43">
        <f t="shared" si="111"/>
        <v>27</v>
      </c>
      <c r="I407" s="43">
        <f t="shared" si="111"/>
        <v>32</v>
      </c>
      <c r="J407" s="44">
        <f t="shared" si="111"/>
        <v>37</v>
      </c>
      <c r="K407" s="42" t="s">
        <v>21</v>
      </c>
      <c r="L407" s="25"/>
      <c r="M407" s="45" t="s">
        <v>22</v>
      </c>
      <c r="N407" s="25"/>
    </row>
    <row r="408" ht="13.5" customHeight="1">
      <c r="A408" s="46" t="s">
        <v>23</v>
      </c>
      <c r="B408" s="47" t="s">
        <v>24</v>
      </c>
      <c r="C408" s="32" t="s">
        <v>25</v>
      </c>
      <c r="D408" s="33"/>
      <c r="E408" s="48"/>
      <c r="F408" s="48"/>
      <c r="G408" s="48"/>
      <c r="H408" s="48"/>
      <c r="I408" s="48"/>
      <c r="J408" s="48"/>
      <c r="K408" s="49"/>
      <c r="L408" s="25"/>
      <c r="M408" s="50"/>
      <c r="N408" s="10"/>
    </row>
    <row r="409" ht="13.5" customHeight="1">
      <c r="A409" s="92"/>
      <c r="B409" s="52" t="s">
        <v>112</v>
      </c>
      <c r="C409" s="53" t="s">
        <v>27</v>
      </c>
      <c r="D409" s="54"/>
      <c r="E409" s="55">
        <f t="shared" ref="E409:J409" si="112">E408-E410</f>
        <v>0</v>
      </c>
      <c r="F409" s="55">
        <f t="shared" si="112"/>
        <v>0</v>
      </c>
      <c r="G409" s="55">
        <f t="shared" si="112"/>
        <v>0</v>
      </c>
      <c r="H409" s="55">
        <f t="shared" si="112"/>
        <v>0</v>
      </c>
      <c r="I409" s="55">
        <f t="shared" si="112"/>
        <v>0</v>
      </c>
      <c r="J409" s="55">
        <f t="shared" si="112"/>
        <v>0</v>
      </c>
      <c r="K409" s="56"/>
      <c r="L409" s="30"/>
      <c r="M409" s="57" t="s">
        <v>28</v>
      </c>
      <c r="N409" s="58" t="b">
        <v>0</v>
      </c>
    </row>
    <row r="410" ht="15.0" customHeight="1">
      <c r="A410" s="46" t="s">
        <v>29</v>
      </c>
      <c r="B410" s="59"/>
      <c r="C410" s="53" t="s">
        <v>30</v>
      </c>
      <c r="D410" s="54"/>
      <c r="E410" s="60"/>
      <c r="F410" s="60"/>
      <c r="G410" s="60"/>
      <c r="H410" s="60"/>
      <c r="I410" s="60"/>
      <c r="J410" s="60"/>
      <c r="K410" s="61" t="s">
        <v>30</v>
      </c>
      <c r="L410" s="62">
        <f>(E410*E407)+(F410*F407)+(G410*G407)+(H410*H407)+(I410*I407)+(J410*J407)</f>
        <v>0</v>
      </c>
      <c r="M410" s="57" t="s">
        <v>31</v>
      </c>
      <c r="N410" s="63" t="b">
        <v>0</v>
      </c>
    </row>
    <row r="411" ht="13.5" customHeight="1">
      <c r="A411" s="64"/>
      <c r="B411" s="65" t="s">
        <v>33</v>
      </c>
      <c r="C411" s="53" t="s">
        <v>34</v>
      </c>
      <c r="D411" s="54"/>
      <c r="E411" s="66"/>
      <c r="F411" s="66"/>
      <c r="G411" s="66"/>
      <c r="H411" s="66"/>
      <c r="I411" s="66"/>
      <c r="J411" s="66"/>
      <c r="K411" s="67" t="s">
        <v>35</v>
      </c>
      <c r="L411" s="62">
        <f>(E411*E407)+(F411*F407)+(G411*G407)+(H411*H407)+(I411*I407)+(J411*J407)</f>
        <v>0</v>
      </c>
      <c r="M411" s="57" t="s">
        <v>36</v>
      </c>
      <c r="N411" s="63" t="b">
        <v>0</v>
      </c>
    </row>
    <row r="412" ht="13.5" customHeight="1">
      <c r="A412" s="68"/>
      <c r="B412" s="69" t="str">
        <f>IFS(L412=0,"",B412&lt;&gt;"",B412,TRUE,NOW())</f>
        <v/>
      </c>
      <c r="C412" s="70" t="s">
        <v>37</v>
      </c>
      <c r="D412" s="33"/>
      <c r="E412" s="71"/>
      <c r="F412" s="71"/>
      <c r="G412" s="71"/>
      <c r="H412" s="71"/>
      <c r="I412" s="71"/>
      <c r="J412" s="71"/>
      <c r="K412" s="72" t="s">
        <v>38</v>
      </c>
      <c r="L412" s="73">
        <f>L411-L410</f>
        <v>0</v>
      </c>
      <c r="M412" s="74" t="s">
        <v>39</v>
      </c>
      <c r="N412" s="75" t="b">
        <v>0</v>
      </c>
    </row>
    <row r="413" ht="13.5" customHeight="1">
      <c r="A413" s="46" t="s">
        <v>40</v>
      </c>
      <c r="B413" s="52" t="s">
        <v>112</v>
      </c>
      <c r="C413" s="53" t="s">
        <v>27</v>
      </c>
      <c r="D413" s="54"/>
      <c r="E413" s="55">
        <f t="shared" ref="E413:J413" si="113">E411-E414</f>
        <v>0</v>
      </c>
      <c r="F413" s="55">
        <f t="shared" si="113"/>
        <v>0</v>
      </c>
      <c r="G413" s="55">
        <f t="shared" si="113"/>
        <v>0</v>
      </c>
      <c r="H413" s="55">
        <f t="shared" si="113"/>
        <v>0</v>
      </c>
      <c r="I413" s="55">
        <f t="shared" si="113"/>
        <v>0</v>
      </c>
      <c r="J413" s="55">
        <f t="shared" si="113"/>
        <v>0</v>
      </c>
      <c r="K413" s="56"/>
      <c r="L413" s="30"/>
      <c r="M413" s="57" t="s">
        <v>28</v>
      </c>
      <c r="N413" s="58" t="b">
        <v>0</v>
      </c>
    </row>
    <row r="414" ht="13.5" customHeight="1">
      <c r="A414" s="64"/>
      <c r="B414" s="59"/>
      <c r="C414" s="53" t="s">
        <v>30</v>
      </c>
      <c r="D414" s="54"/>
      <c r="E414" s="60"/>
      <c r="F414" s="60"/>
      <c r="G414" s="60"/>
      <c r="H414" s="60"/>
      <c r="I414" s="60"/>
      <c r="J414" s="60"/>
      <c r="K414" s="61" t="s">
        <v>30</v>
      </c>
      <c r="L414" s="62">
        <f>(E414*E407)+(F414*F407)+(G414*G407)+(H414*H407)+(I414*I407)+(J414*J407)</f>
        <v>0</v>
      </c>
      <c r="M414" s="57" t="s">
        <v>31</v>
      </c>
      <c r="N414" s="63" t="b">
        <v>0</v>
      </c>
    </row>
    <row r="415" ht="18.75" customHeight="1">
      <c r="A415" s="68"/>
      <c r="B415" s="65" t="s">
        <v>42</v>
      </c>
      <c r="C415" s="53" t="s">
        <v>34</v>
      </c>
      <c r="D415" s="54"/>
      <c r="E415" s="66"/>
      <c r="F415" s="66"/>
      <c r="G415" s="66"/>
      <c r="H415" s="66"/>
      <c r="I415" s="66"/>
      <c r="J415" s="66"/>
      <c r="K415" s="67" t="s">
        <v>35</v>
      </c>
      <c r="L415" s="62">
        <f>(E415*E407)+(F415*F407)+(G415*G407)+(H415*H407)+(I415*I407)+(J415*J407)</f>
        <v>0</v>
      </c>
      <c r="M415" s="57" t="s">
        <v>36</v>
      </c>
      <c r="N415" s="63" t="b">
        <v>0</v>
      </c>
    </row>
    <row r="416" ht="13.5" customHeight="1">
      <c r="A416" s="46" t="s">
        <v>43</v>
      </c>
      <c r="B416" s="69" t="str">
        <f>IFS(L416=0,"",B416&lt;&gt;"",B416,TRUE,NOW())</f>
        <v/>
      </c>
      <c r="C416" s="70" t="s">
        <v>37</v>
      </c>
      <c r="D416" s="33"/>
      <c r="E416" s="71"/>
      <c r="F416" s="71"/>
      <c r="G416" s="71"/>
      <c r="H416" s="71"/>
      <c r="I416" s="71"/>
      <c r="J416" s="71"/>
      <c r="K416" s="72" t="s">
        <v>38</v>
      </c>
      <c r="L416" s="73">
        <f>L415-L414</f>
        <v>0</v>
      </c>
      <c r="M416" s="74" t="s">
        <v>39</v>
      </c>
      <c r="N416" s="75" t="b">
        <v>0</v>
      </c>
    </row>
    <row r="417" ht="13.5" customHeight="1">
      <c r="A417" s="64"/>
      <c r="B417" s="52" t="s">
        <v>112</v>
      </c>
      <c r="C417" s="53" t="s">
        <v>27</v>
      </c>
      <c r="D417" s="54"/>
      <c r="E417" s="55">
        <f t="shared" ref="E417:J417" si="114">E415-E418</f>
        <v>0</v>
      </c>
      <c r="F417" s="55">
        <f t="shared" si="114"/>
        <v>0</v>
      </c>
      <c r="G417" s="55">
        <f t="shared" si="114"/>
        <v>0</v>
      </c>
      <c r="H417" s="55">
        <f t="shared" si="114"/>
        <v>0</v>
      </c>
      <c r="I417" s="55">
        <f t="shared" si="114"/>
        <v>0</v>
      </c>
      <c r="J417" s="55">
        <f t="shared" si="114"/>
        <v>0</v>
      </c>
      <c r="K417" s="56"/>
      <c r="L417" s="30"/>
      <c r="M417" s="57" t="s">
        <v>28</v>
      </c>
      <c r="N417" s="58" t="b">
        <v>0</v>
      </c>
    </row>
    <row r="418" ht="13.5" customHeight="1">
      <c r="A418" s="46" t="s">
        <v>45</v>
      </c>
      <c r="B418" s="59"/>
      <c r="C418" s="53" t="s">
        <v>30</v>
      </c>
      <c r="D418" s="54"/>
      <c r="E418" s="60"/>
      <c r="F418" s="60"/>
      <c r="G418" s="60"/>
      <c r="H418" s="60"/>
      <c r="I418" s="60"/>
      <c r="J418" s="60"/>
      <c r="K418" s="61" t="s">
        <v>30</v>
      </c>
      <c r="L418" s="62">
        <f>(E418*E407)+(F418*F407)+(G418*G407)+(H418*H407)+(I418*I407)+(J418*J407)</f>
        <v>0</v>
      </c>
      <c r="M418" s="57" t="s">
        <v>31</v>
      </c>
      <c r="N418" s="63" t="b">
        <v>0</v>
      </c>
    </row>
    <row r="419" ht="13.5" customHeight="1">
      <c r="A419" s="77"/>
      <c r="B419" s="65" t="s">
        <v>47</v>
      </c>
      <c r="C419" s="53" t="s">
        <v>34</v>
      </c>
      <c r="D419" s="54"/>
      <c r="E419" s="66"/>
      <c r="F419" s="66"/>
      <c r="G419" s="66"/>
      <c r="H419" s="66"/>
      <c r="I419" s="66"/>
      <c r="J419" s="66"/>
      <c r="K419" s="67" t="s">
        <v>35</v>
      </c>
      <c r="L419" s="62">
        <f>(E419*E407)+(F419*F407)+(G419*G407)+(H419*H407)+(I419*I407)+(J419*J407)</f>
        <v>0</v>
      </c>
      <c r="M419" s="57" t="s">
        <v>36</v>
      </c>
      <c r="N419" s="63" t="b">
        <v>0</v>
      </c>
    </row>
    <row r="420" ht="18.75" customHeight="1">
      <c r="A420" s="68"/>
      <c r="B420" s="69" t="str">
        <f>IFS(L420=0,"",B420&lt;&gt;"",B420,TRUE,NOW())</f>
        <v/>
      </c>
      <c r="C420" s="70" t="s">
        <v>37</v>
      </c>
      <c r="D420" s="33"/>
      <c r="E420" s="71"/>
      <c r="F420" s="71"/>
      <c r="G420" s="71"/>
      <c r="H420" s="71"/>
      <c r="I420" s="71"/>
      <c r="J420" s="71"/>
      <c r="K420" s="72" t="s">
        <v>38</v>
      </c>
      <c r="L420" s="73">
        <f>L419-L418</f>
        <v>0</v>
      </c>
      <c r="M420" s="74" t="s">
        <v>39</v>
      </c>
      <c r="N420" s="75" t="b">
        <v>0</v>
      </c>
    </row>
    <row r="421" ht="13.5" customHeight="1">
      <c r="A421" s="78" t="s">
        <v>48</v>
      </c>
      <c r="B421" s="52" t="s">
        <v>112</v>
      </c>
      <c r="C421" s="53" t="s">
        <v>27</v>
      </c>
      <c r="D421" s="54"/>
      <c r="E421" s="55">
        <f t="shared" ref="E421:J421" si="115">E419-E422</f>
        <v>0</v>
      </c>
      <c r="F421" s="55">
        <f t="shared" si="115"/>
        <v>0</v>
      </c>
      <c r="G421" s="55">
        <f t="shared" si="115"/>
        <v>0</v>
      </c>
      <c r="H421" s="55">
        <f t="shared" si="115"/>
        <v>0</v>
      </c>
      <c r="I421" s="55">
        <f t="shared" si="115"/>
        <v>0</v>
      </c>
      <c r="J421" s="55">
        <f t="shared" si="115"/>
        <v>0</v>
      </c>
      <c r="K421" s="56"/>
      <c r="L421" s="30"/>
      <c r="M421" s="57" t="s">
        <v>28</v>
      </c>
      <c r="N421" s="58" t="b">
        <v>0</v>
      </c>
    </row>
    <row r="422" ht="13.5" customHeight="1">
      <c r="A422" s="87"/>
      <c r="B422" s="59"/>
      <c r="C422" s="53" t="s">
        <v>30</v>
      </c>
      <c r="D422" s="54"/>
      <c r="E422" s="60"/>
      <c r="F422" s="60"/>
      <c r="G422" s="60"/>
      <c r="H422" s="60"/>
      <c r="I422" s="60"/>
      <c r="J422" s="60"/>
      <c r="K422" s="61" t="s">
        <v>30</v>
      </c>
      <c r="L422" s="62">
        <f>(E422*E407)+(F422*F407)+(G422*G407)+(H422*H407)+(I422*I407)+(J422*J407)</f>
        <v>0</v>
      </c>
      <c r="M422" s="57" t="s">
        <v>31</v>
      </c>
      <c r="N422" s="63" t="b">
        <v>0</v>
      </c>
    </row>
    <row r="423" ht="13.5" customHeight="1">
      <c r="A423" s="68"/>
      <c r="B423" s="65" t="s">
        <v>49</v>
      </c>
      <c r="C423" s="53" t="s">
        <v>34</v>
      </c>
      <c r="D423" s="54"/>
      <c r="E423" s="66"/>
      <c r="F423" s="66"/>
      <c r="G423" s="66"/>
      <c r="H423" s="66"/>
      <c r="I423" s="66"/>
      <c r="J423" s="66"/>
      <c r="K423" s="67" t="s">
        <v>35</v>
      </c>
      <c r="L423" s="62">
        <f>(E423*E407)+(F423*F407)+(G423*G407)+(H423*H407)+(I423*I407)+(J423*J407)</f>
        <v>0</v>
      </c>
      <c r="M423" s="57" t="s">
        <v>36</v>
      </c>
      <c r="N423" s="63" t="b">
        <v>0</v>
      </c>
    </row>
    <row r="424" ht="13.5" customHeight="1">
      <c r="A424" s="80"/>
      <c r="B424" s="69" t="str">
        <f>IFS(L424=0,"",B424&lt;&gt;"",B424,TRUE,NOW())</f>
        <v/>
      </c>
      <c r="C424" s="53" t="s">
        <v>37</v>
      </c>
      <c r="D424" s="54"/>
      <c r="E424" s="81"/>
      <c r="F424" s="81"/>
      <c r="G424" s="81"/>
      <c r="H424" s="82"/>
      <c r="I424" s="81"/>
      <c r="J424" s="81"/>
      <c r="K424" s="72" t="s">
        <v>38</v>
      </c>
      <c r="L424" s="73">
        <f>L423-L422</f>
        <v>0</v>
      </c>
      <c r="M424" s="74" t="s">
        <v>39</v>
      </c>
      <c r="N424" s="75" t="b">
        <v>0</v>
      </c>
    </row>
    <row r="425" ht="13.5" customHeight="1">
      <c r="A425" s="83" t="s">
        <v>113</v>
      </c>
      <c r="B425" s="42" t="s">
        <v>20</v>
      </c>
      <c r="C425" s="24"/>
      <c r="D425" s="33"/>
      <c r="E425" s="43">
        <f t="shared" ref="E425:J425" si="116">E6</f>
        <v>17</v>
      </c>
      <c r="F425" s="43">
        <f t="shared" si="116"/>
        <v>27</v>
      </c>
      <c r="G425" s="43">
        <f t="shared" si="116"/>
        <v>27</v>
      </c>
      <c r="H425" s="43">
        <f t="shared" si="116"/>
        <v>27</v>
      </c>
      <c r="I425" s="43">
        <f t="shared" si="116"/>
        <v>32</v>
      </c>
      <c r="J425" s="44">
        <f t="shared" si="116"/>
        <v>37</v>
      </c>
      <c r="K425" s="42" t="s">
        <v>21</v>
      </c>
      <c r="L425" s="25"/>
      <c r="M425" s="45" t="s">
        <v>22</v>
      </c>
      <c r="N425" s="25"/>
    </row>
    <row r="426" ht="13.5" customHeight="1">
      <c r="A426" s="46" t="s">
        <v>23</v>
      </c>
      <c r="B426" s="47" t="s">
        <v>24</v>
      </c>
      <c r="C426" s="32" t="s">
        <v>25</v>
      </c>
      <c r="D426" s="33"/>
      <c r="E426" s="48"/>
      <c r="F426" s="48"/>
      <c r="G426" s="48"/>
      <c r="H426" s="48"/>
      <c r="I426" s="48"/>
      <c r="J426" s="48"/>
      <c r="K426" s="49"/>
      <c r="L426" s="25"/>
      <c r="M426" s="50"/>
      <c r="N426" s="10"/>
    </row>
    <row r="427" ht="15.0" customHeight="1">
      <c r="A427" s="92"/>
      <c r="B427" s="52" t="s">
        <v>114</v>
      </c>
      <c r="C427" s="53" t="s">
        <v>27</v>
      </c>
      <c r="D427" s="54"/>
      <c r="E427" s="55">
        <f t="shared" ref="E427:J427" si="117">E426-E428</f>
        <v>0</v>
      </c>
      <c r="F427" s="55">
        <f t="shared" si="117"/>
        <v>0</v>
      </c>
      <c r="G427" s="55">
        <f t="shared" si="117"/>
        <v>0</v>
      </c>
      <c r="H427" s="55">
        <f t="shared" si="117"/>
        <v>0</v>
      </c>
      <c r="I427" s="55">
        <f t="shared" si="117"/>
        <v>0</v>
      </c>
      <c r="J427" s="55">
        <f t="shared" si="117"/>
        <v>0</v>
      </c>
      <c r="K427" s="56"/>
      <c r="L427" s="30"/>
      <c r="M427" s="57" t="s">
        <v>28</v>
      </c>
      <c r="N427" s="58" t="b">
        <v>0</v>
      </c>
    </row>
    <row r="428" ht="13.5" customHeight="1">
      <c r="A428" s="46" t="s">
        <v>29</v>
      </c>
      <c r="B428" s="59"/>
      <c r="C428" s="53" t="s">
        <v>30</v>
      </c>
      <c r="D428" s="54"/>
      <c r="E428" s="60"/>
      <c r="F428" s="60"/>
      <c r="G428" s="60"/>
      <c r="H428" s="60"/>
      <c r="I428" s="60"/>
      <c r="J428" s="60"/>
      <c r="K428" s="61" t="s">
        <v>30</v>
      </c>
      <c r="L428" s="62">
        <f>(E428*E425)+(F428*F425)+(G428*G425)+(H428*H425)+(I428*I425)+(J428*J425)</f>
        <v>0</v>
      </c>
      <c r="M428" s="57" t="s">
        <v>31</v>
      </c>
      <c r="N428" s="63" t="b">
        <v>0</v>
      </c>
    </row>
    <row r="429" ht="13.5" customHeight="1">
      <c r="A429" s="64"/>
      <c r="B429" s="65" t="s">
        <v>33</v>
      </c>
      <c r="C429" s="53" t="s">
        <v>34</v>
      </c>
      <c r="D429" s="54"/>
      <c r="E429" s="66"/>
      <c r="F429" s="66"/>
      <c r="G429" s="66"/>
      <c r="H429" s="66"/>
      <c r="I429" s="66"/>
      <c r="J429" s="66"/>
      <c r="K429" s="67" t="s">
        <v>35</v>
      </c>
      <c r="L429" s="62">
        <f>(E429*E425)+(F429*F425)+(G429*G425)+(H429*H425)+(I429*I425)+(J429*J425)</f>
        <v>0</v>
      </c>
      <c r="M429" s="57" t="s">
        <v>36</v>
      </c>
      <c r="N429" s="63" t="b">
        <v>0</v>
      </c>
    </row>
    <row r="430" ht="13.5" customHeight="1">
      <c r="A430" s="68"/>
      <c r="B430" s="69" t="str">
        <f>IFS(L430=0,"",B430&lt;&gt;"",B430,TRUE,NOW())</f>
        <v/>
      </c>
      <c r="C430" s="70" t="s">
        <v>37</v>
      </c>
      <c r="D430" s="33"/>
      <c r="E430" s="71"/>
      <c r="F430" s="71"/>
      <c r="G430" s="71"/>
      <c r="H430" s="71"/>
      <c r="I430" s="71"/>
      <c r="J430" s="71"/>
      <c r="K430" s="72" t="s">
        <v>38</v>
      </c>
      <c r="L430" s="73">
        <f>L429-L428</f>
        <v>0</v>
      </c>
      <c r="M430" s="74" t="s">
        <v>39</v>
      </c>
      <c r="N430" s="75" t="b">
        <v>0</v>
      </c>
    </row>
    <row r="431" ht="13.5" customHeight="1">
      <c r="A431" s="46" t="s">
        <v>40</v>
      </c>
      <c r="B431" s="52" t="s">
        <v>114</v>
      </c>
      <c r="C431" s="53" t="s">
        <v>27</v>
      </c>
      <c r="D431" s="54"/>
      <c r="E431" s="55">
        <f t="shared" ref="E431:J431" si="118">E429-E432</f>
        <v>0</v>
      </c>
      <c r="F431" s="55">
        <f t="shared" si="118"/>
        <v>0</v>
      </c>
      <c r="G431" s="55">
        <f t="shared" si="118"/>
        <v>0</v>
      </c>
      <c r="H431" s="55">
        <f t="shared" si="118"/>
        <v>0</v>
      </c>
      <c r="I431" s="55">
        <f t="shared" si="118"/>
        <v>0</v>
      </c>
      <c r="J431" s="55">
        <f t="shared" si="118"/>
        <v>0</v>
      </c>
      <c r="K431" s="56"/>
      <c r="L431" s="30"/>
      <c r="M431" s="57" t="s">
        <v>28</v>
      </c>
      <c r="N431" s="58" t="b">
        <v>0</v>
      </c>
    </row>
    <row r="432" ht="15.0" customHeight="1">
      <c r="A432" s="64"/>
      <c r="B432" s="59"/>
      <c r="C432" s="53" t="s">
        <v>30</v>
      </c>
      <c r="D432" s="54"/>
      <c r="E432" s="60"/>
      <c r="F432" s="60"/>
      <c r="G432" s="60"/>
      <c r="H432" s="60"/>
      <c r="I432" s="60"/>
      <c r="J432" s="60"/>
      <c r="K432" s="61" t="s">
        <v>30</v>
      </c>
      <c r="L432" s="62">
        <f>(E432*E425)+(F432*F425)+(G432*G425)+(H432*H425)+(I432*I425)+(J432*J425)</f>
        <v>0</v>
      </c>
      <c r="M432" s="57" t="s">
        <v>31</v>
      </c>
      <c r="N432" s="63" t="b">
        <v>0</v>
      </c>
    </row>
    <row r="433" ht="13.5" customHeight="1">
      <c r="A433" s="68"/>
      <c r="B433" s="65" t="s">
        <v>42</v>
      </c>
      <c r="C433" s="53" t="s">
        <v>34</v>
      </c>
      <c r="D433" s="54"/>
      <c r="E433" s="66"/>
      <c r="F433" s="66"/>
      <c r="G433" s="66"/>
      <c r="H433" s="66"/>
      <c r="I433" s="66"/>
      <c r="J433" s="66"/>
      <c r="K433" s="67" t="s">
        <v>35</v>
      </c>
      <c r="L433" s="62">
        <f>(E433*E425)+(F433*F425)+(G433*G425)+(H433*H425)+(I433*I425)+(J433*J425)</f>
        <v>0</v>
      </c>
      <c r="M433" s="57" t="s">
        <v>36</v>
      </c>
      <c r="N433" s="63" t="b">
        <v>0</v>
      </c>
    </row>
    <row r="434" ht="13.5" customHeight="1">
      <c r="A434" s="46" t="s">
        <v>43</v>
      </c>
      <c r="B434" s="69" t="str">
        <f>IFS(L434=0,"",B434&lt;&gt;"",B434,TRUE,NOW())</f>
        <v/>
      </c>
      <c r="C434" s="70" t="s">
        <v>37</v>
      </c>
      <c r="D434" s="33"/>
      <c r="E434" s="71"/>
      <c r="F434" s="71"/>
      <c r="G434" s="71"/>
      <c r="H434" s="71"/>
      <c r="I434" s="71"/>
      <c r="J434" s="71"/>
      <c r="K434" s="72" t="s">
        <v>38</v>
      </c>
      <c r="L434" s="73">
        <f>L433-L432</f>
        <v>0</v>
      </c>
      <c r="M434" s="74" t="s">
        <v>39</v>
      </c>
      <c r="N434" s="75" t="b">
        <v>0</v>
      </c>
    </row>
    <row r="435" ht="13.5" customHeight="1">
      <c r="A435" s="64"/>
      <c r="B435" s="52" t="s">
        <v>114</v>
      </c>
      <c r="C435" s="53" t="s">
        <v>27</v>
      </c>
      <c r="D435" s="54"/>
      <c r="E435" s="55">
        <f t="shared" ref="E435:J435" si="119">E433-E436</f>
        <v>0</v>
      </c>
      <c r="F435" s="55">
        <f t="shared" si="119"/>
        <v>0</v>
      </c>
      <c r="G435" s="55">
        <f t="shared" si="119"/>
        <v>0</v>
      </c>
      <c r="H435" s="55">
        <f t="shared" si="119"/>
        <v>0</v>
      </c>
      <c r="I435" s="55">
        <f t="shared" si="119"/>
        <v>0</v>
      </c>
      <c r="J435" s="55">
        <f t="shared" si="119"/>
        <v>0</v>
      </c>
      <c r="K435" s="56"/>
      <c r="L435" s="30"/>
      <c r="M435" s="57" t="s">
        <v>28</v>
      </c>
      <c r="N435" s="58" t="b">
        <v>0</v>
      </c>
    </row>
    <row r="436" ht="13.5" customHeight="1">
      <c r="A436" s="46" t="s">
        <v>45</v>
      </c>
      <c r="B436" s="59"/>
      <c r="C436" s="53" t="s">
        <v>30</v>
      </c>
      <c r="D436" s="54"/>
      <c r="E436" s="60"/>
      <c r="F436" s="60"/>
      <c r="G436" s="60"/>
      <c r="H436" s="60"/>
      <c r="I436" s="60"/>
      <c r="J436" s="60"/>
      <c r="K436" s="61" t="s">
        <v>30</v>
      </c>
      <c r="L436" s="62">
        <f>(E436*E425)+(F436*F425)+(G436*G425)+(H436*H425)+(I436*I425)+(J436*J425)</f>
        <v>0</v>
      </c>
      <c r="M436" s="57" t="s">
        <v>31</v>
      </c>
      <c r="N436" s="63" t="b">
        <v>0</v>
      </c>
    </row>
    <row r="437" ht="15.0" customHeight="1">
      <c r="A437" s="77"/>
      <c r="B437" s="65" t="s">
        <v>47</v>
      </c>
      <c r="C437" s="53" t="s">
        <v>34</v>
      </c>
      <c r="D437" s="54"/>
      <c r="E437" s="66"/>
      <c r="F437" s="66"/>
      <c r="G437" s="66"/>
      <c r="H437" s="66"/>
      <c r="I437" s="66"/>
      <c r="J437" s="66"/>
      <c r="K437" s="67" t="s">
        <v>35</v>
      </c>
      <c r="L437" s="62">
        <f>(E437*E425)+(F437*F425)+(G437*G425)+(H437*H425)+(I437*I425)+(J437*J425)</f>
        <v>0</v>
      </c>
      <c r="M437" s="57" t="s">
        <v>36</v>
      </c>
      <c r="N437" s="63" t="b">
        <v>0</v>
      </c>
    </row>
    <row r="438" ht="13.5" customHeight="1">
      <c r="A438" s="68"/>
      <c r="B438" s="69" t="str">
        <f>IFS(L438=0,"",B438&lt;&gt;"",B438,TRUE,NOW())</f>
        <v/>
      </c>
      <c r="C438" s="70" t="s">
        <v>37</v>
      </c>
      <c r="D438" s="33"/>
      <c r="E438" s="71"/>
      <c r="F438" s="71"/>
      <c r="G438" s="71"/>
      <c r="H438" s="71"/>
      <c r="I438" s="71"/>
      <c r="J438" s="71"/>
      <c r="K438" s="72" t="s">
        <v>38</v>
      </c>
      <c r="L438" s="73">
        <f>L437-L436</f>
        <v>0</v>
      </c>
      <c r="M438" s="74" t="s">
        <v>39</v>
      </c>
      <c r="N438" s="75" t="b">
        <v>0</v>
      </c>
    </row>
    <row r="439" ht="13.5" customHeight="1">
      <c r="A439" s="78" t="s">
        <v>48</v>
      </c>
      <c r="B439" s="52" t="s">
        <v>114</v>
      </c>
      <c r="C439" s="53" t="s">
        <v>27</v>
      </c>
      <c r="D439" s="54"/>
      <c r="E439" s="55">
        <f t="shared" ref="E439:J439" si="120">E437-E440</f>
        <v>0</v>
      </c>
      <c r="F439" s="55">
        <f t="shared" si="120"/>
        <v>0</v>
      </c>
      <c r="G439" s="55">
        <f t="shared" si="120"/>
        <v>0</v>
      </c>
      <c r="H439" s="55">
        <f t="shared" si="120"/>
        <v>0</v>
      </c>
      <c r="I439" s="55">
        <f t="shared" si="120"/>
        <v>0</v>
      </c>
      <c r="J439" s="55">
        <f t="shared" si="120"/>
        <v>0</v>
      </c>
      <c r="K439" s="56"/>
      <c r="L439" s="30"/>
      <c r="M439" s="57" t="s">
        <v>28</v>
      </c>
      <c r="N439" s="58" t="b">
        <v>0</v>
      </c>
    </row>
    <row r="440" ht="13.5" customHeight="1">
      <c r="A440" s="87"/>
      <c r="B440" s="59"/>
      <c r="C440" s="53" t="s">
        <v>30</v>
      </c>
      <c r="D440" s="54"/>
      <c r="E440" s="60"/>
      <c r="F440" s="60"/>
      <c r="G440" s="60"/>
      <c r="H440" s="60"/>
      <c r="I440" s="60"/>
      <c r="J440" s="60"/>
      <c r="K440" s="61" t="s">
        <v>30</v>
      </c>
      <c r="L440" s="62">
        <f>(E440*E425)+(F440*F425)+(G440*G425)+(H440*H425)+(I440*I425)+(J440*J425)</f>
        <v>0</v>
      </c>
      <c r="M440" s="57" t="s">
        <v>31</v>
      </c>
      <c r="N440" s="63" t="b">
        <v>0</v>
      </c>
    </row>
    <row r="441" ht="13.5" customHeight="1">
      <c r="A441" s="68"/>
      <c r="B441" s="65" t="s">
        <v>49</v>
      </c>
      <c r="C441" s="53" t="s">
        <v>34</v>
      </c>
      <c r="D441" s="54"/>
      <c r="E441" s="66"/>
      <c r="F441" s="66"/>
      <c r="G441" s="66"/>
      <c r="H441" s="66"/>
      <c r="I441" s="66"/>
      <c r="J441" s="66"/>
      <c r="K441" s="67" t="s">
        <v>35</v>
      </c>
      <c r="L441" s="62">
        <f>(E441*E425)+(F441*F425)+(G441*G425)+(H441*H425)+(I441*I425)+(J441*J425)</f>
        <v>0</v>
      </c>
      <c r="M441" s="57" t="s">
        <v>36</v>
      </c>
      <c r="N441" s="63" t="b">
        <v>0</v>
      </c>
    </row>
    <row r="442" ht="15.0" customHeight="1">
      <c r="A442" s="80"/>
      <c r="B442" s="69" t="str">
        <f>IFS(L442=0,"",B442&lt;&gt;"",B442,TRUE,NOW())</f>
        <v/>
      </c>
      <c r="C442" s="86" t="s">
        <v>37</v>
      </c>
      <c r="D442" s="59"/>
      <c r="E442" s="81"/>
      <c r="F442" s="81"/>
      <c r="G442" s="81"/>
      <c r="H442" s="82"/>
      <c r="I442" s="81"/>
      <c r="J442" s="81"/>
      <c r="K442" s="72" t="s">
        <v>38</v>
      </c>
      <c r="L442" s="73">
        <f>L441-L440</f>
        <v>0</v>
      </c>
      <c r="M442" s="74" t="s">
        <v>39</v>
      </c>
      <c r="N442" s="75" t="b">
        <v>0</v>
      </c>
    </row>
    <row r="443" ht="13.5" customHeight="1">
      <c r="A443" s="83" t="s">
        <v>115</v>
      </c>
      <c r="B443" s="42" t="s">
        <v>20</v>
      </c>
      <c r="C443" s="24"/>
      <c r="D443" s="33"/>
      <c r="E443" s="43">
        <f t="shared" ref="E443:J443" si="121">E6</f>
        <v>17</v>
      </c>
      <c r="F443" s="43">
        <f t="shared" si="121"/>
        <v>27</v>
      </c>
      <c r="G443" s="43">
        <f t="shared" si="121"/>
        <v>27</v>
      </c>
      <c r="H443" s="43">
        <f t="shared" si="121"/>
        <v>27</v>
      </c>
      <c r="I443" s="43">
        <f t="shared" si="121"/>
        <v>32</v>
      </c>
      <c r="J443" s="44">
        <f t="shared" si="121"/>
        <v>37</v>
      </c>
      <c r="K443" s="42" t="s">
        <v>21</v>
      </c>
      <c r="L443" s="25"/>
      <c r="M443" s="45" t="s">
        <v>22</v>
      </c>
      <c r="N443" s="25"/>
    </row>
    <row r="444" ht="13.5" customHeight="1">
      <c r="A444" s="46" t="s">
        <v>23</v>
      </c>
      <c r="B444" s="47" t="s">
        <v>24</v>
      </c>
      <c r="C444" s="32" t="s">
        <v>25</v>
      </c>
      <c r="D444" s="33"/>
      <c r="E444" s="48"/>
      <c r="F444" s="48"/>
      <c r="G444" s="48"/>
      <c r="H444" s="48"/>
      <c r="I444" s="48"/>
      <c r="J444" s="48"/>
      <c r="K444" s="49"/>
      <c r="L444" s="25"/>
      <c r="M444" s="50"/>
      <c r="N444" s="10"/>
    </row>
    <row r="445" ht="13.5" customHeight="1">
      <c r="A445" s="92"/>
      <c r="B445" s="52" t="s">
        <v>116</v>
      </c>
      <c r="C445" s="53" t="s">
        <v>27</v>
      </c>
      <c r="D445" s="54"/>
      <c r="E445" s="55">
        <f t="shared" ref="E445:J445" si="122">E444-E446</f>
        <v>0</v>
      </c>
      <c r="F445" s="55">
        <f t="shared" si="122"/>
        <v>0</v>
      </c>
      <c r="G445" s="55">
        <f t="shared" si="122"/>
        <v>0</v>
      </c>
      <c r="H445" s="55">
        <f t="shared" si="122"/>
        <v>0</v>
      </c>
      <c r="I445" s="55">
        <f t="shared" si="122"/>
        <v>0</v>
      </c>
      <c r="J445" s="55">
        <f t="shared" si="122"/>
        <v>0</v>
      </c>
      <c r="K445" s="56"/>
      <c r="L445" s="30"/>
      <c r="M445" s="57" t="s">
        <v>28</v>
      </c>
      <c r="N445" s="58" t="b">
        <v>0</v>
      </c>
    </row>
    <row r="446" ht="13.5" customHeight="1">
      <c r="A446" s="46" t="s">
        <v>29</v>
      </c>
      <c r="B446" s="59"/>
      <c r="C446" s="53" t="s">
        <v>30</v>
      </c>
      <c r="D446" s="54"/>
      <c r="E446" s="60"/>
      <c r="F446" s="60"/>
      <c r="G446" s="60"/>
      <c r="H446" s="60"/>
      <c r="I446" s="60"/>
      <c r="J446" s="60"/>
      <c r="K446" s="61" t="s">
        <v>30</v>
      </c>
      <c r="L446" s="62">
        <f>(E446*E443)+(F446*F443)+(G446*G443)+(H446*H443)+(I446*I443)+(J446*J443)</f>
        <v>0</v>
      </c>
      <c r="M446" s="57" t="s">
        <v>31</v>
      </c>
      <c r="N446" s="63" t="b">
        <v>0</v>
      </c>
    </row>
    <row r="447" ht="13.5" customHeight="1">
      <c r="A447" s="64"/>
      <c r="B447" s="65" t="s">
        <v>33</v>
      </c>
      <c r="C447" s="53" t="s">
        <v>34</v>
      </c>
      <c r="D447" s="54"/>
      <c r="E447" s="66"/>
      <c r="F447" s="66"/>
      <c r="G447" s="66"/>
      <c r="H447" s="66"/>
      <c r="I447" s="66"/>
      <c r="J447" s="66"/>
      <c r="K447" s="67" t="s">
        <v>35</v>
      </c>
      <c r="L447" s="62">
        <f>(E447*E443)+(F447*F443)+(G447*G443)+(H447*H443)+(I447*I443)+(J447*J443)</f>
        <v>0</v>
      </c>
      <c r="M447" s="57" t="s">
        <v>36</v>
      </c>
      <c r="N447" s="63" t="b">
        <v>0</v>
      </c>
    </row>
    <row r="448" ht="13.5" customHeight="1">
      <c r="A448" s="68"/>
      <c r="B448" s="69" t="str">
        <f>IFS(L448=0,"",B448&lt;&gt;"",B448,TRUE,NOW())</f>
        <v/>
      </c>
      <c r="C448" s="70" t="s">
        <v>37</v>
      </c>
      <c r="D448" s="33"/>
      <c r="E448" s="71"/>
      <c r="F448" s="71"/>
      <c r="G448" s="71"/>
      <c r="H448" s="71"/>
      <c r="I448" s="71"/>
      <c r="J448" s="71"/>
      <c r="K448" s="72" t="s">
        <v>38</v>
      </c>
      <c r="L448" s="73">
        <f>L447-L446</f>
        <v>0</v>
      </c>
      <c r="M448" s="74" t="s">
        <v>39</v>
      </c>
      <c r="N448" s="75" t="b">
        <v>0</v>
      </c>
    </row>
    <row r="449" ht="17.25" customHeight="1">
      <c r="A449" s="46" t="s">
        <v>40</v>
      </c>
      <c r="B449" s="52" t="s">
        <v>116</v>
      </c>
      <c r="C449" s="53" t="s">
        <v>27</v>
      </c>
      <c r="D449" s="54"/>
      <c r="E449" s="55">
        <f t="shared" ref="E449:J449" si="123">E447-E450</f>
        <v>0</v>
      </c>
      <c r="F449" s="55">
        <f t="shared" si="123"/>
        <v>0</v>
      </c>
      <c r="G449" s="55">
        <f t="shared" si="123"/>
        <v>0</v>
      </c>
      <c r="H449" s="55">
        <f t="shared" si="123"/>
        <v>0</v>
      </c>
      <c r="I449" s="55">
        <f t="shared" si="123"/>
        <v>0</v>
      </c>
      <c r="J449" s="55">
        <f t="shared" si="123"/>
        <v>0</v>
      </c>
      <c r="K449" s="56"/>
      <c r="L449" s="30"/>
      <c r="M449" s="57" t="s">
        <v>28</v>
      </c>
      <c r="N449" s="58" t="b">
        <v>0</v>
      </c>
    </row>
    <row r="450" ht="13.5" customHeight="1">
      <c r="A450" s="64"/>
      <c r="B450" s="59"/>
      <c r="C450" s="53" t="s">
        <v>30</v>
      </c>
      <c r="D450" s="54"/>
      <c r="E450" s="60"/>
      <c r="F450" s="60"/>
      <c r="G450" s="60"/>
      <c r="H450" s="60"/>
      <c r="I450" s="60"/>
      <c r="J450" s="60"/>
      <c r="K450" s="61" t="s">
        <v>30</v>
      </c>
      <c r="L450" s="62">
        <f>(E450*E443)+(F450*F443)+(G450*G443)+(H450*H443)+(I450*I443)+(J450*J443)</f>
        <v>0</v>
      </c>
      <c r="M450" s="57" t="s">
        <v>31</v>
      </c>
      <c r="N450" s="63" t="b">
        <v>0</v>
      </c>
    </row>
    <row r="451" ht="13.5" customHeight="1">
      <c r="A451" s="68"/>
      <c r="B451" s="65" t="s">
        <v>42</v>
      </c>
      <c r="C451" s="53" t="s">
        <v>34</v>
      </c>
      <c r="D451" s="54"/>
      <c r="E451" s="66"/>
      <c r="F451" s="66"/>
      <c r="G451" s="66"/>
      <c r="H451" s="66"/>
      <c r="I451" s="66"/>
      <c r="J451" s="66"/>
      <c r="K451" s="67" t="s">
        <v>35</v>
      </c>
      <c r="L451" s="62">
        <f>(E451*E443)+(F451*F443)+(G451*G443)+(H451*H443)+(I451*I443)+(J451*J443)</f>
        <v>0</v>
      </c>
      <c r="M451" s="57" t="s">
        <v>36</v>
      </c>
      <c r="N451" s="63" t="b">
        <v>0</v>
      </c>
    </row>
    <row r="452" ht="13.5" customHeight="1">
      <c r="A452" s="46" t="s">
        <v>43</v>
      </c>
      <c r="B452" s="69" t="str">
        <f>IFS(L452=0,"",B452&lt;&gt;"",B452,TRUE,NOW())</f>
        <v/>
      </c>
      <c r="C452" s="70" t="s">
        <v>37</v>
      </c>
      <c r="D452" s="33"/>
      <c r="E452" s="71"/>
      <c r="F452" s="71"/>
      <c r="G452" s="71"/>
      <c r="H452" s="71"/>
      <c r="I452" s="71"/>
      <c r="J452" s="71"/>
      <c r="K452" s="72" t="s">
        <v>38</v>
      </c>
      <c r="L452" s="73">
        <f>L451-L450</f>
        <v>0</v>
      </c>
      <c r="M452" s="74" t="s">
        <v>39</v>
      </c>
      <c r="N452" s="75" t="b">
        <v>0</v>
      </c>
    </row>
    <row r="453" ht="13.5" customHeight="1">
      <c r="A453" s="64"/>
      <c r="B453" s="52" t="s">
        <v>116</v>
      </c>
      <c r="C453" s="53" t="s">
        <v>27</v>
      </c>
      <c r="D453" s="54"/>
      <c r="E453" s="55">
        <f t="shared" ref="E453:J453" si="124">E451-E454</f>
        <v>0</v>
      </c>
      <c r="F453" s="55">
        <f t="shared" si="124"/>
        <v>0</v>
      </c>
      <c r="G453" s="55">
        <f t="shared" si="124"/>
        <v>0</v>
      </c>
      <c r="H453" s="55">
        <f t="shared" si="124"/>
        <v>0</v>
      </c>
      <c r="I453" s="55">
        <f t="shared" si="124"/>
        <v>0</v>
      </c>
      <c r="J453" s="55">
        <f t="shared" si="124"/>
        <v>0</v>
      </c>
      <c r="K453" s="56"/>
      <c r="L453" s="30"/>
      <c r="M453" s="57" t="s">
        <v>28</v>
      </c>
      <c r="N453" s="58" t="b">
        <v>0</v>
      </c>
    </row>
    <row r="454" ht="15.0" customHeight="1">
      <c r="A454" s="46" t="s">
        <v>45</v>
      </c>
      <c r="B454" s="59"/>
      <c r="C454" s="53" t="s">
        <v>30</v>
      </c>
      <c r="D454" s="54"/>
      <c r="E454" s="60"/>
      <c r="F454" s="60"/>
      <c r="G454" s="60"/>
      <c r="H454" s="60"/>
      <c r="I454" s="60"/>
      <c r="J454" s="60"/>
      <c r="K454" s="61" t="s">
        <v>30</v>
      </c>
      <c r="L454" s="62">
        <f>(E454*E443)+(F454*F443)+(G454*G443)+(H454*H443)+(I454*I443)+(J454*J443)</f>
        <v>0</v>
      </c>
      <c r="M454" s="57" t="s">
        <v>31</v>
      </c>
      <c r="N454" s="63" t="b">
        <v>0</v>
      </c>
    </row>
    <row r="455" ht="13.5" customHeight="1">
      <c r="A455" s="77"/>
      <c r="B455" s="65" t="s">
        <v>47</v>
      </c>
      <c r="C455" s="53" t="s">
        <v>34</v>
      </c>
      <c r="D455" s="54"/>
      <c r="E455" s="66"/>
      <c r="F455" s="66"/>
      <c r="G455" s="66"/>
      <c r="H455" s="66"/>
      <c r="I455" s="66"/>
      <c r="J455" s="66"/>
      <c r="K455" s="67" t="s">
        <v>35</v>
      </c>
      <c r="L455" s="62">
        <f>(E455*E443)+(F455*F443)+(G455*G443)+(H455*H443)+(I455*I443)+(J455*J443)</f>
        <v>0</v>
      </c>
      <c r="M455" s="57" t="s">
        <v>36</v>
      </c>
      <c r="N455" s="63" t="b">
        <v>0</v>
      </c>
    </row>
    <row r="456" ht="13.5" customHeight="1">
      <c r="A456" s="68"/>
      <c r="B456" s="69" t="str">
        <f>IFS(L456=0,"",B456&lt;&gt;"",B456,TRUE,NOW())</f>
        <v/>
      </c>
      <c r="C456" s="70" t="s">
        <v>37</v>
      </c>
      <c r="D456" s="33"/>
      <c r="E456" s="71"/>
      <c r="F456" s="71"/>
      <c r="G456" s="71"/>
      <c r="H456" s="71"/>
      <c r="I456" s="71"/>
      <c r="J456" s="71"/>
      <c r="K456" s="72" t="s">
        <v>38</v>
      </c>
      <c r="L456" s="73">
        <f>L455-L454</f>
        <v>0</v>
      </c>
      <c r="M456" s="74" t="s">
        <v>39</v>
      </c>
      <c r="N456" s="75" t="b">
        <v>0</v>
      </c>
    </row>
    <row r="457" ht="13.5" customHeight="1">
      <c r="A457" s="78" t="s">
        <v>48</v>
      </c>
      <c r="B457" s="52" t="s">
        <v>116</v>
      </c>
      <c r="C457" s="53" t="s">
        <v>27</v>
      </c>
      <c r="D457" s="54"/>
      <c r="E457" s="55">
        <f t="shared" ref="E457:J457" si="125">E455-E458</f>
        <v>0</v>
      </c>
      <c r="F457" s="55">
        <f t="shared" si="125"/>
        <v>0</v>
      </c>
      <c r="G457" s="55">
        <f t="shared" si="125"/>
        <v>0</v>
      </c>
      <c r="H457" s="55">
        <f t="shared" si="125"/>
        <v>0</v>
      </c>
      <c r="I457" s="55">
        <f t="shared" si="125"/>
        <v>0</v>
      </c>
      <c r="J457" s="55">
        <f t="shared" si="125"/>
        <v>0</v>
      </c>
      <c r="K457" s="56"/>
      <c r="L457" s="30"/>
      <c r="M457" s="57" t="s">
        <v>28</v>
      </c>
      <c r="N457" s="58" t="b">
        <v>0</v>
      </c>
    </row>
    <row r="458" ht="13.5" customHeight="1">
      <c r="A458" s="87"/>
      <c r="B458" s="59"/>
      <c r="C458" s="53" t="s">
        <v>30</v>
      </c>
      <c r="D458" s="54"/>
      <c r="E458" s="60"/>
      <c r="F458" s="60"/>
      <c r="G458" s="60"/>
      <c r="H458" s="60"/>
      <c r="I458" s="60"/>
      <c r="J458" s="60"/>
      <c r="K458" s="61" t="s">
        <v>30</v>
      </c>
      <c r="L458" s="62">
        <f>(E458*E443)+(F458*F443)+(G458*G443)+(H458*H443)+(I458*I443)+(J458*J443)</f>
        <v>0</v>
      </c>
      <c r="M458" s="57" t="s">
        <v>31</v>
      </c>
      <c r="N458" s="63" t="b">
        <v>0</v>
      </c>
    </row>
    <row r="459" ht="15.0" customHeight="1">
      <c r="A459" s="68"/>
      <c r="B459" s="65" t="s">
        <v>49</v>
      </c>
      <c r="C459" s="53" t="s">
        <v>34</v>
      </c>
      <c r="D459" s="54"/>
      <c r="E459" s="66"/>
      <c r="F459" s="66"/>
      <c r="G459" s="66"/>
      <c r="H459" s="66"/>
      <c r="I459" s="66"/>
      <c r="J459" s="66"/>
      <c r="K459" s="67" t="s">
        <v>35</v>
      </c>
      <c r="L459" s="62">
        <f>(E459*E443)+(F459*F443)+(G459*G443)+(H459*H443)+(I459*I443)+(J459*J443)</f>
        <v>0</v>
      </c>
      <c r="M459" s="57" t="s">
        <v>36</v>
      </c>
      <c r="N459" s="63" t="b">
        <v>0</v>
      </c>
    </row>
    <row r="460" ht="13.5" customHeight="1">
      <c r="A460" s="80"/>
      <c r="B460" s="69" t="str">
        <f>IFS(L460=0,"",B460&lt;&gt;"",B460,TRUE,NOW())</f>
        <v/>
      </c>
      <c r="C460" s="86" t="s">
        <v>37</v>
      </c>
      <c r="D460" s="59"/>
      <c r="E460" s="93"/>
      <c r="F460" s="93"/>
      <c r="G460" s="93"/>
      <c r="H460" s="93"/>
      <c r="I460" s="93"/>
      <c r="J460" s="93"/>
      <c r="K460" s="72" t="s">
        <v>38</v>
      </c>
      <c r="L460" s="73">
        <f>L459-L458</f>
        <v>0</v>
      </c>
      <c r="M460" s="74" t="s">
        <v>39</v>
      </c>
      <c r="N460" s="75" t="b">
        <v>0</v>
      </c>
    </row>
    <row r="461" ht="13.5" customHeight="1">
      <c r="A461" s="94" t="s">
        <v>117</v>
      </c>
      <c r="B461" s="95" t="s">
        <v>20</v>
      </c>
      <c r="C461" s="96"/>
      <c r="D461" s="10"/>
      <c r="E461" s="97">
        <f t="shared" ref="E461:J461" si="126">E6</f>
        <v>17</v>
      </c>
      <c r="F461" s="97">
        <f t="shared" si="126"/>
        <v>27</v>
      </c>
      <c r="G461" s="97">
        <f t="shared" si="126"/>
        <v>27</v>
      </c>
      <c r="H461" s="97">
        <f t="shared" si="126"/>
        <v>27</v>
      </c>
      <c r="I461" s="97">
        <f t="shared" si="126"/>
        <v>32</v>
      </c>
      <c r="J461" s="97">
        <f t="shared" si="126"/>
        <v>37</v>
      </c>
      <c r="K461" s="95" t="s">
        <v>21</v>
      </c>
      <c r="L461" s="10"/>
      <c r="M461" s="98" t="s">
        <v>118</v>
      </c>
      <c r="N461" s="10"/>
    </row>
    <row r="462" ht="20.25" customHeight="1">
      <c r="A462" s="99" t="s">
        <v>23</v>
      </c>
      <c r="B462" s="100" t="s">
        <v>117</v>
      </c>
      <c r="C462" s="53" t="s">
        <v>30</v>
      </c>
      <c r="D462" s="54"/>
      <c r="E462" s="60"/>
      <c r="F462" s="60"/>
      <c r="G462" s="60"/>
      <c r="H462" s="60"/>
      <c r="I462" s="60"/>
      <c r="J462" s="60"/>
      <c r="K462" s="61" t="s">
        <v>30</v>
      </c>
      <c r="L462" s="62">
        <f>(E462*E461)+(F462*F461)+(G462*G461)+(H462*H461)+(I462*I461)+(J462*J461)</f>
        <v>0</v>
      </c>
      <c r="M462" s="57" t="s">
        <v>119</v>
      </c>
      <c r="N462" s="63" t="b">
        <v>0</v>
      </c>
    </row>
    <row r="463" ht="13.5" customHeight="1">
      <c r="A463" s="101"/>
      <c r="B463" s="59"/>
      <c r="C463" s="53" t="s">
        <v>34</v>
      </c>
      <c r="D463" s="54"/>
      <c r="E463" s="66"/>
      <c r="F463" s="66"/>
      <c r="G463" s="66"/>
      <c r="H463" s="66"/>
      <c r="I463" s="66"/>
      <c r="J463" s="66"/>
      <c r="K463" s="67" t="s">
        <v>35</v>
      </c>
      <c r="L463" s="62">
        <f>(E463*E461)+(F463*F461)+(G463*G461)+(H463*H461)+(I463*I461)+(J463*J461)</f>
        <v>0</v>
      </c>
      <c r="M463" s="57" t="s">
        <v>121</v>
      </c>
      <c r="N463" s="63" t="b">
        <v>0</v>
      </c>
    </row>
    <row r="464" ht="13.5" customHeight="1">
      <c r="A464" s="80"/>
      <c r="B464" s="102" t="s">
        <v>33</v>
      </c>
      <c r="C464" s="70" t="s">
        <v>37</v>
      </c>
      <c r="D464" s="33"/>
      <c r="E464" s="71"/>
      <c r="F464" s="71"/>
      <c r="G464" s="71"/>
      <c r="H464" s="71"/>
      <c r="I464" s="71"/>
      <c r="J464" s="71"/>
      <c r="K464" s="72" t="s">
        <v>38</v>
      </c>
      <c r="L464" s="73">
        <f>L463-L462</f>
        <v>0</v>
      </c>
      <c r="M464" s="74" t="s">
        <v>122</v>
      </c>
      <c r="N464" s="75" t="b">
        <v>0</v>
      </c>
    </row>
    <row r="465" ht="13.5" customHeight="1">
      <c r="A465" s="99" t="s">
        <v>23</v>
      </c>
      <c r="B465" s="100" t="s">
        <v>117</v>
      </c>
      <c r="C465" s="53" t="s">
        <v>30</v>
      </c>
      <c r="D465" s="54"/>
      <c r="E465" s="60"/>
      <c r="F465" s="60"/>
      <c r="G465" s="60"/>
      <c r="H465" s="60"/>
      <c r="I465" s="60"/>
      <c r="J465" s="60"/>
      <c r="K465" s="61" t="s">
        <v>30</v>
      </c>
      <c r="L465" s="62">
        <f>(E465*E461)+(F465*F461)+(G465*G461)+(H465*H461)+(I465*I461)+(J465*J461)</f>
        <v>0</v>
      </c>
      <c r="M465" s="57" t="s">
        <v>119</v>
      </c>
      <c r="N465" s="63" t="b">
        <v>0</v>
      </c>
    </row>
    <row r="466" ht="13.5" customHeight="1">
      <c r="A466" s="101" t="s">
        <v>172</v>
      </c>
      <c r="B466" s="59"/>
      <c r="C466" s="53" t="s">
        <v>34</v>
      </c>
      <c r="D466" s="54"/>
      <c r="E466" s="66"/>
      <c r="F466" s="66"/>
      <c r="G466" s="66"/>
      <c r="H466" s="66"/>
      <c r="I466" s="66"/>
      <c r="J466" s="66"/>
      <c r="K466" s="67" t="s">
        <v>35</v>
      </c>
      <c r="L466" s="62">
        <f>(E466*E461)+(F466*F461)+(G466*G461)+(H466*H461)+(I466*I461)+(J466*J461)</f>
        <v>0</v>
      </c>
      <c r="M466" s="57" t="s">
        <v>121</v>
      </c>
      <c r="N466" s="63" t="b">
        <v>0</v>
      </c>
    </row>
    <row r="467" ht="13.5" customHeight="1">
      <c r="A467" s="80"/>
      <c r="B467" s="102" t="s">
        <v>42</v>
      </c>
      <c r="C467" s="70" t="s">
        <v>37</v>
      </c>
      <c r="D467" s="33"/>
      <c r="E467" s="71"/>
      <c r="F467" s="71"/>
      <c r="G467" s="71"/>
      <c r="H467" s="71"/>
      <c r="I467" s="71"/>
      <c r="J467" s="71"/>
      <c r="K467" s="72" t="s">
        <v>38</v>
      </c>
      <c r="L467" s="73">
        <f>L466-L465</f>
        <v>0</v>
      </c>
      <c r="M467" s="74" t="s">
        <v>122</v>
      </c>
      <c r="N467" s="75" t="b">
        <v>0</v>
      </c>
    </row>
    <row r="468" ht="13.5" customHeight="1">
      <c r="A468" s="99" t="s">
        <v>23</v>
      </c>
      <c r="B468" s="100" t="s">
        <v>117</v>
      </c>
      <c r="C468" s="53" t="s">
        <v>30</v>
      </c>
      <c r="D468" s="54"/>
      <c r="E468" s="60"/>
      <c r="F468" s="60"/>
      <c r="G468" s="60"/>
      <c r="H468" s="60"/>
      <c r="I468" s="60"/>
      <c r="J468" s="60"/>
      <c r="K468" s="61" t="s">
        <v>30</v>
      </c>
      <c r="L468" s="62">
        <f>(E468*E461)+(F468*F461)+(G468*G461)+(H468*H461)+(I468*I461)+(J468*J461)</f>
        <v>0</v>
      </c>
      <c r="M468" s="57" t="s">
        <v>119</v>
      </c>
      <c r="N468" s="63" t="b">
        <v>0</v>
      </c>
    </row>
    <row r="469" ht="13.5" customHeight="1">
      <c r="A469" s="103"/>
      <c r="B469" s="59"/>
      <c r="C469" s="53" t="s">
        <v>34</v>
      </c>
      <c r="D469" s="54"/>
      <c r="E469" s="66"/>
      <c r="F469" s="66"/>
      <c r="G469" s="66"/>
      <c r="H469" s="66"/>
      <c r="I469" s="66"/>
      <c r="J469" s="66"/>
      <c r="K469" s="67" t="s">
        <v>35</v>
      </c>
      <c r="L469" s="62">
        <f>(E469*E461)+(F469*F461)+(G469*G461)+(H469*H461)+(I469*I461)+(J469*J461)</f>
        <v>0</v>
      </c>
      <c r="M469" s="57" t="s">
        <v>121</v>
      </c>
      <c r="N469" s="63" t="b">
        <v>0</v>
      </c>
    </row>
    <row r="470" ht="13.5" customHeight="1">
      <c r="A470" s="80"/>
      <c r="B470" s="102" t="s">
        <v>47</v>
      </c>
      <c r="C470" s="70" t="s">
        <v>37</v>
      </c>
      <c r="D470" s="33"/>
      <c r="E470" s="71"/>
      <c r="F470" s="71"/>
      <c r="G470" s="71"/>
      <c r="H470" s="71"/>
      <c r="I470" s="71"/>
      <c r="J470" s="71"/>
      <c r="K470" s="72" t="s">
        <v>38</v>
      </c>
      <c r="L470" s="73">
        <f>L469-L468</f>
        <v>0</v>
      </c>
      <c r="M470" s="74" t="s">
        <v>122</v>
      </c>
      <c r="N470" s="75" t="b">
        <v>0</v>
      </c>
    </row>
    <row r="471" ht="18.75" customHeight="1">
      <c r="A471" s="99" t="s">
        <v>23</v>
      </c>
      <c r="B471" s="100" t="s">
        <v>117</v>
      </c>
      <c r="C471" s="53" t="s">
        <v>30</v>
      </c>
      <c r="D471" s="54"/>
      <c r="E471" s="60"/>
      <c r="F471" s="60"/>
      <c r="G471" s="60"/>
      <c r="H471" s="60"/>
      <c r="I471" s="60"/>
      <c r="J471" s="60"/>
      <c r="K471" s="61" t="s">
        <v>30</v>
      </c>
      <c r="L471" s="62">
        <f>(E471*E461)+(F471*F461)+(G471*G461)+(H471*H461)+(I471*I461)+(J471*J461)</f>
        <v>0</v>
      </c>
      <c r="M471" s="57" t="s">
        <v>119</v>
      </c>
      <c r="N471" s="63" t="b">
        <v>0</v>
      </c>
    </row>
    <row r="472" ht="13.5" customHeight="1">
      <c r="A472" s="101" t="s">
        <v>172</v>
      </c>
      <c r="B472" s="59"/>
      <c r="C472" s="53" t="s">
        <v>34</v>
      </c>
      <c r="D472" s="54"/>
      <c r="E472" s="66"/>
      <c r="F472" s="66"/>
      <c r="G472" s="66"/>
      <c r="H472" s="66"/>
      <c r="I472" s="66"/>
      <c r="J472" s="66"/>
      <c r="K472" s="67" t="s">
        <v>35</v>
      </c>
      <c r="L472" s="62">
        <f>(E472*E461)+(F472*F461)+(G472*G461)+(H472*H461)+(I472*I461)+(J472*J461)</f>
        <v>0</v>
      </c>
      <c r="M472" s="57" t="s">
        <v>121</v>
      </c>
      <c r="N472" s="63" t="b">
        <v>0</v>
      </c>
    </row>
    <row r="473" ht="13.5" customHeight="1">
      <c r="A473" s="80"/>
      <c r="B473" s="102" t="s">
        <v>49</v>
      </c>
      <c r="C473" s="70" t="s">
        <v>37</v>
      </c>
      <c r="D473" s="33"/>
      <c r="E473" s="71"/>
      <c r="F473" s="71"/>
      <c r="G473" s="71"/>
      <c r="H473" s="71"/>
      <c r="I473" s="71"/>
      <c r="J473" s="71"/>
      <c r="K473" s="72" t="s">
        <v>38</v>
      </c>
      <c r="L473" s="73">
        <f>L472-L471</f>
        <v>0</v>
      </c>
      <c r="M473" s="74" t="s">
        <v>122</v>
      </c>
      <c r="N473" s="75" t="b">
        <v>0</v>
      </c>
    </row>
    <row r="474" ht="13.5" customHeight="1">
      <c r="A474" s="94" t="s">
        <v>123</v>
      </c>
      <c r="B474" s="95" t="s">
        <v>20</v>
      </c>
      <c r="C474" s="96"/>
      <c r="D474" s="10"/>
      <c r="E474" s="97">
        <f t="shared" ref="E474:J474" si="127">E6</f>
        <v>17</v>
      </c>
      <c r="F474" s="97">
        <f t="shared" si="127"/>
        <v>27</v>
      </c>
      <c r="G474" s="97">
        <f t="shared" si="127"/>
        <v>27</v>
      </c>
      <c r="H474" s="97">
        <f t="shared" si="127"/>
        <v>27</v>
      </c>
      <c r="I474" s="97">
        <f t="shared" si="127"/>
        <v>32</v>
      </c>
      <c r="J474" s="97">
        <f t="shared" si="127"/>
        <v>37</v>
      </c>
      <c r="K474" s="95" t="s">
        <v>21</v>
      </c>
      <c r="L474" s="10"/>
      <c r="M474" s="98" t="s">
        <v>118</v>
      </c>
      <c r="N474" s="10"/>
    </row>
    <row r="475" ht="13.5" customHeight="1">
      <c r="A475" s="99" t="s">
        <v>23</v>
      </c>
      <c r="B475" s="100" t="s">
        <v>123</v>
      </c>
      <c r="C475" s="53" t="s">
        <v>30</v>
      </c>
      <c r="D475" s="54"/>
      <c r="E475" s="60"/>
      <c r="F475" s="60"/>
      <c r="G475" s="60"/>
      <c r="H475" s="60"/>
      <c r="I475" s="60"/>
      <c r="J475" s="60"/>
      <c r="K475" s="61" t="s">
        <v>30</v>
      </c>
      <c r="L475" s="62">
        <f>(E475*E474)+(F475*F474)+(G475*G474)+(H475*H474)+(I475*I474)+(J475*J474)</f>
        <v>0</v>
      </c>
      <c r="M475" s="57" t="s">
        <v>119</v>
      </c>
      <c r="N475" s="63" t="b">
        <v>0</v>
      </c>
    </row>
    <row r="476" ht="13.5" customHeight="1">
      <c r="A476" s="103"/>
      <c r="B476" s="59"/>
      <c r="C476" s="53" t="s">
        <v>34</v>
      </c>
      <c r="D476" s="54"/>
      <c r="E476" s="66"/>
      <c r="F476" s="66"/>
      <c r="G476" s="66"/>
      <c r="H476" s="66"/>
      <c r="I476" s="66"/>
      <c r="J476" s="66"/>
      <c r="K476" s="67" t="s">
        <v>35</v>
      </c>
      <c r="L476" s="62">
        <f>(E476*E474)+(F476*F474)+(G476*G474)+(H476*H474)+(I476*I474)+(J476*J474)</f>
        <v>0</v>
      </c>
      <c r="M476" s="57" t="s">
        <v>121</v>
      </c>
      <c r="N476" s="63" t="b">
        <v>0</v>
      </c>
    </row>
    <row r="477" ht="13.5" customHeight="1">
      <c r="A477" s="80"/>
      <c r="B477" s="102" t="s">
        <v>33</v>
      </c>
      <c r="C477" s="70" t="s">
        <v>37</v>
      </c>
      <c r="D477" s="33"/>
      <c r="E477" s="71"/>
      <c r="F477" s="71"/>
      <c r="G477" s="71"/>
      <c r="H477" s="71"/>
      <c r="I477" s="71"/>
      <c r="J477" s="71"/>
      <c r="K477" s="72" t="s">
        <v>38</v>
      </c>
      <c r="L477" s="73">
        <f>L476-L475</f>
        <v>0</v>
      </c>
      <c r="M477" s="74" t="s">
        <v>122</v>
      </c>
      <c r="N477" s="75" t="b">
        <v>0</v>
      </c>
    </row>
    <row r="478" ht="15.0" customHeight="1">
      <c r="A478" s="99" t="s">
        <v>23</v>
      </c>
      <c r="B478" s="100" t="s">
        <v>123</v>
      </c>
      <c r="C478" s="53" t="s">
        <v>30</v>
      </c>
      <c r="D478" s="54"/>
      <c r="E478" s="60"/>
      <c r="F478" s="60"/>
      <c r="G478" s="60"/>
      <c r="H478" s="60"/>
      <c r="I478" s="60"/>
      <c r="J478" s="60"/>
      <c r="K478" s="61" t="s">
        <v>30</v>
      </c>
      <c r="L478" s="62">
        <f>(E478*E474)+(F478*F474)+(G478*G474)+(H478*H474)+(I478*I474)+(J478*J474)</f>
        <v>0</v>
      </c>
      <c r="M478" s="57" t="s">
        <v>119</v>
      </c>
      <c r="N478" s="63" t="b">
        <v>0</v>
      </c>
    </row>
    <row r="479" ht="13.5" customHeight="1">
      <c r="A479" s="101" t="s">
        <v>172</v>
      </c>
      <c r="B479" s="59"/>
      <c r="C479" s="53" t="s">
        <v>34</v>
      </c>
      <c r="D479" s="54"/>
      <c r="E479" s="66"/>
      <c r="F479" s="66"/>
      <c r="G479" s="66"/>
      <c r="H479" s="66"/>
      <c r="I479" s="66"/>
      <c r="J479" s="66"/>
      <c r="K479" s="67" t="s">
        <v>35</v>
      </c>
      <c r="L479" s="62">
        <f>(E479*E474)+(F479*F474)+(G479*G474)+(H479*H474)+(I479*I474)+(J479*J474)</f>
        <v>0</v>
      </c>
      <c r="M479" s="57" t="s">
        <v>121</v>
      </c>
      <c r="N479" s="63" t="b">
        <v>0</v>
      </c>
    </row>
    <row r="480" ht="13.5" customHeight="1">
      <c r="A480" s="80"/>
      <c r="B480" s="102" t="s">
        <v>42</v>
      </c>
      <c r="C480" s="70" t="s">
        <v>37</v>
      </c>
      <c r="D480" s="33"/>
      <c r="E480" s="71"/>
      <c r="F480" s="71"/>
      <c r="G480" s="71"/>
      <c r="H480" s="71"/>
      <c r="I480" s="71"/>
      <c r="J480" s="71"/>
      <c r="K480" s="72" t="s">
        <v>38</v>
      </c>
      <c r="L480" s="73">
        <f>L479-L478</f>
        <v>0</v>
      </c>
      <c r="M480" s="74" t="s">
        <v>122</v>
      </c>
      <c r="N480" s="75" t="b">
        <v>0</v>
      </c>
    </row>
    <row r="481" ht="13.5" customHeight="1">
      <c r="A481" s="99" t="s">
        <v>23</v>
      </c>
      <c r="B481" s="100" t="s">
        <v>123</v>
      </c>
      <c r="C481" s="53" t="s">
        <v>30</v>
      </c>
      <c r="D481" s="54"/>
      <c r="E481" s="60"/>
      <c r="F481" s="60"/>
      <c r="G481" s="60"/>
      <c r="H481" s="60"/>
      <c r="I481" s="60"/>
      <c r="J481" s="60"/>
      <c r="K481" s="61" t="s">
        <v>30</v>
      </c>
      <c r="L481" s="62">
        <f>(E481*E474)+(F481*F474)+(G481*G474)+(H481*H474)+(I481*I474)+(J481*J474)</f>
        <v>0</v>
      </c>
      <c r="M481" s="57" t="s">
        <v>119</v>
      </c>
      <c r="N481" s="63" t="b">
        <v>0</v>
      </c>
    </row>
    <row r="482" ht="13.5" customHeight="1">
      <c r="A482" s="103"/>
      <c r="B482" s="59"/>
      <c r="C482" s="53" t="s">
        <v>34</v>
      </c>
      <c r="D482" s="54"/>
      <c r="E482" s="66"/>
      <c r="F482" s="66"/>
      <c r="G482" s="66"/>
      <c r="H482" s="66"/>
      <c r="I482" s="66"/>
      <c r="J482" s="66"/>
      <c r="K482" s="67" t="s">
        <v>35</v>
      </c>
      <c r="L482" s="62">
        <f>(E482*E474)+(F482*F474)+(G482*G474)+(H482*H474)+(I482*I474)+(J482*J474)</f>
        <v>0</v>
      </c>
      <c r="M482" s="57" t="s">
        <v>121</v>
      </c>
      <c r="N482" s="63" t="b">
        <v>0</v>
      </c>
    </row>
    <row r="483" ht="13.5" customHeight="1">
      <c r="A483" s="80"/>
      <c r="B483" s="102" t="s">
        <v>47</v>
      </c>
      <c r="C483" s="70" t="s">
        <v>37</v>
      </c>
      <c r="D483" s="33"/>
      <c r="E483" s="71"/>
      <c r="F483" s="71"/>
      <c r="G483" s="71"/>
      <c r="H483" s="71"/>
      <c r="I483" s="71"/>
      <c r="J483" s="71"/>
      <c r="K483" s="72" t="s">
        <v>38</v>
      </c>
      <c r="L483" s="73">
        <f>L482-L481</f>
        <v>0</v>
      </c>
      <c r="M483" s="74" t="s">
        <v>122</v>
      </c>
      <c r="N483" s="75" t="b">
        <v>0</v>
      </c>
    </row>
    <row r="484" ht="13.5" customHeight="1">
      <c r="A484" s="99" t="s">
        <v>23</v>
      </c>
      <c r="B484" s="100" t="s">
        <v>123</v>
      </c>
      <c r="C484" s="53" t="s">
        <v>30</v>
      </c>
      <c r="D484" s="54"/>
      <c r="E484" s="60"/>
      <c r="F484" s="60"/>
      <c r="G484" s="60"/>
      <c r="H484" s="60"/>
      <c r="I484" s="60"/>
      <c r="J484" s="60"/>
      <c r="K484" s="61" t="s">
        <v>30</v>
      </c>
      <c r="L484" s="62">
        <f>(E484*E474)+(F484*F474)+(G484*G474)+(H484*H474)+(I484*I474)+(J484*J474)</f>
        <v>0</v>
      </c>
      <c r="M484" s="57" t="s">
        <v>119</v>
      </c>
      <c r="N484" s="63" t="b">
        <v>0</v>
      </c>
    </row>
    <row r="485" ht="13.5" customHeight="1">
      <c r="A485" s="101" t="s">
        <v>120</v>
      </c>
      <c r="B485" s="59"/>
      <c r="C485" s="53" t="s">
        <v>34</v>
      </c>
      <c r="D485" s="54"/>
      <c r="E485" s="66"/>
      <c r="F485" s="66"/>
      <c r="G485" s="66"/>
      <c r="H485" s="66"/>
      <c r="I485" s="66"/>
      <c r="J485" s="66"/>
      <c r="K485" s="67" t="s">
        <v>35</v>
      </c>
      <c r="L485" s="62">
        <f>(E485*E474)+(F485*F474)+(G485*G474)+(H485*H474)+(I485*I474)+(J485*J474)</f>
        <v>0</v>
      </c>
      <c r="M485" s="57" t="s">
        <v>121</v>
      </c>
      <c r="N485" s="63" t="b">
        <v>0</v>
      </c>
    </row>
    <row r="486" ht="13.5" customHeight="1">
      <c r="A486" s="80"/>
      <c r="B486" s="102" t="s">
        <v>49</v>
      </c>
      <c r="C486" s="70" t="s">
        <v>37</v>
      </c>
      <c r="D486" s="33"/>
      <c r="E486" s="71"/>
      <c r="F486" s="71"/>
      <c r="G486" s="71"/>
      <c r="H486" s="71"/>
      <c r="I486" s="71"/>
      <c r="J486" s="71"/>
      <c r="K486" s="72" t="s">
        <v>38</v>
      </c>
      <c r="L486" s="73">
        <f>L485-L484</f>
        <v>0</v>
      </c>
      <c r="M486" s="74" t="s">
        <v>122</v>
      </c>
      <c r="N486" s="75" t="b">
        <v>0</v>
      </c>
    </row>
    <row r="487" ht="13.5" customHeight="1">
      <c r="A487" s="94" t="s">
        <v>124</v>
      </c>
      <c r="B487" s="95" t="s">
        <v>20</v>
      </c>
      <c r="C487" s="96"/>
      <c r="D487" s="10"/>
      <c r="E487" s="97">
        <f t="shared" ref="E487:J487" si="128">E6</f>
        <v>17</v>
      </c>
      <c r="F487" s="97">
        <f t="shared" si="128"/>
        <v>27</v>
      </c>
      <c r="G487" s="97">
        <f t="shared" si="128"/>
        <v>27</v>
      </c>
      <c r="H487" s="97">
        <f t="shared" si="128"/>
        <v>27</v>
      </c>
      <c r="I487" s="97">
        <f t="shared" si="128"/>
        <v>32</v>
      </c>
      <c r="J487" s="97">
        <f t="shared" si="128"/>
        <v>37</v>
      </c>
      <c r="K487" s="95" t="s">
        <v>21</v>
      </c>
      <c r="L487" s="10"/>
      <c r="M487" s="98" t="s">
        <v>118</v>
      </c>
      <c r="N487" s="10"/>
    </row>
    <row r="488" ht="13.5" customHeight="1">
      <c r="A488" s="99" t="s">
        <v>23</v>
      </c>
      <c r="B488" s="100" t="s">
        <v>124</v>
      </c>
      <c r="C488" s="53" t="s">
        <v>30</v>
      </c>
      <c r="D488" s="54"/>
      <c r="E488" s="60"/>
      <c r="F488" s="60"/>
      <c r="G488" s="60"/>
      <c r="H488" s="60"/>
      <c r="I488" s="60"/>
      <c r="J488" s="60"/>
      <c r="K488" s="61" t="s">
        <v>30</v>
      </c>
      <c r="L488" s="62">
        <f>(E488*E487)+(F488*F487)+(G488*G487)+(H488*H487)+(I488*I487)+(J488*J487)</f>
        <v>0</v>
      </c>
      <c r="M488" s="57" t="s">
        <v>119</v>
      </c>
      <c r="N488" s="63" t="b">
        <v>0</v>
      </c>
    </row>
    <row r="489" ht="13.5" customHeight="1">
      <c r="A489" s="103"/>
      <c r="B489" s="59"/>
      <c r="C489" s="53" t="s">
        <v>34</v>
      </c>
      <c r="D489" s="54"/>
      <c r="E489" s="66"/>
      <c r="F489" s="66"/>
      <c r="G489" s="66"/>
      <c r="H489" s="66"/>
      <c r="I489" s="66"/>
      <c r="J489" s="66"/>
      <c r="K489" s="67" t="s">
        <v>35</v>
      </c>
      <c r="L489" s="62">
        <f>(E489*E487)+(F489*F487)+(G489*G487)+(H489*H487)+(I489*I487)+(J489*J487)</f>
        <v>0</v>
      </c>
      <c r="M489" s="57" t="s">
        <v>121</v>
      </c>
      <c r="N489" s="63" t="b">
        <v>0</v>
      </c>
    </row>
    <row r="490" ht="13.5" customHeight="1">
      <c r="A490" s="80"/>
      <c r="B490" s="102" t="s">
        <v>33</v>
      </c>
      <c r="C490" s="70" t="s">
        <v>37</v>
      </c>
      <c r="D490" s="33"/>
      <c r="E490" s="71"/>
      <c r="F490" s="71"/>
      <c r="G490" s="71"/>
      <c r="H490" s="71"/>
      <c r="I490" s="71"/>
      <c r="J490" s="71"/>
      <c r="K490" s="72" t="s">
        <v>38</v>
      </c>
      <c r="L490" s="73">
        <f>L489-L488</f>
        <v>0</v>
      </c>
      <c r="M490" s="74" t="s">
        <v>122</v>
      </c>
      <c r="N490" s="75" t="b">
        <v>0</v>
      </c>
    </row>
    <row r="491" ht="13.5" customHeight="1">
      <c r="A491" s="99" t="s">
        <v>23</v>
      </c>
      <c r="B491" s="100" t="s">
        <v>124</v>
      </c>
      <c r="C491" s="53" t="s">
        <v>30</v>
      </c>
      <c r="D491" s="54"/>
      <c r="E491" s="60"/>
      <c r="F491" s="60"/>
      <c r="G491" s="60"/>
      <c r="H491" s="60"/>
      <c r="I491" s="60"/>
      <c r="J491" s="60"/>
      <c r="K491" s="61" t="s">
        <v>30</v>
      </c>
      <c r="L491" s="62">
        <f>(E491*E487)+(F491*F487)+(G491*G487)+(H491*H487)+(I491*I487)+(J491*J487)</f>
        <v>0</v>
      </c>
      <c r="M491" s="57" t="s">
        <v>119</v>
      </c>
      <c r="N491" s="63" t="b">
        <v>0</v>
      </c>
    </row>
    <row r="492" ht="13.5" customHeight="1">
      <c r="A492" s="101" t="s">
        <v>171</v>
      </c>
      <c r="B492" s="59"/>
      <c r="C492" s="53" t="s">
        <v>34</v>
      </c>
      <c r="D492" s="54"/>
      <c r="E492" s="66"/>
      <c r="F492" s="66"/>
      <c r="G492" s="66"/>
      <c r="H492" s="66"/>
      <c r="I492" s="66"/>
      <c r="J492" s="66"/>
      <c r="K492" s="67" t="s">
        <v>35</v>
      </c>
      <c r="L492" s="62">
        <f>(E492*E487)+(F492*F487)+(G492*G487)+(H492*H487)+(I492*I487)+(J492*J487)</f>
        <v>0</v>
      </c>
      <c r="M492" s="57" t="s">
        <v>121</v>
      </c>
      <c r="N492" s="63" t="b">
        <v>0</v>
      </c>
    </row>
    <row r="493" ht="13.5" customHeight="1">
      <c r="A493" s="80"/>
      <c r="B493" s="102" t="s">
        <v>42</v>
      </c>
      <c r="C493" s="70" t="s">
        <v>37</v>
      </c>
      <c r="D493" s="33"/>
      <c r="E493" s="71"/>
      <c r="F493" s="71"/>
      <c r="G493" s="71"/>
      <c r="H493" s="71"/>
      <c r="I493" s="71"/>
      <c r="J493" s="71"/>
      <c r="K493" s="72" t="s">
        <v>38</v>
      </c>
      <c r="L493" s="73">
        <f>L492-L491</f>
        <v>0</v>
      </c>
      <c r="M493" s="74" t="s">
        <v>122</v>
      </c>
      <c r="N493" s="75" t="b">
        <v>0</v>
      </c>
    </row>
    <row r="494" ht="15.0" customHeight="1">
      <c r="A494" s="99" t="s">
        <v>23</v>
      </c>
      <c r="B494" s="100" t="s">
        <v>124</v>
      </c>
      <c r="C494" s="53" t="s">
        <v>30</v>
      </c>
      <c r="D494" s="54"/>
      <c r="E494" s="60"/>
      <c r="F494" s="60"/>
      <c r="G494" s="60"/>
      <c r="H494" s="60"/>
      <c r="I494" s="60"/>
      <c r="J494" s="60"/>
      <c r="K494" s="61" t="s">
        <v>30</v>
      </c>
      <c r="L494" s="62">
        <f>(E494*E487)+(F494*F487)+(G494*G487)+(H494*H487)+(I494*I487)+(J494*J487)</f>
        <v>0</v>
      </c>
      <c r="M494" s="57" t="s">
        <v>119</v>
      </c>
      <c r="N494" s="63" t="b">
        <v>0</v>
      </c>
    </row>
    <row r="495" ht="13.5" customHeight="1">
      <c r="A495" s="103"/>
      <c r="B495" s="59"/>
      <c r="C495" s="53" t="s">
        <v>34</v>
      </c>
      <c r="D495" s="54"/>
      <c r="E495" s="66"/>
      <c r="F495" s="66"/>
      <c r="G495" s="66"/>
      <c r="H495" s="66"/>
      <c r="I495" s="66"/>
      <c r="J495" s="66"/>
      <c r="K495" s="67" t="s">
        <v>35</v>
      </c>
      <c r="L495" s="62">
        <f>(E495*E487)+(F495*F487)+(G495*G487)+(H495*H487)+(I495*I487)+(J495*J487)</f>
        <v>0</v>
      </c>
      <c r="M495" s="57" t="s">
        <v>121</v>
      </c>
      <c r="N495" s="63" t="b">
        <v>0</v>
      </c>
    </row>
    <row r="496" ht="13.5" customHeight="1">
      <c r="A496" s="80"/>
      <c r="B496" s="102" t="s">
        <v>47</v>
      </c>
      <c r="C496" s="70" t="s">
        <v>37</v>
      </c>
      <c r="D496" s="33"/>
      <c r="E496" s="71"/>
      <c r="F496" s="71"/>
      <c r="G496" s="71"/>
      <c r="H496" s="71"/>
      <c r="I496" s="71"/>
      <c r="J496" s="71"/>
      <c r="K496" s="72" t="s">
        <v>38</v>
      </c>
      <c r="L496" s="73">
        <f>L495-L494</f>
        <v>0</v>
      </c>
      <c r="M496" s="74" t="s">
        <v>122</v>
      </c>
      <c r="N496" s="75" t="b">
        <v>0</v>
      </c>
    </row>
    <row r="497" ht="13.5" customHeight="1">
      <c r="A497" s="99" t="s">
        <v>23</v>
      </c>
      <c r="B497" s="100" t="s">
        <v>124</v>
      </c>
      <c r="C497" s="53" t="s">
        <v>30</v>
      </c>
      <c r="D497" s="54"/>
      <c r="E497" s="60"/>
      <c r="F497" s="60"/>
      <c r="G497" s="60"/>
      <c r="H497" s="60"/>
      <c r="I497" s="60"/>
      <c r="J497" s="60"/>
      <c r="K497" s="61" t="s">
        <v>30</v>
      </c>
      <c r="L497" s="62">
        <f>(E497*E487)+(F497*F487)+(G497*G487)+(H497*H487)+(I497*I487)+(J497*J487)</f>
        <v>0</v>
      </c>
      <c r="M497" s="57" t="s">
        <v>119</v>
      </c>
      <c r="N497" s="63" t="b">
        <v>0</v>
      </c>
    </row>
    <row r="498" ht="13.5" customHeight="1">
      <c r="A498" s="101" t="s">
        <v>189</v>
      </c>
      <c r="B498" s="59"/>
      <c r="C498" s="53" t="s">
        <v>34</v>
      </c>
      <c r="D498" s="54"/>
      <c r="E498" s="66"/>
      <c r="F498" s="66"/>
      <c r="G498" s="66"/>
      <c r="H498" s="66"/>
      <c r="I498" s="66"/>
      <c r="J498" s="66"/>
      <c r="K498" s="67" t="s">
        <v>35</v>
      </c>
      <c r="L498" s="62">
        <f>(E498*E487)+(F498*F487)+(G498*G487)+(H498*H487)+(I498*I487)+(J498*J487)</f>
        <v>0</v>
      </c>
      <c r="M498" s="57" t="s">
        <v>121</v>
      </c>
      <c r="N498" s="63" t="b">
        <v>0</v>
      </c>
    </row>
    <row r="499" ht="13.5" customHeight="1">
      <c r="A499" s="80"/>
      <c r="B499" s="102" t="s">
        <v>49</v>
      </c>
      <c r="C499" s="70" t="s">
        <v>37</v>
      </c>
      <c r="D499" s="33"/>
      <c r="E499" s="71"/>
      <c r="F499" s="71"/>
      <c r="G499" s="71"/>
      <c r="H499" s="71"/>
      <c r="I499" s="71"/>
      <c r="J499" s="71"/>
      <c r="K499" s="72" t="s">
        <v>38</v>
      </c>
      <c r="L499" s="73">
        <f>L498-L497</f>
        <v>0</v>
      </c>
      <c r="M499" s="74" t="s">
        <v>122</v>
      </c>
      <c r="N499" s="75" t="b">
        <v>0</v>
      </c>
    </row>
    <row r="500" ht="18.75" customHeight="1">
      <c r="A500" s="94" t="s">
        <v>125</v>
      </c>
      <c r="B500" s="95" t="s">
        <v>20</v>
      </c>
      <c r="C500" s="96"/>
      <c r="D500" s="10"/>
      <c r="E500" s="97">
        <f t="shared" ref="E500:J500" si="129">E6</f>
        <v>17</v>
      </c>
      <c r="F500" s="97">
        <f t="shared" si="129"/>
        <v>27</v>
      </c>
      <c r="G500" s="97">
        <f t="shared" si="129"/>
        <v>27</v>
      </c>
      <c r="H500" s="97">
        <f t="shared" si="129"/>
        <v>27</v>
      </c>
      <c r="I500" s="97">
        <f t="shared" si="129"/>
        <v>32</v>
      </c>
      <c r="J500" s="97">
        <f t="shared" si="129"/>
        <v>37</v>
      </c>
      <c r="K500" s="95" t="s">
        <v>21</v>
      </c>
      <c r="L500" s="10"/>
      <c r="M500" s="98" t="s">
        <v>118</v>
      </c>
      <c r="N500" s="10"/>
    </row>
    <row r="501" ht="13.5" customHeight="1">
      <c r="A501" s="99" t="s">
        <v>23</v>
      </c>
      <c r="B501" s="100" t="s">
        <v>125</v>
      </c>
      <c r="C501" s="53" t="s">
        <v>30</v>
      </c>
      <c r="D501" s="54"/>
      <c r="E501" s="60"/>
      <c r="F501" s="60"/>
      <c r="G501" s="60"/>
      <c r="H501" s="60"/>
      <c r="I501" s="60"/>
      <c r="J501" s="60"/>
      <c r="K501" s="61" t="s">
        <v>30</v>
      </c>
      <c r="L501" s="62">
        <f>(E501*E500)+(F501*F500)+(G501*G500)+(H501*H500)+(I501*I500)+(J501*J500)</f>
        <v>0</v>
      </c>
      <c r="M501" s="57" t="s">
        <v>119</v>
      </c>
      <c r="N501" s="63" t="b">
        <v>0</v>
      </c>
    </row>
    <row r="502" ht="13.5" customHeight="1">
      <c r="A502" s="103"/>
      <c r="B502" s="59"/>
      <c r="C502" s="53" t="s">
        <v>34</v>
      </c>
      <c r="D502" s="54"/>
      <c r="E502" s="66"/>
      <c r="F502" s="66"/>
      <c r="G502" s="66"/>
      <c r="H502" s="66"/>
      <c r="I502" s="66"/>
      <c r="J502" s="66"/>
      <c r="K502" s="67" t="s">
        <v>35</v>
      </c>
      <c r="L502" s="62">
        <f>(E502*E500)+(F502*F500)+(G502*G500)+(H502*H500)+(I502*I500)+(J502*J500)</f>
        <v>0</v>
      </c>
      <c r="M502" s="57" t="s">
        <v>121</v>
      </c>
      <c r="N502" s="63" t="b">
        <v>0</v>
      </c>
    </row>
    <row r="503" ht="17.25" customHeight="1">
      <c r="A503" s="80"/>
      <c r="B503" s="102" t="s">
        <v>33</v>
      </c>
      <c r="C503" s="70" t="s">
        <v>37</v>
      </c>
      <c r="D503" s="33"/>
      <c r="E503" s="71"/>
      <c r="F503" s="71"/>
      <c r="G503" s="71"/>
      <c r="H503" s="71"/>
      <c r="I503" s="71"/>
      <c r="J503" s="71"/>
      <c r="K503" s="72" t="s">
        <v>38</v>
      </c>
      <c r="L503" s="73">
        <f>L502-L501</f>
        <v>0</v>
      </c>
      <c r="M503" s="74" t="s">
        <v>122</v>
      </c>
      <c r="N503" s="75" t="b">
        <v>0</v>
      </c>
    </row>
    <row r="504" ht="13.5" customHeight="1">
      <c r="A504" s="99" t="s">
        <v>23</v>
      </c>
      <c r="B504" s="100" t="s">
        <v>125</v>
      </c>
      <c r="C504" s="53" t="s">
        <v>30</v>
      </c>
      <c r="D504" s="54"/>
      <c r="E504" s="60"/>
      <c r="F504" s="60"/>
      <c r="G504" s="60"/>
      <c r="H504" s="60"/>
      <c r="I504" s="60"/>
      <c r="J504" s="60"/>
      <c r="K504" s="61" t="s">
        <v>30</v>
      </c>
      <c r="L504" s="62">
        <f>(E504*E500)+(F504*F500)+(G504*G500)+(H504*H500)+(I504*I500)+(J504*J500)</f>
        <v>0</v>
      </c>
      <c r="M504" s="57" t="s">
        <v>119</v>
      </c>
      <c r="N504" s="63" t="b">
        <v>0</v>
      </c>
    </row>
    <row r="505" ht="13.5" customHeight="1">
      <c r="A505" s="101" t="s">
        <v>190</v>
      </c>
      <c r="B505" s="59"/>
      <c r="C505" s="53" t="s">
        <v>34</v>
      </c>
      <c r="D505" s="54"/>
      <c r="E505" s="66"/>
      <c r="F505" s="66"/>
      <c r="G505" s="66"/>
      <c r="H505" s="66"/>
      <c r="I505" s="66"/>
      <c r="J505" s="66"/>
      <c r="K505" s="67" t="s">
        <v>35</v>
      </c>
      <c r="L505" s="62">
        <f>(E505*E500)+(F505*F500)+(G505*G500)+(H505*H500)+(I505*I500)+(J505*J500)</f>
        <v>0</v>
      </c>
      <c r="M505" s="57" t="s">
        <v>121</v>
      </c>
      <c r="N505" s="63" t="b">
        <v>0</v>
      </c>
    </row>
    <row r="506" ht="13.5" customHeight="1">
      <c r="A506" s="80"/>
      <c r="B506" s="102" t="s">
        <v>42</v>
      </c>
      <c r="C506" s="70" t="s">
        <v>37</v>
      </c>
      <c r="D506" s="33"/>
      <c r="E506" s="71"/>
      <c r="F506" s="71"/>
      <c r="G506" s="71"/>
      <c r="H506" s="71"/>
      <c r="I506" s="71"/>
      <c r="J506" s="71"/>
      <c r="K506" s="72" t="s">
        <v>38</v>
      </c>
      <c r="L506" s="73">
        <f>L505-L504</f>
        <v>0</v>
      </c>
      <c r="M506" s="74" t="s">
        <v>122</v>
      </c>
      <c r="N506" s="75" t="b">
        <v>0</v>
      </c>
    </row>
    <row r="507" ht="13.5" customHeight="1">
      <c r="A507" s="99" t="s">
        <v>23</v>
      </c>
      <c r="B507" s="100" t="s">
        <v>125</v>
      </c>
      <c r="C507" s="53" t="s">
        <v>30</v>
      </c>
      <c r="D507" s="54"/>
      <c r="E507" s="60"/>
      <c r="F507" s="60"/>
      <c r="G507" s="60"/>
      <c r="H507" s="60"/>
      <c r="I507" s="60"/>
      <c r="J507" s="60"/>
      <c r="K507" s="61" t="s">
        <v>30</v>
      </c>
      <c r="L507" s="62">
        <f>(E507*E500)+(F507*F500)+(G507*G500)+(H507*H500)+(I507*I500)+(J507*J500)</f>
        <v>0</v>
      </c>
      <c r="M507" s="57" t="s">
        <v>119</v>
      </c>
      <c r="N507" s="63" t="b">
        <v>0</v>
      </c>
    </row>
    <row r="508" ht="13.5" customHeight="1">
      <c r="A508" s="103"/>
      <c r="B508" s="59"/>
      <c r="C508" s="53" t="s">
        <v>34</v>
      </c>
      <c r="D508" s="54"/>
      <c r="E508" s="66"/>
      <c r="F508" s="66"/>
      <c r="G508" s="66"/>
      <c r="H508" s="66"/>
      <c r="I508" s="66"/>
      <c r="J508" s="66"/>
      <c r="K508" s="67" t="s">
        <v>35</v>
      </c>
      <c r="L508" s="62">
        <f>(E508*E500)+(F508*F500)+(G508*G500)+(H508*H500)+(I508*I500)+(J508*J500)</f>
        <v>0</v>
      </c>
      <c r="M508" s="57" t="s">
        <v>121</v>
      </c>
      <c r="N508" s="63" t="b">
        <v>0</v>
      </c>
    </row>
    <row r="509" ht="13.5" customHeight="1">
      <c r="A509" s="80"/>
      <c r="B509" s="102" t="s">
        <v>47</v>
      </c>
      <c r="C509" s="70" t="s">
        <v>37</v>
      </c>
      <c r="D509" s="33"/>
      <c r="E509" s="71"/>
      <c r="F509" s="71"/>
      <c r="G509" s="71"/>
      <c r="H509" s="71"/>
      <c r="I509" s="71"/>
      <c r="J509" s="71"/>
      <c r="K509" s="72" t="s">
        <v>38</v>
      </c>
      <c r="L509" s="73">
        <f>L508-L507</f>
        <v>0</v>
      </c>
      <c r="M509" s="74" t="s">
        <v>122</v>
      </c>
      <c r="N509" s="75" t="b">
        <v>0</v>
      </c>
    </row>
    <row r="510" ht="18.75" customHeight="1">
      <c r="A510" s="99" t="s">
        <v>23</v>
      </c>
      <c r="B510" s="100" t="s">
        <v>125</v>
      </c>
      <c r="C510" s="53" t="s">
        <v>30</v>
      </c>
      <c r="D510" s="54"/>
      <c r="E510" s="60"/>
      <c r="F510" s="60"/>
      <c r="G510" s="60"/>
      <c r="H510" s="60"/>
      <c r="I510" s="60"/>
      <c r="J510" s="60"/>
      <c r="K510" s="61" t="s">
        <v>30</v>
      </c>
      <c r="L510" s="62">
        <f>(E510*E500)+(F510*F500)+(G510*G500)+(H510*H500)+(I510*I500)+(J510*J500)</f>
        <v>0</v>
      </c>
      <c r="M510" s="57" t="s">
        <v>119</v>
      </c>
      <c r="N510" s="63" t="b">
        <v>0</v>
      </c>
    </row>
    <row r="511" ht="13.5" customHeight="1">
      <c r="A511" s="103"/>
      <c r="B511" s="59"/>
      <c r="C511" s="53" t="s">
        <v>34</v>
      </c>
      <c r="D511" s="54"/>
      <c r="E511" s="66"/>
      <c r="F511" s="66"/>
      <c r="G511" s="66"/>
      <c r="H511" s="66"/>
      <c r="I511" s="66"/>
      <c r="J511" s="66"/>
      <c r="K511" s="67" t="s">
        <v>35</v>
      </c>
      <c r="L511" s="62">
        <f>(E511*E500)+(F511*F500)+(G511*G500)+(H511*H500)+(I511*I500)+(J511*J500)</f>
        <v>0</v>
      </c>
      <c r="M511" s="57" t="s">
        <v>121</v>
      </c>
      <c r="N511" s="63" t="b">
        <v>0</v>
      </c>
    </row>
    <row r="512" ht="13.5" customHeight="1">
      <c r="A512" s="80"/>
      <c r="B512" s="102" t="s">
        <v>49</v>
      </c>
      <c r="C512" s="70" t="s">
        <v>37</v>
      </c>
      <c r="D512" s="33"/>
      <c r="E512" s="71"/>
      <c r="F512" s="71"/>
      <c r="G512" s="71"/>
      <c r="H512" s="71"/>
      <c r="I512" s="71"/>
      <c r="J512" s="71"/>
      <c r="K512" s="72" t="s">
        <v>38</v>
      </c>
      <c r="L512" s="73">
        <f>L511-L510</f>
        <v>0</v>
      </c>
      <c r="M512" s="74" t="s">
        <v>122</v>
      </c>
      <c r="N512" s="75" t="b">
        <v>0</v>
      </c>
    </row>
    <row r="513" ht="13.5" customHeight="1">
      <c r="A513" s="94" t="s">
        <v>126</v>
      </c>
      <c r="B513" s="95" t="s">
        <v>20</v>
      </c>
      <c r="C513" s="96"/>
      <c r="D513" s="10"/>
      <c r="E513" s="97">
        <f t="shared" ref="E513:J513" si="130">E6</f>
        <v>17</v>
      </c>
      <c r="F513" s="97">
        <f t="shared" si="130"/>
        <v>27</v>
      </c>
      <c r="G513" s="97">
        <f t="shared" si="130"/>
        <v>27</v>
      </c>
      <c r="H513" s="97">
        <f t="shared" si="130"/>
        <v>27</v>
      </c>
      <c r="I513" s="97">
        <f t="shared" si="130"/>
        <v>32</v>
      </c>
      <c r="J513" s="97">
        <f t="shared" si="130"/>
        <v>37</v>
      </c>
      <c r="K513" s="95" t="s">
        <v>21</v>
      </c>
      <c r="L513" s="10"/>
      <c r="M513" s="98" t="s">
        <v>118</v>
      </c>
      <c r="N513" s="10"/>
    </row>
    <row r="514" ht="13.5" customHeight="1">
      <c r="A514" s="99" t="s">
        <v>23</v>
      </c>
      <c r="B514" s="100" t="s">
        <v>126</v>
      </c>
      <c r="C514" s="53" t="s">
        <v>30</v>
      </c>
      <c r="D514" s="54"/>
      <c r="E514" s="60"/>
      <c r="F514" s="60"/>
      <c r="G514" s="60"/>
      <c r="H514" s="60"/>
      <c r="I514" s="60"/>
      <c r="J514" s="60"/>
      <c r="K514" s="61" t="s">
        <v>30</v>
      </c>
      <c r="L514" s="62">
        <f>(E514*E513)+(F514*F513)+(G514*G513)+(H514*H513)+(I514*I513)+(J514*J513)</f>
        <v>0</v>
      </c>
      <c r="M514" s="57" t="s">
        <v>119</v>
      </c>
      <c r="N514" s="63" t="b">
        <v>0</v>
      </c>
    </row>
    <row r="515" ht="15.0" customHeight="1">
      <c r="A515" s="103"/>
      <c r="B515" s="59"/>
      <c r="C515" s="53" t="s">
        <v>34</v>
      </c>
      <c r="D515" s="54"/>
      <c r="E515" s="66"/>
      <c r="F515" s="66"/>
      <c r="G515" s="66"/>
      <c r="H515" s="66"/>
      <c r="I515" s="66"/>
      <c r="J515" s="66"/>
      <c r="K515" s="67" t="s">
        <v>35</v>
      </c>
      <c r="L515" s="62">
        <f>(E515*E513)+(F515*F513)+(G515*G513)+(H515*H513)+(I515*I513)+(J515*J513)</f>
        <v>0</v>
      </c>
      <c r="M515" s="57" t="s">
        <v>121</v>
      </c>
      <c r="N515" s="63" t="b">
        <v>0</v>
      </c>
    </row>
    <row r="516" ht="13.5" customHeight="1">
      <c r="A516" s="80"/>
      <c r="B516" s="102" t="s">
        <v>33</v>
      </c>
      <c r="C516" s="70" t="s">
        <v>37</v>
      </c>
      <c r="D516" s="33"/>
      <c r="E516" s="71"/>
      <c r="F516" s="71"/>
      <c r="G516" s="71"/>
      <c r="H516" s="71"/>
      <c r="I516" s="71"/>
      <c r="J516" s="71"/>
      <c r="K516" s="72" t="s">
        <v>38</v>
      </c>
      <c r="L516" s="73">
        <f>L515-L514</f>
        <v>0</v>
      </c>
      <c r="M516" s="74" t="s">
        <v>122</v>
      </c>
      <c r="N516" s="75" t="b">
        <v>0</v>
      </c>
    </row>
    <row r="517" ht="13.5" customHeight="1">
      <c r="A517" s="99" t="s">
        <v>23</v>
      </c>
      <c r="B517" s="100" t="s">
        <v>126</v>
      </c>
      <c r="C517" s="53" t="s">
        <v>30</v>
      </c>
      <c r="D517" s="54"/>
      <c r="E517" s="60"/>
      <c r="F517" s="60"/>
      <c r="G517" s="60"/>
      <c r="H517" s="60"/>
      <c r="I517" s="60"/>
      <c r="J517" s="60"/>
      <c r="K517" s="61" t="s">
        <v>30</v>
      </c>
      <c r="L517" s="62">
        <f>(E517*E513)+(F517*F513)+(G517*G513)+(H517*H513)+(I517*I513)+(J517*J513)</f>
        <v>0</v>
      </c>
      <c r="M517" s="57" t="s">
        <v>119</v>
      </c>
      <c r="N517" s="63" t="b">
        <v>0</v>
      </c>
    </row>
    <row r="518" ht="13.5" customHeight="1">
      <c r="A518" s="101" t="s">
        <v>191</v>
      </c>
      <c r="B518" s="59"/>
      <c r="C518" s="53" t="s">
        <v>34</v>
      </c>
      <c r="D518" s="54"/>
      <c r="E518" s="66"/>
      <c r="F518" s="66"/>
      <c r="G518" s="66"/>
      <c r="H518" s="66"/>
      <c r="I518" s="66"/>
      <c r="J518" s="66"/>
      <c r="K518" s="67" t="s">
        <v>35</v>
      </c>
      <c r="L518" s="62">
        <f>(E518*E513)+(F518*F513)+(G518*G513)+(H518*H513)+(I518*I513)+(J518*J513)</f>
        <v>0</v>
      </c>
      <c r="M518" s="57" t="s">
        <v>121</v>
      </c>
      <c r="N518" s="63" t="b">
        <v>0</v>
      </c>
    </row>
    <row r="519" ht="20.25" customHeight="1">
      <c r="A519" s="80"/>
      <c r="B519" s="102" t="s">
        <v>42</v>
      </c>
      <c r="C519" s="70" t="s">
        <v>37</v>
      </c>
      <c r="D519" s="33"/>
      <c r="E519" s="71"/>
      <c r="F519" s="71"/>
      <c r="G519" s="71"/>
      <c r="H519" s="71"/>
      <c r="I519" s="71"/>
      <c r="J519" s="71"/>
      <c r="K519" s="72" t="s">
        <v>38</v>
      </c>
      <c r="L519" s="73">
        <f>L518-L517</f>
        <v>0</v>
      </c>
      <c r="M519" s="74" t="s">
        <v>122</v>
      </c>
      <c r="N519" s="75" t="b">
        <v>0</v>
      </c>
    </row>
    <row r="520" ht="13.5" customHeight="1">
      <c r="A520" s="99" t="s">
        <v>23</v>
      </c>
      <c r="B520" s="100" t="s">
        <v>126</v>
      </c>
      <c r="C520" s="53" t="s">
        <v>30</v>
      </c>
      <c r="D520" s="54"/>
      <c r="E520" s="60"/>
      <c r="F520" s="60"/>
      <c r="G520" s="60"/>
      <c r="H520" s="60"/>
      <c r="I520" s="60"/>
      <c r="J520" s="60"/>
      <c r="K520" s="61" t="s">
        <v>30</v>
      </c>
      <c r="L520" s="62">
        <f>(E520*E513)+(F520*F513)+(G520*G513)+(H520*H513)+(I520*I513)+(J520*J513)</f>
        <v>0</v>
      </c>
      <c r="M520" s="57" t="s">
        <v>119</v>
      </c>
      <c r="N520" s="63" t="b">
        <v>0</v>
      </c>
    </row>
    <row r="521" ht="13.5" customHeight="1">
      <c r="A521" s="103"/>
      <c r="B521" s="59"/>
      <c r="C521" s="53" t="s">
        <v>34</v>
      </c>
      <c r="D521" s="54"/>
      <c r="E521" s="66"/>
      <c r="F521" s="66"/>
      <c r="G521" s="66"/>
      <c r="H521" s="66"/>
      <c r="I521" s="66"/>
      <c r="J521" s="66"/>
      <c r="K521" s="67" t="s">
        <v>35</v>
      </c>
      <c r="L521" s="62">
        <f>(E521*E513)+(F521*F513)+(G521*G513)+(H521*H513)+(I521*I513)+(J521*J513)</f>
        <v>0</v>
      </c>
      <c r="M521" s="57" t="s">
        <v>121</v>
      </c>
      <c r="N521" s="63" t="b">
        <v>0</v>
      </c>
    </row>
    <row r="522" ht="13.5" customHeight="1">
      <c r="A522" s="80"/>
      <c r="B522" s="102" t="s">
        <v>47</v>
      </c>
      <c r="C522" s="70" t="s">
        <v>37</v>
      </c>
      <c r="D522" s="33"/>
      <c r="E522" s="71"/>
      <c r="F522" s="71"/>
      <c r="G522" s="71"/>
      <c r="H522" s="71"/>
      <c r="I522" s="71"/>
      <c r="J522" s="71"/>
      <c r="K522" s="72" t="s">
        <v>38</v>
      </c>
      <c r="L522" s="73">
        <f>L521-L520</f>
        <v>0</v>
      </c>
      <c r="M522" s="74" t="s">
        <v>122</v>
      </c>
      <c r="N522" s="75" t="b">
        <v>0</v>
      </c>
    </row>
    <row r="523" ht="13.5" customHeight="1">
      <c r="A523" s="99" t="s">
        <v>23</v>
      </c>
      <c r="B523" s="100" t="s">
        <v>126</v>
      </c>
      <c r="C523" s="53" t="s">
        <v>30</v>
      </c>
      <c r="D523" s="54"/>
      <c r="E523" s="60"/>
      <c r="F523" s="60"/>
      <c r="G523" s="60"/>
      <c r="H523" s="60"/>
      <c r="I523" s="60"/>
      <c r="J523" s="60"/>
      <c r="K523" s="61" t="s">
        <v>30</v>
      </c>
      <c r="L523" s="62">
        <f>(E523*E513)+(F523*F513)+(G523*G513)+(H523*H513)+(I523*I513)+(J523*J513)</f>
        <v>0</v>
      </c>
      <c r="M523" s="57" t="s">
        <v>119</v>
      </c>
      <c r="N523" s="63" t="b">
        <v>0</v>
      </c>
    </row>
    <row r="524" ht="13.5" customHeight="1">
      <c r="A524" s="103"/>
      <c r="B524" s="59"/>
      <c r="C524" s="53" t="s">
        <v>34</v>
      </c>
      <c r="D524" s="54"/>
      <c r="E524" s="66"/>
      <c r="F524" s="66"/>
      <c r="G524" s="66"/>
      <c r="H524" s="66"/>
      <c r="I524" s="66"/>
      <c r="J524" s="66"/>
      <c r="K524" s="67" t="s">
        <v>35</v>
      </c>
      <c r="L524" s="62">
        <f>(E524*E513)+(F524*F513)+(G524*G513)+(H524*H513)+(I524*I513)+(J524*J513)</f>
        <v>0</v>
      </c>
      <c r="M524" s="57" t="s">
        <v>121</v>
      </c>
      <c r="N524" s="63" t="b">
        <v>0</v>
      </c>
    </row>
    <row r="525" ht="13.5" customHeight="1">
      <c r="A525" s="80"/>
      <c r="B525" s="102" t="s">
        <v>49</v>
      </c>
      <c r="C525" s="70" t="s">
        <v>37</v>
      </c>
      <c r="D525" s="33"/>
      <c r="E525" s="71"/>
      <c r="F525" s="71"/>
      <c r="G525" s="71"/>
      <c r="H525" s="71"/>
      <c r="I525" s="71"/>
      <c r="J525" s="71"/>
      <c r="K525" s="72" t="s">
        <v>38</v>
      </c>
      <c r="L525" s="73">
        <f>L524-L523</f>
        <v>0</v>
      </c>
      <c r="M525" s="74" t="s">
        <v>122</v>
      </c>
      <c r="N525" s="75" t="b">
        <v>0</v>
      </c>
    </row>
    <row r="526" ht="13.5" customHeight="1">
      <c r="A526" s="94" t="s">
        <v>127</v>
      </c>
      <c r="B526" s="95" t="s">
        <v>20</v>
      </c>
      <c r="C526" s="96"/>
      <c r="D526" s="10"/>
      <c r="E526" s="97">
        <f t="shared" ref="E526:J526" si="131">E6</f>
        <v>17</v>
      </c>
      <c r="F526" s="97">
        <f t="shared" si="131"/>
        <v>27</v>
      </c>
      <c r="G526" s="97">
        <f t="shared" si="131"/>
        <v>27</v>
      </c>
      <c r="H526" s="97">
        <f t="shared" si="131"/>
        <v>27</v>
      </c>
      <c r="I526" s="97">
        <f t="shared" si="131"/>
        <v>32</v>
      </c>
      <c r="J526" s="97">
        <f t="shared" si="131"/>
        <v>37</v>
      </c>
      <c r="K526" s="95" t="s">
        <v>21</v>
      </c>
      <c r="L526" s="10"/>
      <c r="M526" s="98" t="s">
        <v>118</v>
      </c>
      <c r="N526" s="10"/>
    </row>
    <row r="527" ht="13.5" customHeight="1">
      <c r="A527" s="99" t="s">
        <v>23</v>
      </c>
      <c r="B527" s="100" t="s">
        <v>127</v>
      </c>
      <c r="C527" s="53" t="s">
        <v>30</v>
      </c>
      <c r="D527" s="54"/>
      <c r="E527" s="60"/>
      <c r="F527" s="60"/>
      <c r="G527" s="60"/>
      <c r="H527" s="60"/>
      <c r="I527" s="60"/>
      <c r="J527" s="60"/>
      <c r="K527" s="61" t="s">
        <v>30</v>
      </c>
      <c r="L527" s="62">
        <f>(E527*E526)+(F527*F526)+(G527*G526)+(H527*H526)+(I527*I526)+(J527*J526)</f>
        <v>0</v>
      </c>
      <c r="M527" s="57" t="s">
        <v>119</v>
      </c>
      <c r="N527" s="63" t="b">
        <v>0</v>
      </c>
    </row>
    <row r="528" ht="13.5" customHeight="1">
      <c r="A528" s="103"/>
      <c r="B528" s="59"/>
      <c r="C528" s="53" t="s">
        <v>34</v>
      </c>
      <c r="D528" s="54"/>
      <c r="E528" s="66"/>
      <c r="F528" s="66"/>
      <c r="G528" s="66"/>
      <c r="H528" s="66"/>
      <c r="I528" s="66"/>
      <c r="J528" s="66"/>
      <c r="K528" s="67" t="s">
        <v>35</v>
      </c>
      <c r="L528" s="62">
        <f>(E528*E526)+(F528*F526)+(G528*G526)+(H528*H526)+(I528*I526)+(J528*J526)</f>
        <v>0</v>
      </c>
      <c r="M528" s="57" t="s">
        <v>121</v>
      </c>
      <c r="N528" s="63" t="b">
        <v>0</v>
      </c>
    </row>
    <row r="529" ht="13.5" customHeight="1">
      <c r="A529" s="80"/>
      <c r="B529" s="102" t="s">
        <v>33</v>
      </c>
      <c r="C529" s="70" t="s">
        <v>37</v>
      </c>
      <c r="D529" s="33"/>
      <c r="E529" s="71"/>
      <c r="F529" s="71"/>
      <c r="G529" s="71"/>
      <c r="H529" s="71"/>
      <c r="I529" s="71"/>
      <c r="J529" s="71"/>
      <c r="K529" s="72" t="s">
        <v>38</v>
      </c>
      <c r="L529" s="73">
        <f>L528-L527</f>
        <v>0</v>
      </c>
      <c r="M529" s="74" t="s">
        <v>122</v>
      </c>
      <c r="N529" s="75" t="b">
        <v>0</v>
      </c>
    </row>
    <row r="530" ht="13.5" customHeight="1">
      <c r="A530" s="99" t="s">
        <v>23</v>
      </c>
      <c r="B530" s="100" t="s">
        <v>127</v>
      </c>
      <c r="C530" s="53" t="s">
        <v>30</v>
      </c>
      <c r="D530" s="54"/>
      <c r="E530" s="60"/>
      <c r="F530" s="60"/>
      <c r="G530" s="60"/>
      <c r="H530" s="60"/>
      <c r="I530" s="60"/>
      <c r="J530" s="60"/>
      <c r="K530" s="61" t="s">
        <v>30</v>
      </c>
      <c r="L530" s="62">
        <f>(E530*E526)+(F530*F526)+(G530*G526)+(H530*H526)+(I530*I526)+(J530*J526)</f>
        <v>0</v>
      </c>
      <c r="M530" s="57" t="s">
        <v>119</v>
      </c>
      <c r="N530" s="63" t="b">
        <v>0</v>
      </c>
    </row>
    <row r="531" ht="19.5" customHeight="1">
      <c r="A531" s="101" t="s">
        <v>192</v>
      </c>
      <c r="B531" s="59"/>
      <c r="C531" s="53" t="s">
        <v>34</v>
      </c>
      <c r="D531" s="54"/>
      <c r="E531" s="66"/>
      <c r="F531" s="66"/>
      <c r="G531" s="66"/>
      <c r="H531" s="66"/>
      <c r="I531" s="66"/>
      <c r="J531" s="66"/>
      <c r="K531" s="67" t="s">
        <v>35</v>
      </c>
      <c r="L531" s="62">
        <f>(E531*E526)+(F531*F526)+(G531*G526)+(H531*H526)+(I531*I526)+(J531*J526)</f>
        <v>0</v>
      </c>
      <c r="M531" s="57" t="s">
        <v>121</v>
      </c>
      <c r="N531" s="63" t="b">
        <v>0</v>
      </c>
    </row>
    <row r="532" ht="13.5" customHeight="1">
      <c r="A532" s="80"/>
      <c r="B532" s="102" t="s">
        <v>42</v>
      </c>
      <c r="C532" s="70" t="s">
        <v>37</v>
      </c>
      <c r="D532" s="33"/>
      <c r="E532" s="71"/>
      <c r="F532" s="71"/>
      <c r="G532" s="71"/>
      <c r="H532" s="71"/>
      <c r="I532" s="71"/>
      <c r="J532" s="71"/>
      <c r="K532" s="72" t="s">
        <v>38</v>
      </c>
      <c r="L532" s="73">
        <f>L531-L530</f>
        <v>0</v>
      </c>
      <c r="M532" s="74" t="s">
        <v>122</v>
      </c>
      <c r="N532" s="75" t="b">
        <v>0</v>
      </c>
    </row>
    <row r="533" ht="13.5" customHeight="1">
      <c r="A533" s="99" t="s">
        <v>23</v>
      </c>
      <c r="B533" s="100" t="s">
        <v>127</v>
      </c>
      <c r="C533" s="53" t="s">
        <v>30</v>
      </c>
      <c r="D533" s="54"/>
      <c r="E533" s="60"/>
      <c r="F533" s="60"/>
      <c r="G533" s="60"/>
      <c r="H533" s="60"/>
      <c r="I533" s="60"/>
      <c r="J533" s="60"/>
      <c r="K533" s="61" t="s">
        <v>30</v>
      </c>
      <c r="L533" s="62">
        <f>(E533*E526)+(F533*F526)+(G533*G526)+(H533*H526)+(I533*I526)+(J533*J526)</f>
        <v>0</v>
      </c>
      <c r="M533" s="57" t="s">
        <v>119</v>
      </c>
      <c r="N533" s="63" t="b">
        <v>0</v>
      </c>
    </row>
    <row r="534" ht="13.5" customHeight="1">
      <c r="A534" s="103"/>
      <c r="B534" s="59"/>
      <c r="C534" s="53" t="s">
        <v>34</v>
      </c>
      <c r="D534" s="54"/>
      <c r="E534" s="66"/>
      <c r="F534" s="66"/>
      <c r="G534" s="66"/>
      <c r="H534" s="66"/>
      <c r="I534" s="66"/>
      <c r="J534" s="66"/>
      <c r="K534" s="67" t="s">
        <v>35</v>
      </c>
      <c r="L534" s="62">
        <f>(E534*E526)+(F534*F526)+(G534*G526)+(H534*H526)+(I534*I526)+(J534*J526)</f>
        <v>0</v>
      </c>
      <c r="M534" s="57" t="s">
        <v>121</v>
      </c>
      <c r="N534" s="63" t="b">
        <v>0</v>
      </c>
    </row>
    <row r="535" ht="15.0" customHeight="1">
      <c r="A535" s="80"/>
      <c r="B535" s="102" t="s">
        <v>47</v>
      </c>
      <c r="C535" s="70" t="s">
        <v>37</v>
      </c>
      <c r="D535" s="33"/>
      <c r="E535" s="71"/>
      <c r="F535" s="71"/>
      <c r="G535" s="71"/>
      <c r="H535" s="71"/>
      <c r="I535" s="71"/>
      <c r="J535" s="71"/>
      <c r="K535" s="72" t="s">
        <v>38</v>
      </c>
      <c r="L535" s="73">
        <f>L534-L533</f>
        <v>0</v>
      </c>
      <c r="M535" s="74" t="s">
        <v>122</v>
      </c>
      <c r="N535" s="75" t="b">
        <v>0</v>
      </c>
    </row>
    <row r="536" ht="13.5" customHeight="1">
      <c r="A536" s="99" t="s">
        <v>23</v>
      </c>
      <c r="B536" s="100" t="s">
        <v>127</v>
      </c>
      <c r="C536" s="53" t="s">
        <v>30</v>
      </c>
      <c r="D536" s="54"/>
      <c r="E536" s="60"/>
      <c r="F536" s="60"/>
      <c r="G536" s="60"/>
      <c r="H536" s="60"/>
      <c r="I536" s="60"/>
      <c r="J536" s="60"/>
      <c r="K536" s="61" t="s">
        <v>30</v>
      </c>
      <c r="L536" s="62">
        <f>(E536*E526)+(F536*F526)+(G536*G526)+(H536*H526)+(I536*I526)+(J536*J526)</f>
        <v>0</v>
      </c>
      <c r="M536" s="57" t="s">
        <v>119</v>
      </c>
      <c r="N536" s="63" t="b">
        <v>0</v>
      </c>
    </row>
    <row r="537" ht="13.5" customHeight="1">
      <c r="A537" s="103"/>
      <c r="B537" s="59"/>
      <c r="C537" s="53" t="s">
        <v>34</v>
      </c>
      <c r="D537" s="54"/>
      <c r="E537" s="66"/>
      <c r="F537" s="66"/>
      <c r="G537" s="66"/>
      <c r="H537" s="66"/>
      <c r="I537" s="66"/>
      <c r="J537" s="66"/>
      <c r="K537" s="67" t="s">
        <v>35</v>
      </c>
      <c r="L537" s="62">
        <f>(E537*E526)+(F537*F526)+(G537*G526)+(H537*H526)+(I537*I526)+(J537*J526)</f>
        <v>0</v>
      </c>
      <c r="M537" s="57" t="s">
        <v>121</v>
      </c>
      <c r="N537" s="63" t="b">
        <v>0</v>
      </c>
    </row>
    <row r="538" ht="13.5" customHeight="1">
      <c r="A538" s="80"/>
      <c r="B538" s="102" t="s">
        <v>49</v>
      </c>
      <c r="C538" s="70" t="s">
        <v>37</v>
      </c>
      <c r="D538" s="33"/>
      <c r="E538" s="71"/>
      <c r="F538" s="71"/>
      <c r="G538" s="71"/>
      <c r="H538" s="71"/>
      <c r="I538" s="71"/>
      <c r="J538" s="71"/>
      <c r="K538" s="72" t="s">
        <v>38</v>
      </c>
      <c r="L538" s="73">
        <f>L537-L536</f>
        <v>0</v>
      </c>
      <c r="M538" s="74" t="s">
        <v>122</v>
      </c>
      <c r="N538" s="75" t="b">
        <v>0</v>
      </c>
    </row>
    <row r="539" ht="18.75" customHeight="1">
      <c r="A539" s="94" t="s">
        <v>128</v>
      </c>
      <c r="B539" s="95" t="s">
        <v>20</v>
      </c>
      <c r="C539" s="96"/>
      <c r="D539" s="10"/>
      <c r="E539" s="97">
        <f t="shared" ref="E539:J539" si="132">E6</f>
        <v>17</v>
      </c>
      <c r="F539" s="97">
        <f t="shared" si="132"/>
        <v>27</v>
      </c>
      <c r="G539" s="97">
        <f t="shared" si="132"/>
        <v>27</v>
      </c>
      <c r="H539" s="97">
        <f t="shared" si="132"/>
        <v>27</v>
      </c>
      <c r="I539" s="97">
        <f t="shared" si="132"/>
        <v>32</v>
      </c>
      <c r="J539" s="97">
        <f t="shared" si="132"/>
        <v>37</v>
      </c>
      <c r="K539" s="95" t="s">
        <v>21</v>
      </c>
      <c r="L539" s="10"/>
      <c r="M539" s="98" t="s">
        <v>118</v>
      </c>
      <c r="N539" s="10"/>
    </row>
    <row r="540" ht="13.5" customHeight="1">
      <c r="A540" s="99" t="s">
        <v>23</v>
      </c>
      <c r="B540" s="100" t="s">
        <v>128</v>
      </c>
      <c r="C540" s="53" t="s">
        <v>30</v>
      </c>
      <c r="D540" s="54"/>
      <c r="E540" s="60"/>
      <c r="F540" s="60"/>
      <c r="G540" s="60"/>
      <c r="H540" s="60"/>
      <c r="I540" s="60"/>
      <c r="J540" s="60"/>
      <c r="K540" s="61" t="s">
        <v>30</v>
      </c>
      <c r="L540" s="62">
        <f>(E540*E539)+(F540*F539)+(G540*G539)+(H540*H539)+(I540*I539)+(J540*J539)</f>
        <v>0</v>
      </c>
      <c r="M540" s="57" t="s">
        <v>119</v>
      </c>
      <c r="N540" s="63" t="b">
        <v>0</v>
      </c>
    </row>
    <row r="541" ht="13.5" customHeight="1">
      <c r="A541" s="103"/>
      <c r="B541" s="59"/>
      <c r="C541" s="53" t="s">
        <v>34</v>
      </c>
      <c r="D541" s="54"/>
      <c r="E541" s="66"/>
      <c r="F541" s="66"/>
      <c r="G541" s="66"/>
      <c r="H541" s="66"/>
      <c r="I541" s="66"/>
      <c r="J541" s="66"/>
      <c r="K541" s="67" t="s">
        <v>35</v>
      </c>
      <c r="L541" s="62">
        <f>(E541*E539)+(F541*F539)+(G541*G539)+(H541*H539)+(I541*I539)+(J541*J539)</f>
        <v>0</v>
      </c>
      <c r="M541" s="57" t="s">
        <v>121</v>
      </c>
      <c r="N541" s="63" t="b">
        <v>0</v>
      </c>
    </row>
    <row r="542" ht="20.25" customHeight="1">
      <c r="A542" s="80"/>
      <c r="B542" s="102" t="s">
        <v>33</v>
      </c>
      <c r="C542" s="70" t="s">
        <v>37</v>
      </c>
      <c r="D542" s="33"/>
      <c r="E542" s="71"/>
      <c r="F542" s="71"/>
      <c r="G542" s="71"/>
      <c r="H542" s="71"/>
      <c r="I542" s="71"/>
      <c r="J542" s="71"/>
      <c r="K542" s="72" t="s">
        <v>38</v>
      </c>
      <c r="L542" s="73">
        <f>L541-L540</f>
        <v>0</v>
      </c>
      <c r="M542" s="74" t="s">
        <v>122</v>
      </c>
      <c r="N542" s="75" t="b">
        <v>0</v>
      </c>
    </row>
    <row r="543" ht="13.5" customHeight="1">
      <c r="A543" s="99" t="s">
        <v>23</v>
      </c>
      <c r="B543" s="100" t="s">
        <v>128</v>
      </c>
      <c r="C543" s="53" t="s">
        <v>30</v>
      </c>
      <c r="D543" s="54"/>
      <c r="E543" s="60"/>
      <c r="F543" s="60"/>
      <c r="G543" s="60"/>
      <c r="H543" s="60"/>
      <c r="I543" s="60"/>
      <c r="J543" s="60"/>
      <c r="K543" s="61" t="s">
        <v>30</v>
      </c>
      <c r="L543" s="62">
        <f>(E543*E539)+(F543*F539)+(G543*G539)+(H543*H539)+(I543*I539)+(J543*J539)</f>
        <v>0</v>
      </c>
      <c r="M543" s="57" t="s">
        <v>119</v>
      </c>
      <c r="N543" s="63" t="b">
        <v>0</v>
      </c>
    </row>
    <row r="544" ht="13.5" customHeight="1">
      <c r="A544" s="101"/>
      <c r="B544" s="59"/>
      <c r="C544" s="53" t="s">
        <v>34</v>
      </c>
      <c r="D544" s="54"/>
      <c r="E544" s="66"/>
      <c r="F544" s="66"/>
      <c r="G544" s="66"/>
      <c r="H544" s="66"/>
      <c r="I544" s="66"/>
      <c r="J544" s="66"/>
      <c r="K544" s="67" t="s">
        <v>35</v>
      </c>
      <c r="L544" s="62">
        <f>(E544*E539)+(F544*F539)+(G544*G539)+(H544*H539)+(I544*I539)+(J544*J539)</f>
        <v>0</v>
      </c>
      <c r="M544" s="57" t="s">
        <v>121</v>
      </c>
      <c r="N544" s="63" t="b">
        <v>0</v>
      </c>
    </row>
    <row r="545" ht="13.5" customHeight="1">
      <c r="A545" s="80"/>
      <c r="B545" s="102" t="s">
        <v>42</v>
      </c>
      <c r="C545" s="70" t="s">
        <v>37</v>
      </c>
      <c r="D545" s="33"/>
      <c r="E545" s="71"/>
      <c r="F545" s="71"/>
      <c r="G545" s="71"/>
      <c r="H545" s="71"/>
      <c r="I545" s="71"/>
      <c r="J545" s="71"/>
      <c r="K545" s="72" t="s">
        <v>38</v>
      </c>
      <c r="L545" s="73">
        <f>L544-L543</f>
        <v>0</v>
      </c>
      <c r="M545" s="74" t="s">
        <v>122</v>
      </c>
      <c r="N545" s="75" t="b">
        <v>0</v>
      </c>
    </row>
    <row r="546" ht="13.5" customHeight="1">
      <c r="A546" s="99" t="s">
        <v>23</v>
      </c>
      <c r="B546" s="100" t="s">
        <v>128</v>
      </c>
      <c r="C546" s="53" t="s">
        <v>30</v>
      </c>
      <c r="D546" s="54"/>
      <c r="E546" s="60"/>
      <c r="F546" s="60"/>
      <c r="G546" s="60"/>
      <c r="H546" s="60"/>
      <c r="I546" s="60"/>
      <c r="J546" s="60"/>
      <c r="K546" s="61" t="s">
        <v>30</v>
      </c>
      <c r="L546" s="62">
        <f>(E546*E539)+(F546*F539)+(G546*G539)+(H546*H539)+(I546*I539)+(J546*J539)</f>
        <v>0</v>
      </c>
      <c r="M546" s="57" t="s">
        <v>119</v>
      </c>
      <c r="N546" s="63" t="b">
        <v>0</v>
      </c>
    </row>
    <row r="547" ht="15.0" customHeight="1">
      <c r="A547" s="101"/>
      <c r="B547" s="59"/>
      <c r="C547" s="53" t="s">
        <v>34</v>
      </c>
      <c r="D547" s="54"/>
      <c r="E547" s="66"/>
      <c r="F547" s="66"/>
      <c r="G547" s="66"/>
      <c r="H547" s="66"/>
      <c r="I547" s="66"/>
      <c r="J547" s="66"/>
      <c r="K547" s="67" t="s">
        <v>35</v>
      </c>
      <c r="L547" s="62">
        <f>(E547*E539)+(F547*F539)+(G547*G539)+(H547*H539)+(I547*I539)+(J547*J539)</f>
        <v>0</v>
      </c>
      <c r="M547" s="57" t="s">
        <v>121</v>
      </c>
      <c r="N547" s="63" t="b">
        <v>0</v>
      </c>
    </row>
    <row r="548" ht="13.5" customHeight="1">
      <c r="A548" s="80"/>
      <c r="B548" s="102" t="s">
        <v>47</v>
      </c>
      <c r="C548" s="70" t="s">
        <v>37</v>
      </c>
      <c r="D548" s="33"/>
      <c r="E548" s="71"/>
      <c r="F548" s="71"/>
      <c r="G548" s="71"/>
      <c r="H548" s="71"/>
      <c r="I548" s="71"/>
      <c r="J548" s="71"/>
      <c r="K548" s="72" t="s">
        <v>38</v>
      </c>
      <c r="L548" s="73">
        <f>L547-L546</f>
        <v>0</v>
      </c>
      <c r="M548" s="74" t="s">
        <v>122</v>
      </c>
      <c r="N548" s="75" t="b">
        <v>0</v>
      </c>
    </row>
    <row r="549" ht="13.5" customHeight="1">
      <c r="A549" s="171" t="s">
        <v>23</v>
      </c>
      <c r="B549" s="100" t="s">
        <v>128</v>
      </c>
      <c r="C549" s="53" t="s">
        <v>30</v>
      </c>
      <c r="D549" s="54"/>
      <c r="E549" s="60"/>
      <c r="F549" s="60"/>
      <c r="G549" s="60"/>
      <c r="H549" s="60"/>
      <c r="I549" s="60"/>
      <c r="J549" s="60"/>
      <c r="K549" s="61" t="s">
        <v>30</v>
      </c>
      <c r="L549" s="62">
        <f>(E549*E539)+(F549*F539)+(G549*G539)+(H549*H539)+(I549*I539)+(J549*J539)</f>
        <v>0</v>
      </c>
      <c r="M549" s="57" t="s">
        <v>119</v>
      </c>
      <c r="N549" s="63" t="b">
        <v>0</v>
      </c>
    </row>
    <row r="550" ht="13.5" customHeight="1">
      <c r="A550" s="101" t="s">
        <v>189</v>
      </c>
      <c r="B550" s="59"/>
      <c r="C550" s="53" t="s">
        <v>34</v>
      </c>
      <c r="D550" s="54"/>
      <c r="E550" s="66"/>
      <c r="F550" s="66"/>
      <c r="G550" s="66"/>
      <c r="H550" s="66"/>
      <c r="I550" s="66"/>
      <c r="J550" s="66"/>
      <c r="K550" s="67" t="s">
        <v>35</v>
      </c>
      <c r="L550" s="62">
        <f>(E550*E539)+(F550*F539)+(G550*G539)+(H550*H539)+(I550*I539)+(J550*J539)</f>
        <v>0</v>
      </c>
      <c r="M550" s="57" t="s">
        <v>121</v>
      </c>
      <c r="N550" s="63" t="b">
        <v>0</v>
      </c>
    </row>
    <row r="551" ht="18.0" customHeight="1">
      <c r="A551" s="80"/>
      <c r="B551" s="102" t="s">
        <v>49</v>
      </c>
      <c r="C551" s="70" t="s">
        <v>37</v>
      </c>
      <c r="D551" s="33"/>
      <c r="E551" s="71"/>
      <c r="F551" s="71"/>
      <c r="G551" s="71"/>
      <c r="H551" s="71"/>
      <c r="I551" s="71"/>
      <c r="J551" s="71"/>
      <c r="K551" s="72" t="s">
        <v>38</v>
      </c>
      <c r="L551" s="73">
        <f>L550-L549</f>
        <v>0</v>
      </c>
      <c r="M551" s="74" t="s">
        <v>122</v>
      </c>
      <c r="N551" s="75" t="b">
        <v>0</v>
      </c>
    </row>
    <row r="552" ht="13.5" customHeight="1">
      <c r="A552" s="94" t="s">
        <v>129</v>
      </c>
      <c r="B552" s="95" t="s">
        <v>20</v>
      </c>
      <c r="C552" s="96"/>
      <c r="D552" s="10"/>
      <c r="E552" s="97">
        <f t="shared" ref="E552:J552" si="133">E6</f>
        <v>17</v>
      </c>
      <c r="F552" s="97">
        <f t="shared" si="133"/>
        <v>27</v>
      </c>
      <c r="G552" s="97">
        <f t="shared" si="133"/>
        <v>27</v>
      </c>
      <c r="H552" s="97">
        <f t="shared" si="133"/>
        <v>27</v>
      </c>
      <c r="I552" s="97">
        <f t="shared" si="133"/>
        <v>32</v>
      </c>
      <c r="J552" s="97">
        <f t="shared" si="133"/>
        <v>37</v>
      </c>
      <c r="K552" s="95" t="s">
        <v>21</v>
      </c>
      <c r="L552" s="10"/>
      <c r="M552" s="98" t="s">
        <v>118</v>
      </c>
      <c r="N552" s="10"/>
    </row>
    <row r="553" ht="13.5" customHeight="1">
      <c r="A553" s="99" t="s">
        <v>23</v>
      </c>
      <c r="B553" s="100" t="s">
        <v>129</v>
      </c>
      <c r="C553" s="53" t="s">
        <v>30</v>
      </c>
      <c r="D553" s="54"/>
      <c r="E553" s="60"/>
      <c r="F553" s="60"/>
      <c r="G553" s="60"/>
      <c r="H553" s="60"/>
      <c r="I553" s="60"/>
      <c r="J553" s="60"/>
      <c r="K553" s="61" t="s">
        <v>30</v>
      </c>
      <c r="L553" s="62">
        <f>(E553*E552)+(F553*F552)+(G553*G552)+(H553*H552)+(I553*I552)+(J553*J552)</f>
        <v>0</v>
      </c>
      <c r="M553" s="57" t="s">
        <v>119</v>
      </c>
      <c r="N553" s="63" t="b">
        <v>0</v>
      </c>
    </row>
    <row r="554" ht="18.0" customHeight="1">
      <c r="A554" s="103"/>
      <c r="B554" s="59"/>
      <c r="C554" s="53" t="s">
        <v>34</v>
      </c>
      <c r="D554" s="54"/>
      <c r="E554" s="66"/>
      <c r="F554" s="66"/>
      <c r="G554" s="66"/>
      <c r="H554" s="66"/>
      <c r="I554" s="66"/>
      <c r="J554" s="66"/>
      <c r="K554" s="67" t="s">
        <v>35</v>
      </c>
      <c r="L554" s="62">
        <f>(E554*E552)+(F554*F552)+(G554*G552)+(H554*H552)+(I554*I552)+(J554*J552)</f>
        <v>0</v>
      </c>
      <c r="M554" s="57" t="s">
        <v>121</v>
      </c>
      <c r="N554" s="63" t="b">
        <v>0</v>
      </c>
    </row>
    <row r="555" ht="13.5" customHeight="1">
      <c r="A555" s="80"/>
      <c r="B555" s="102" t="s">
        <v>33</v>
      </c>
      <c r="C555" s="70" t="s">
        <v>37</v>
      </c>
      <c r="D555" s="33"/>
      <c r="E555" s="71"/>
      <c r="F555" s="71"/>
      <c r="G555" s="71"/>
      <c r="H555" s="71"/>
      <c r="I555" s="71"/>
      <c r="J555" s="71"/>
      <c r="K555" s="72" t="s">
        <v>38</v>
      </c>
      <c r="L555" s="73">
        <f>L554-L553</f>
        <v>0</v>
      </c>
      <c r="M555" s="74" t="s">
        <v>122</v>
      </c>
      <c r="N555" s="75" t="b">
        <v>0</v>
      </c>
    </row>
    <row r="556" ht="13.5" customHeight="1">
      <c r="A556" s="99" t="s">
        <v>23</v>
      </c>
      <c r="B556" s="100" t="s">
        <v>129</v>
      </c>
      <c r="C556" s="53" t="s">
        <v>30</v>
      </c>
      <c r="D556" s="54"/>
      <c r="E556" s="60"/>
      <c r="F556" s="60"/>
      <c r="G556" s="60"/>
      <c r="H556" s="60"/>
      <c r="I556" s="60"/>
      <c r="J556" s="60"/>
      <c r="K556" s="61" t="s">
        <v>30</v>
      </c>
      <c r="L556" s="62">
        <f>(E556*E552)+(F556*F552)+(G556*G552)+(H556*H552)+(I556*I552)+(J556*J552)</f>
        <v>0</v>
      </c>
      <c r="M556" s="57" t="s">
        <v>119</v>
      </c>
      <c r="N556" s="63" t="b">
        <v>0</v>
      </c>
    </row>
    <row r="557" ht="13.5" customHeight="1">
      <c r="A557" s="103"/>
      <c r="B557" s="59"/>
      <c r="C557" s="53" t="s">
        <v>34</v>
      </c>
      <c r="D557" s="54"/>
      <c r="E557" s="66"/>
      <c r="F557" s="66"/>
      <c r="G557" s="66"/>
      <c r="H557" s="66"/>
      <c r="I557" s="66"/>
      <c r="J557" s="66"/>
      <c r="K557" s="67" t="s">
        <v>35</v>
      </c>
      <c r="L557" s="62">
        <f>(E557*E552)+(F557*F552)+(G557*G552)+(H557*H552)+(I557*I552)+(J557*J552)</f>
        <v>0</v>
      </c>
      <c r="M557" s="57" t="s">
        <v>121</v>
      </c>
      <c r="N557" s="63" t="b">
        <v>0</v>
      </c>
    </row>
    <row r="558" ht="18.75" customHeight="1">
      <c r="A558" s="80"/>
      <c r="B558" s="102" t="s">
        <v>42</v>
      </c>
      <c r="C558" s="70" t="s">
        <v>37</v>
      </c>
      <c r="D558" s="33"/>
      <c r="E558" s="71"/>
      <c r="F558" s="71"/>
      <c r="G558" s="71"/>
      <c r="H558" s="71"/>
      <c r="I558" s="71"/>
      <c r="J558" s="71"/>
      <c r="K558" s="72" t="s">
        <v>38</v>
      </c>
      <c r="L558" s="73">
        <f>L557-L556</f>
        <v>0</v>
      </c>
      <c r="M558" s="74" t="s">
        <v>122</v>
      </c>
      <c r="N558" s="75" t="b">
        <v>0</v>
      </c>
    </row>
    <row r="559" ht="13.5" customHeight="1">
      <c r="A559" s="99" t="s">
        <v>23</v>
      </c>
      <c r="B559" s="100" t="s">
        <v>129</v>
      </c>
      <c r="C559" s="53" t="s">
        <v>30</v>
      </c>
      <c r="D559" s="54"/>
      <c r="E559" s="60"/>
      <c r="F559" s="60"/>
      <c r="G559" s="60"/>
      <c r="H559" s="60"/>
      <c r="I559" s="60"/>
      <c r="J559" s="60"/>
      <c r="K559" s="61" t="s">
        <v>30</v>
      </c>
      <c r="L559" s="62">
        <f>(E559*E552)+(F559*F552)+(G559*G552)+(H559*H552)+(I559*I552)+(J559*J552)</f>
        <v>0</v>
      </c>
      <c r="M559" s="57" t="s">
        <v>119</v>
      </c>
      <c r="N559" s="63" t="b">
        <v>0</v>
      </c>
    </row>
    <row r="560" ht="13.5" customHeight="1">
      <c r="A560" s="101"/>
      <c r="B560" s="59"/>
      <c r="C560" s="53" t="s">
        <v>34</v>
      </c>
      <c r="D560" s="54"/>
      <c r="E560" s="66"/>
      <c r="F560" s="66"/>
      <c r="G560" s="66"/>
      <c r="H560" s="66"/>
      <c r="I560" s="66"/>
      <c r="J560" s="66"/>
      <c r="K560" s="67" t="s">
        <v>35</v>
      </c>
      <c r="L560" s="62">
        <f>(E560*E552)+(F560*F552)+(G560*G552)+(H560*H552)+(I560*I552)+(J560*J552)</f>
        <v>0</v>
      </c>
      <c r="M560" s="57" t="s">
        <v>121</v>
      </c>
      <c r="N560" s="63" t="b">
        <v>0</v>
      </c>
    </row>
    <row r="561" ht="13.5" customHeight="1">
      <c r="A561" s="80"/>
      <c r="B561" s="102" t="s">
        <v>47</v>
      </c>
      <c r="C561" s="70" t="s">
        <v>37</v>
      </c>
      <c r="D561" s="33"/>
      <c r="E561" s="71"/>
      <c r="F561" s="71"/>
      <c r="G561" s="71"/>
      <c r="H561" s="71"/>
      <c r="I561" s="71"/>
      <c r="J561" s="71"/>
      <c r="K561" s="72" t="s">
        <v>38</v>
      </c>
      <c r="L561" s="73">
        <f>L560-L559</f>
        <v>0</v>
      </c>
      <c r="M561" s="74" t="s">
        <v>122</v>
      </c>
      <c r="N561" s="75" t="b">
        <v>0</v>
      </c>
    </row>
    <row r="562" ht="13.5" customHeight="1">
      <c r="A562" s="99" t="s">
        <v>23</v>
      </c>
      <c r="B562" s="100" t="s">
        <v>129</v>
      </c>
      <c r="C562" s="53" t="s">
        <v>30</v>
      </c>
      <c r="D562" s="54"/>
      <c r="E562" s="60"/>
      <c r="F562" s="60"/>
      <c r="G562" s="60"/>
      <c r="H562" s="60"/>
      <c r="I562" s="60"/>
      <c r="J562" s="60"/>
      <c r="K562" s="61" t="s">
        <v>30</v>
      </c>
      <c r="L562" s="62">
        <f>(E562*E552)+(F562*F552)+(G562*G552)+(H562*H552)+(I562*I552)+(J562*J552)</f>
        <v>0</v>
      </c>
      <c r="M562" s="57" t="s">
        <v>119</v>
      </c>
      <c r="N562" s="63" t="b">
        <v>0</v>
      </c>
    </row>
    <row r="563" ht="15.0" customHeight="1">
      <c r="A563" s="101" t="s">
        <v>70</v>
      </c>
      <c r="B563" s="59"/>
      <c r="C563" s="53" t="s">
        <v>34</v>
      </c>
      <c r="D563" s="54"/>
      <c r="E563" s="66"/>
      <c r="F563" s="66"/>
      <c r="G563" s="66"/>
      <c r="H563" s="66"/>
      <c r="I563" s="66"/>
      <c r="J563" s="66"/>
      <c r="K563" s="67" t="s">
        <v>35</v>
      </c>
      <c r="L563" s="62">
        <f>(E563*E552)+(F563*F552)+(G563*G552)+(H563*H552)+(I563*I552)+(J563*J552)</f>
        <v>0</v>
      </c>
      <c r="M563" s="57" t="s">
        <v>121</v>
      </c>
      <c r="N563" s="63" t="b">
        <v>0</v>
      </c>
    </row>
    <row r="564" ht="13.5" customHeight="1">
      <c r="A564" s="80"/>
      <c r="B564" s="102" t="s">
        <v>49</v>
      </c>
      <c r="C564" s="70" t="s">
        <v>37</v>
      </c>
      <c r="D564" s="33"/>
      <c r="E564" s="71"/>
      <c r="F564" s="71"/>
      <c r="G564" s="71"/>
      <c r="H564" s="71"/>
      <c r="I564" s="71"/>
      <c r="J564" s="71"/>
      <c r="K564" s="72" t="s">
        <v>38</v>
      </c>
      <c r="L564" s="73">
        <f>L563-L562</f>
        <v>0</v>
      </c>
      <c r="M564" s="74" t="s">
        <v>122</v>
      </c>
      <c r="N564" s="75" t="b">
        <v>0</v>
      </c>
    </row>
    <row r="565" ht="13.5" customHeight="1">
      <c r="A565" s="94" t="s">
        <v>130</v>
      </c>
      <c r="B565" s="95" t="s">
        <v>20</v>
      </c>
      <c r="C565" s="96"/>
      <c r="D565" s="10"/>
      <c r="E565" s="97">
        <f t="shared" ref="E565:J565" si="134">E6</f>
        <v>17</v>
      </c>
      <c r="F565" s="97">
        <f t="shared" si="134"/>
        <v>27</v>
      </c>
      <c r="G565" s="97">
        <f t="shared" si="134"/>
        <v>27</v>
      </c>
      <c r="H565" s="97">
        <f t="shared" si="134"/>
        <v>27</v>
      </c>
      <c r="I565" s="97">
        <f t="shared" si="134"/>
        <v>32</v>
      </c>
      <c r="J565" s="97">
        <f t="shared" si="134"/>
        <v>37</v>
      </c>
      <c r="K565" s="95" t="s">
        <v>21</v>
      </c>
      <c r="L565" s="10"/>
      <c r="M565" s="98" t="s">
        <v>118</v>
      </c>
      <c r="N565" s="10"/>
    </row>
    <row r="566" ht="20.25" customHeight="1">
      <c r="A566" s="99" t="s">
        <v>23</v>
      </c>
      <c r="B566" s="100" t="s">
        <v>130</v>
      </c>
      <c r="C566" s="53" t="s">
        <v>30</v>
      </c>
      <c r="D566" s="54"/>
      <c r="E566" s="60"/>
      <c r="F566" s="60"/>
      <c r="G566" s="60"/>
      <c r="H566" s="60"/>
      <c r="I566" s="60"/>
      <c r="J566" s="60"/>
      <c r="K566" s="61" t="s">
        <v>30</v>
      </c>
      <c r="L566" s="62">
        <f>(E566*E565)+(F566*F565)+(G566*G565)+(H566*H565)+(I566*I565)+(J566*J565)</f>
        <v>0</v>
      </c>
      <c r="M566" s="57" t="s">
        <v>119</v>
      </c>
      <c r="N566" s="63" t="b">
        <v>0</v>
      </c>
    </row>
    <row r="567" ht="13.5" customHeight="1">
      <c r="A567" s="103"/>
      <c r="B567" s="59"/>
      <c r="C567" s="53" t="s">
        <v>34</v>
      </c>
      <c r="D567" s="54"/>
      <c r="E567" s="66"/>
      <c r="F567" s="66"/>
      <c r="G567" s="66"/>
      <c r="H567" s="66"/>
      <c r="I567" s="66"/>
      <c r="J567" s="66"/>
      <c r="K567" s="67" t="s">
        <v>35</v>
      </c>
      <c r="L567" s="62">
        <f>(E567*E565)+(F567*F565)+(G567*G565)+(H567*H565)+(I567*I565)+(J567*J565)</f>
        <v>0</v>
      </c>
      <c r="M567" s="57" t="s">
        <v>121</v>
      </c>
      <c r="N567" s="63" t="b">
        <v>0</v>
      </c>
    </row>
    <row r="568" ht="13.5" customHeight="1">
      <c r="A568" s="80"/>
      <c r="B568" s="102" t="s">
        <v>33</v>
      </c>
      <c r="C568" s="70" t="s">
        <v>37</v>
      </c>
      <c r="D568" s="33"/>
      <c r="E568" s="71"/>
      <c r="F568" s="71"/>
      <c r="G568" s="71"/>
      <c r="H568" s="71"/>
      <c r="I568" s="71"/>
      <c r="J568" s="71"/>
      <c r="K568" s="72" t="s">
        <v>38</v>
      </c>
      <c r="L568" s="73">
        <f>L567-L566</f>
        <v>0</v>
      </c>
      <c r="M568" s="74" t="s">
        <v>122</v>
      </c>
      <c r="N568" s="75" t="b">
        <v>0</v>
      </c>
    </row>
    <row r="569" ht="13.5" customHeight="1">
      <c r="A569" s="99" t="s">
        <v>23</v>
      </c>
      <c r="B569" s="100" t="s">
        <v>130</v>
      </c>
      <c r="C569" s="53" t="s">
        <v>30</v>
      </c>
      <c r="D569" s="54"/>
      <c r="E569" s="60"/>
      <c r="F569" s="60"/>
      <c r="G569" s="60"/>
      <c r="H569" s="60"/>
      <c r="I569" s="60"/>
      <c r="J569" s="60"/>
      <c r="K569" s="61" t="s">
        <v>30</v>
      </c>
      <c r="L569" s="62">
        <f>(E569*E565)+(F569*F565)+(G569*G565)+(H569*H565)+(I569*I565)+(J569*J565)</f>
        <v>0</v>
      </c>
      <c r="M569" s="57" t="s">
        <v>119</v>
      </c>
      <c r="N569" s="63" t="b">
        <v>0</v>
      </c>
    </row>
    <row r="570" ht="15.0" customHeight="1">
      <c r="A570" s="103"/>
      <c r="B570" s="59"/>
      <c r="C570" s="53" t="s">
        <v>34</v>
      </c>
      <c r="D570" s="54"/>
      <c r="E570" s="66"/>
      <c r="F570" s="66"/>
      <c r="G570" s="66"/>
      <c r="H570" s="66"/>
      <c r="I570" s="66"/>
      <c r="J570" s="66"/>
      <c r="K570" s="67" t="s">
        <v>35</v>
      </c>
      <c r="L570" s="62">
        <f>(E570*E565)+(F570*F565)+(G570*G565)+(H570*H565)+(I570*I565)+(J570*J565)</f>
        <v>0</v>
      </c>
      <c r="M570" s="57" t="s">
        <v>121</v>
      </c>
      <c r="N570" s="63" t="b">
        <v>0</v>
      </c>
    </row>
    <row r="571" ht="22.5" customHeight="1">
      <c r="A571" s="80"/>
      <c r="B571" s="102" t="s">
        <v>42</v>
      </c>
      <c r="C571" s="70" t="s">
        <v>37</v>
      </c>
      <c r="D571" s="33"/>
      <c r="E571" s="71"/>
      <c r="F571" s="71"/>
      <c r="G571" s="71"/>
      <c r="H571" s="71"/>
      <c r="I571" s="71"/>
      <c r="J571" s="71"/>
      <c r="K571" s="72" t="s">
        <v>38</v>
      </c>
      <c r="L571" s="73">
        <f>L570-L569</f>
        <v>0</v>
      </c>
      <c r="M571" s="74" t="s">
        <v>122</v>
      </c>
      <c r="N571" s="75" t="b">
        <v>0</v>
      </c>
    </row>
    <row r="572" ht="13.5" customHeight="1">
      <c r="A572" s="99" t="s">
        <v>23</v>
      </c>
      <c r="B572" s="100" t="s">
        <v>130</v>
      </c>
      <c r="C572" s="53" t="s">
        <v>30</v>
      </c>
      <c r="D572" s="54"/>
      <c r="E572" s="60"/>
      <c r="F572" s="60"/>
      <c r="G572" s="60"/>
      <c r="H572" s="60"/>
      <c r="I572" s="60"/>
      <c r="J572" s="60"/>
      <c r="K572" s="61" t="s">
        <v>30</v>
      </c>
      <c r="L572" s="62">
        <f>(E572*E565)+(F572*F565)+(G572*G565)+(H572*H565)+(I572*I565)+(J572*J565)</f>
        <v>0</v>
      </c>
      <c r="M572" s="57" t="s">
        <v>119</v>
      </c>
      <c r="N572" s="63" t="b">
        <v>0</v>
      </c>
    </row>
    <row r="573" ht="13.5" customHeight="1">
      <c r="A573" s="101"/>
      <c r="B573" s="59"/>
      <c r="C573" s="53" t="s">
        <v>34</v>
      </c>
      <c r="D573" s="54"/>
      <c r="E573" s="66"/>
      <c r="F573" s="66"/>
      <c r="G573" s="66"/>
      <c r="H573" s="66"/>
      <c r="I573" s="66"/>
      <c r="J573" s="66"/>
      <c r="K573" s="67" t="s">
        <v>35</v>
      </c>
      <c r="L573" s="62">
        <f>(E573*E565)+(F573*F565)+(G573*G565)+(H573*H565)+(I573*I565)+(J573*J565)</f>
        <v>0</v>
      </c>
      <c r="M573" s="57" t="s">
        <v>121</v>
      </c>
      <c r="N573" s="63" t="b">
        <v>0</v>
      </c>
    </row>
    <row r="574" ht="19.5" customHeight="1">
      <c r="A574" s="80"/>
      <c r="B574" s="102" t="s">
        <v>47</v>
      </c>
      <c r="C574" s="70" t="s">
        <v>37</v>
      </c>
      <c r="D574" s="33"/>
      <c r="E574" s="71"/>
      <c r="F574" s="71"/>
      <c r="G574" s="71"/>
      <c r="H574" s="71"/>
      <c r="I574" s="71"/>
      <c r="J574" s="71"/>
      <c r="K574" s="72" t="s">
        <v>38</v>
      </c>
      <c r="L574" s="73">
        <f>L573-L572</f>
        <v>0</v>
      </c>
      <c r="M574" s="74" t="s">
        <v>122</v>
      </c>
      <c r="N574" s="75" t="b">
        <v>0</v>
      </c>
    </row>
    <row r="575" ht="13.5" customHeight="1">
      <c r="A575" s="99" t="s">
        <v>23</v>
      </c>
      <c r="B575" s="100" t="s">
        <v>130</v>
      </c>
      <c r="C575" s="53" t="s">
        <v>30</v>
      </c>
      <c r="D575" s="54"/>
      <c r="E575" s="60"/>
      <c r="F575" s="60"/>
      <c r="G575" s="60"/>
      <c r="H575" s="60"/>
      <c r="I575" s="60"/>
      <c r="J575" s="60"/>
      <c r="K575" s="61" t="s">
        <v>30</v>
      </c>
      <c r="L575" s="62">
        <f>(E575*E565)+(F575*F565)+(G575*G565)+(H575*H565)+(I575*I565)+(J575*J565)</f>
        <v>0</v>
      </c>
      <c r="M575" s="57" t="s">
        <v>119</v>
      </c>
      <c r="N575" s="63" t="b">
        <v>0</v>
      </c>
    </row>
    <row r="576" ht="13.5" customHeight="1">
      <c r="A576" s="101" t="s">
        <v>186</v>
      </c>
      <c r="B576" s="59"/>
      <c r="C576" s="53" t="s">
        <v>34</v>
      </c>
      <c r="D576" s="54"/>
      <c r="E576" s="66"/>
      <c r="F576" s="66"/>
      <c r="G576" s="66"/>
      <c r="H576" s="66"/>
      <c r="I576" s="66"/>
      <c r="J576" s="66"/>
      <c r="K576" s="67" t="s">
        <v>35</v>
      </c>
      <c r="L576" s="62">
        <f>(E576*E565)+(F576*F565)+(G576*G565)+(H576*H565)+(I576*I565)+(J576*J565)</f>
        <v>0</v>
      </c>
      <c r="M576" s="57" t="s">
        <v>121</v>
      </c>
      <c r="N576" s="63" t="b">
        <v>0</v>
      </c>
    </row>
    <row r="577" ht="13.5" customHeight="1">
      <c r="A577" s="80"/>
      <c r="B577" s="102" t="s">
        <v>49</v>
      </c>
      <c r="C577" s="70" t="s">
        <v>37</v>
      </c>
      <c r="D577" s="33"/>
      <c r="E577" s="71"/>
      <c r="F577" s="71"/>
      <c r="G577" s="71"/>
      <c r="H577" s="71"/>
      <c r="I577" s="71"/>
      <c r="J577" s="71"/>
      <c r="K577" s="72" t="s">
        <v>38</v>
      </c>
      <c r="L577" s="73">
        <f>L576-L575</f>
        <v>0</v>
      </c>
      <c r="M577" s="74" t="s">
        <v>122</v>
      </c>
      <c r="N577" s="75" t="b">
        <v>0</v>
      </c>
    </row>
    <row r="578" ht="13.5" customHeight="1">
      <c r="A578" s="94" t="s">
        <v>131</v>
      </c>
      <c r="B578" s="95" t="s">
        <v>20</v>
      </c>
      <c r="C578" s="96"/>
      <c r="D578" s="10"/>
      <c r="E578" s="97">
        <f t="shared" ref="E578:J578" si="135">E6</f>
        <v>17</v>
      </c>
      <c r="F578" s="97">
        <f t="shared" si="135"/>
        <v>27</v>
      </c>
      <c r="G578" s="97">
        <f t="shared" si="135"/>
        <v>27</v>
      </c>
      <c r="H578" s="97">
        <f t="shared" si="135"/>
        <v>27</v>
      </c>
      <c r="I578" s="97">
        <f t="shared" si="135"/>
        <v>32</v>
      </c>
      <c r="J578" s="97">
        <f t="shared" si="135"/>
        <v>37</v>
      </c>
      <c r="K578" s="95" t="s">
        <v>21</v>
      </c>
      <c r="L578" s="10"/>
      <c r="M578" s="98" t="s">
        <v>118</v>
      </c>
      <c r="N578" s="10"/>
    </row>
    <row r="579" ht="13.5" customHeight="1">
      <c r="A579" s="99" t="s">
        <v>23</v>
      </c>
      <c r="B579" s="100" t="s">
        <v>131</v>
      </c>
      <c r="C579" s="53" t="s">
        <v>30</v>
      </c>
      <c r="D579" s="54"/>
      <c r="E579" s="60"/>
      <c r="F579" s="60"/>
      <c r="G579" s="60"/>
      <c r="H579" s="60"/>
      <c r="I579" s="60"/>
      <c r="J579" s="60"/>
      <c r="K579" s="61" t="s">
        <v>30</v>
      </c>
      <c r="L579" s="62">
        <f>(E579*E578)+(F579*F578)+(G579*G578)+(H579*H578)+(I579*I578)+(J579*J578)</f>
        <v>0</v>
      </c>
      <c r="M579" s="57" t="s">
        <v>119</v>
      </c>
      <c r="N579" s="63" t="b">
        <v>0</v>
      </c>
    </row>
    <row r="580" ht="13.5" customHeight="1">
      <c r="A580" s="103"/>
      <c r="B580" s="59"/>
      <c r="C580" s="53" t="s">
        <v>34</v>
      </c>
      <c r="D580" s="54"/>
      <c r="E580" s="66"/>
      <c r="F580" s="66"/>
      <c r="G580" s="66"/>
      <c r="H580" s="66"/>
      <c r="I580" s="66"/>
      <c r="J580" s="66"/>
      <c r="K580" s="67" t="s">
        <v>35</v>
      </c>
      <c r="L580" s="62">
        <f>(E580*E578)+(F580*F578)+(G580*G578)+(H580*H578)+(I580*I578)+(J580*J578)</f>
        <v>0</v>
      </c>
      <c r="M580" s="57" t="s">
        <v>121</v>
      </c>
      <c r="N580" s="63" t="b">
        <v>0</v>
      </c>
    </row>
    <row r="581" ht="13.5" customHeight="1">
      <c r="A581" s="80"/>
      <c r="B581" s="102" t="s">
        <v>33</v>
      </c>
      <c r="C581" s="70" t="s">
        <v>37</v>
      </c>
      <c r="D581" s="33"/>
      <c r="E581" s="71"/>
      <c r="F581" s="71"/>
      <c r="G581" s="71"/>
      <c r="H581" s="71"/>
      <c r="I581" s="71"/>
      <c r="J581" s="71"/>
      <c r="K581" s="72" t="s">
        <v>38</v>
      </c>
      <c r="L581" s="73">
        <f>L580-L579</f>
        <v>0</v>
      </c>
      <c r="M581" s="74" t="s">
        <v>122</v>
      </c>
      <c r="N581" s="75" t="b">
        <v>0</v>
      </c>
    </row>
    <row r="582" ht="19.5" customHeight="1">
      <c r="A582" s="99" t="s">
        <v>23</v>
      </c>
      <c r="B582" s="100" t="s">
        <v>131</v>
      </c>
      <c r="C582" s="53" t="s">
        <v>30</v>
      </c>
      <c r="D582" s="54"/>
      <c r="E582" s="60"/>
      <c r="F582" s="60"/>
      <c r="G582" s="60"/>
      <c r="H582" s="60"/>
      <c r="I582" s="60"/>
      <c r="J582" s="60"/>
      <c r="K582" s="61" t="s">
        <v>30</v>
      </c>
      <c r="L582" s="62">
        <f>(E582*E578)+(F582*F578)+(G582*G578)+(H582*H578)+(I582*I578)+(J582*J578)</f>
        <v>0</v>
      </c>
      <c r="M582" s="57" t="s">
        <v>119</v>
      </c>
      <c r="N582" s="63" t="b">
        <v>0</v>
      </c>
    </row>
    <row r="583" ht="13.5" customHeight="1">
      <c r="A583" s="103"/>
      <c r="B583" s="59"/>
      <c r="C583" s="53" t="s">
        <v>34</v>
      </c>
      <c r="D583" s="54"/>
      <c r="E583" s="66"/>
      <c r="F583" s="66"/>
      <c r="G583" s="66"/>
      <c r="H583" s="66"/>
      <c r="I583" s="66"/>
      <c r="J583" s="66"/>
      <c r="K583" s="67" t="s">
        <v>35</v>
      </c>
      <c r="L583" s="62">
        <f>(E583*E578)+(F583*F578)+(G583*G578)+(H583*H578)+(I583*I578)+(J583*J578)</f>
        <v>0</v>
      </c>
      <c r="M583" s="57" t="s">
        <v>121</v>
      </c>
      <c r="N583" s="63" t="b">
        <v>0</v>
      </c>
    </row>
    <row r="584" ht="13.5" customHeight="1">
      <c r="A584" s="80"/>
      <c r="B584" s="102" t="s">
        <v>42</v>
      </c>
      <c r="C584" s="70" t="s">
        <v>37</v>
      </c>
      <c r="D584" s="33"/>
      <c r="E584" s="71"/>
      <c r="F584" s="71"/>
      <c r="G584" s="71"/>
      <c r="H584" s="71"/>
      <c r="I584" s="71"/>
      <c r="J584" s="71"/>
      <c r="K584" s="72" t="s">
        <v>38</v>
      </c>
      <c r="L584" s="73">
        <f>L583-L582</f>
        <v>0</v>
      </c>
      <c r="M584" s="74" t="s">
        <v>122</v>
      </c>
      <c r="N584" s="75" t="b">
        <v>0</v>
      </c>
    </row>
    <row r="585" ht="13.5" customHeight="1">
      <c r="A585" s="99" t="s">
        <v>23</v>
      </c>
      <c r="B585" s="100" t="s">
        <v>131</v>
      </c>
      <c r="C585" s="53" t="s">
        <v>30</v>
      </c>
      <c r="D585" s="54"/>
      <c r="E585" s="60"/>
      <c r="F585" s="60"/>
      <c r="G585" s="60"/>
      <c r="H585" s="60"/>
      <c r="I585" s="60"/>
      <c r="J585" s="60"/>
      <c r="K585" s="61" t="s">
        <v>30</v>
      </c>
      <c r="L585" s="62">
        <f>(E585*E578)+(F585*F578)+(G585*G578)+(H585*H578)+(I585*I578)+(J585*J578)</f>
        <v>0</v>
      </c>
      <c r="M585" s="57" t="s">
        <v>119</v>
      </c>
      <c r="N585" s="63" t="b">
        <v>0</v>
      </c>
    </row>
    <row r="586" ht="15.0" customHeight="1">
      <c r="A586" s="101"/>
      <c r="B586" s="59"/>
      <c r="C586" s="53" t="s">
        <v>34</v>
      </c>
      <c r="D586" s="54"/>
      <c r="E586" s="66"/>
      <c r="F586" s="66"/>
      <c r="G586" s="66"/>
      <c r="H586" s="66"/>
      <c r="I586" s="66"/>
      <c r="J586" s="66"/>
      <c r="K586" s="67" t="s">
        <v>35</v>
      </c>
      <c r="L586" s="62">
        <f>(E586*E578)+(F586*F578)+(G586*G578)+(H586*H578)+(I586*I578)+(J586*J578)</f>
        <v>0</v>
      </c>
      <c r="M586" s="57" t="s">
        <v>121</v>
      </c>
      <c r="N586" s="63" t="b">
        <v>0</v>
      </c>
    </row>
    <row r="587" ht="13.5" customHeight="1">
      <c r="A587" s="80"/>
      <c r="B587" s="102" t="s">
        <v>47</v>
      </c>
      <c r="C587" s="70" t="s">
        <v>37</v>
      </c>
      <c r="D587" s="33"/>
      <c r="E587" s="71"/>
      <c r="F587" s="71"/>
      <c r="G587" s="71"/>
      <c r="H587" s="71"/>
      <c r="I587" s="71"/>
      <c r="J587" s="71"/>
      <c r="K587" s="72" t="s">
        <v>38</v>
      </c>
      <c r="L587" s="73">
        <f>L586-L585</f>
        <v>0</v>
      </c>
      <c r="M587" s="74" t="s">
        <v>122</v>
      </c>
      <c r="N587" s="75" t="b">
        <v>0</v>
      </c>
    </row>
    <row r="588" ht="13.5" customHeight="1">
      <c r="A588" s="99" t="s">
        <v>23</v>
      </c>
      <c r="B588" s="100" t="s">
        <v>131</v>
      </c>
      <c r="C588" s="53" t="s">
        <v>30</v>
      </c>
      <c r="D588" s="54"/>
      <c r="E588" s="60"/>
      <c r="F588" s="60"/>
      <c r="G588" s="60"/>
      <c r="H588" s="60"/>
      <c r="I588" s="60"/>
      <c r="J588" s="60"/>
      <c r="K588" s="61" t="s">
        <v>30</v>
      </c>
      <c r="L588" s="62">
        <f>(E588*E578)+(F588*F578)+(G588*G578)+(H588*H578)+(I588*I578)+(J588*J578)</f>
        <v>0</v>
      </c>
      <c r="M588" s="57" t="s">
        <v>119</v>
      </c>
      <c r="N588" s="63" t="b">
        <v>0</v>
      </c>
    </row>
    <row r="589" ht="13.5" customHeight="1">
      <c r="A589" s="101" t="s">
        <v>76</v>
      </c>
      <c r="B589" s="59"/>
      <c r="C589" s="53" t="s">
        <v>34</v>
      </c>
      <c r="D589" s="54"/>
      <c r="E589" s="66"/>
      <c r="F589" s="66"/>
      <c r="G589" s="66"/>
      <c r="H589" s="66"/>
      <c r="I589" s="66"/>
      <c r="J589" s="66"/>
      <c r="K589" s="67" t="s">
        <v>35</v>
      </c>
      <c r="L589" s="62">
        <f>(E589*E578)+(F589*F578)+(G589*G578)+(H589*H578)+(I589*I578)+(J589*J578)</f>
        <v>0</v>
      </c>
      <c r="M589" s="57" t="s">
        <v>121</v>
      </c>
      <c r="N589" s="63" t="b">
        <v>0</v>
      </c>
    </row>
    <row r="590" ht="18.75" customHeight="1">
      <c r="A590" s="80"/>
      <c r="B590" s="102" t="s">
        <v>49</v>
      </c>
      <c r="C590" s="70" t="s">
        <v>37</v>
      </c>
      <c r="D590" s="33"/>
      <c r="E590" s="71"/>
      <c r="F590" s="71"/>
      <c r="G590" s="71"/>
      <c r="H590" s="71"/>
      <c r="I590" s="71"/>
      <c r="J590" s="71"/>
      <c r="K590" s="72" t="s">
        <v>38</v>
      </c>
      <c r="L590" s="73">
        <f>L589-L588</f>
        <v>0</v>
      </c>
      <c r="M590" s="74" t="s">
        <v>122</v>
      </c>
      <c r="N590" s="75" t="b">
        <v>0</v>
      </c>
    </row>
    <row r="591" ht="13.5" customHeight="1">
      <c r="A591" s="104" t="s">
        <v>132</v>
      </c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5"/>
    </row>
    <row r="592" ht="13.5" customHeight="1">
      <c r="A592" s="105"/>
      <c r="B592" s="10"/>
      <c r="C592" s="106" t="s">
        <v>133</v>
      </c>
      <c r="D592" s="24"/>
      <c r="E592" s="24"/>
      <c r="F592" s="24"/>
      <c r="G592" s="24"/>
      <c r="H592" s="24"/>
      <c r="I592" s="24"/>
      <c r="J592" s="24"/>
      <c r="K592" s="24"/>
      <c r="L592" s="25"/>
      <c r="M592" s="107"/>
      <c r="N592" s="108"/>
    </row>
    <row r="593" ht="13.5" customHeight="1">
      <c r="A593" s="109" t="s">
        <v>133</v>
      </c>
      <c r="B593" s="59"/>
      <c r="C593" s="110" t="s">
        <v>15</v>
      </c>
      <c r="D593" s="111"/>
      <c r="E593" s="112">
        <f t="shared" ref="E593:J593" si="136">E7-(E15+E33+E51+E69+E87+E105+E123+E141+E159+E177+E195+E213+E231+E249+E267+E285+E303+E321+E339+E357+E375+E393+E411+E429+E447+E463+E476+E489+E502+E515+E528+E541+E554+E567+E580)</f>
        <v>0</v>
      </c>
      <c r="F593" s="112">
        <f t="shared" si="136"/>
        <v>-29</v>
      </c>
      <c r="G593" s="112">
        <f t="shared" si="136"/>
        <v>-27</v>
      </c>
      <c r="H593" s="112">
        <f t="shared" si="136"/>
        <v>-11</v>
      </c>
      <c r="I593" s="112">
        <f t="shared" si="136"/>
        <v>-17</v>
      </c>
      <c r="J593" s="113">
        <f t="shared" si="136"/>
        <v>-31</v>
      </c>
      <c r="K593" s="114" t="s">
        <v>134</v>
      </c>
      <c r="L593" s="115">
        <f>L16+L34+L52+L70+L88+L106+L124+L142+L160+L178+L196+L214+L232+L250+L268+L286+L304+L322+L340+L358+L376+L394+L412+L430+L448+L464+L477+L490+L503+L516+L529+L542+L555+L568+L581</f>
        <v>2484</v>
      </c>
      <c r="M593" s="116"/>
      <c r="N593" s="117"/>
    </row>
    <row r="594" ht="13.5" customHeight="1">
      <c r="A594" s="38"/>
      <c r="B594" s="59"/>
      <c r="C594" s="118" t="s">
        <v>135</v>
      </c>
      <c r="D594" s="111"/>
      <c r="E594" s="119"/>
      <c r="F594" s="119"/>
      <c r="G594" s="119"/>
      <c r="H594" s="119"/>
      <c r="I594" s="119"/>
      <c r="J594" s="120"/>
      <c r="K594" s="59"/>
      <c r="L594" s="5"/>
      <c r="N594" s="59"/>
    </row>
    <row r="595" ht="13.5" customHeight="1">
      <c r="A595" s="38"/>
      <c r="B595" s="59"/>
      <c r="C595" s="121" t="s">
        <v>136</v>
      </c>
      <c r="D595" s="25"/>
      <c r="E595" s="122">
        <f t="shared" ref="E595:J595" si="137">E593-E594</f>
        <v>0</v>
      </c>
      <c r="F595" s="122">
        <f t="shared" si="137"/>
        <v>-29</v>
      </c>
      <c r="G595" s="122">
        <f t="shared" si="137"/>
        <v>-27</v>
      </c>
      <c r="H595" s="122">
        <f t="shared" si="137"/>
        <v>-11</v>
      </c>
      <c r="I595" s="122">
        <f t="shared" si="137"/>
        <v>-17</v>
      </c>
      <c r="J595" s="123">
        <f t="shared" si="137"/>
        <v>-31</v>
      </c>
      <c r="K595" s="59"/>
      <c r="L595" s="5"/>
      <c r="N595" s="59"/>
    </row>
    <row r="596" ht="13.5" customHeight="1">
      <c r="A596" s="38"/>
      <c r="B596" s="59"/>
      <c r="C596" s="110" t="s">
        <v>137</v>
      </c>
      <c r="D596" s="111"/>
      <c r="E596" s="112">
        <f t="shared" ref="E596:J596" si="138">E14+E32+E50+E68+E86+E104+E122+E140+E158+E176+E194+E212+E230+E248+E266+E284+E302+E320+E338+E356+E374+E392+E410+E428+E446+E462+E475+E488+E501+E514+E527+E540+E553+E566+E579</f>
        <v>0</v>
      </c>
      <c r="F596" s="112">
        <f t="shared" si="138"/>
        <v>9</v>
      </c>
      <c r="G596" s="112">
        <f t="shared" si="138"/>
        <v>5</v>
      </c>
      <c r="H596" s="112">
        <f t="shared" si="138"/>
        <v>4</v>
      </c>
      <c r="I596" s="112">
        <f t="shared" si="138"/>
        <v>5</v>
      </c>
      <c r="J596" s="113">
        <f t="shared" si="138"/>
        <v>10</v>
      </c>
      <c r="K596" s="54"/>
      <c r="L596" s="111"/>
      <c r="N596" s="59"/>
    </row>
    <row r="597" ht="13.5" customHeight="1">
      <c r="A597" s="38"/>
      <c r="B597" s="59"/>
      <c r="C597" s="118" t="s">
        <v>135</v>
      </c>
      <c r="D597" s="111"/>
      <c r="E597" s="119"/>
      <c r="F597" s="119"/>
      <c r="G597" s="119"/>
      <c r="H597" s="119"/>
      <c r="I597" s="119"/>
      <c r="J597" s="120"/>
      <c r="K597" s="124" t="s">
        <v>135</v>
      </c>
      <c r="L597" s="125"/>
      <c r="N597" s="59"/>
    </row>
    <row r="598" ht="13.5" customHeight="1">
      <c r="A598" s="126"/>
      <c r="B598" s="33"/>
      <c r="C598" s="121" t="s">
        <v>136</v>
      </c>
      <c r="D598" s="25"/>
      <c r="E598" s="122">
        <f t="shared" ref="E598:J598" si="139">E596-E597</f>
        <v>0</v>
      </c>
      <c r="F598" s="122">
        <f t="shared" si="139"/>
        <v>9</v>
      </c>
      <c r="G598" s="122">
        <f t="shared" si="139"/>
        <v>5</v>
      </c>
      <c r="H598" s="122">
        <f t="shared" si="139"/>
        <v>4</v>
      </c>
      <c r="I598" s="122">
        <f t="shared" si="139"/>
        <v>5</v>
      </c>
      <c r="J598" s="123">
        <f t="shared" si="139"/>
        <v>10</v>
      </c>
      <c r="K598" s="127" t="s">
        <v>136</v>
      </c>
      <c r="L598" s="128">
        <f>L593-L597</f>
        <v>2484</v>
      </c>
      <c r="M598" s="129"/>
      <c r="N598" s="54"/>
    </row>
    <row r="599" ht="13.5" customHeight="1">
      <c r="A599" s="105"/>
      <c r="B599" s="10"/>
      <c r="C599" s="130" t="s">
        <v>138</v>
      </c>
      <c r="D599" s="24"/>
      <c r="E599" s="24"/>
      <c r="F599" s="24"/>
      <c r="G599" s="24"/>
      <c r="H599" s="24"/>
      <c r="I599" s="24"/>
      <c r="J599" s="24"/>
      <c r="K599" s="24"/>
      <c r="L599" s="25"/>
      <c r="M599" s="131"/>
      <c r="N599" s="108"/>
    </row>
    <row r="600" ht="13.5" customHeight="1">
      <c r="A600" s="109" t="s">
        <v>138</v>
      </c>
      <c r="B600" s="59"/>
      <c r="C600" s="110" t="s">
        <v>15</v>
      </c>
      <c r="D600" s="111"/>
      <c r="E600" s="112">
        <f t="shared" ref="E600:J600" si="140">E8-(E19+E37+E55+E73+E91+E109+E127+E145+E163+E181+E199+E217+E235+E253+E271+E289+E307+E325+E343+E361+E379+E397+E415+E433+E451+E466+E479+E492+E505+E518+E531+E544+E557+E570+E583)</f>
        <v>0</v>
      </c>
      <c r="F600" s="112">
        <f t="shared" si="140"/>
        <v>-32</v>
      </c>
      <c r="G600" s="112">
        <f t="shared" si="140"/>
        <v>-27</v>
      </c>
      <c r="H600" s="112">
        <f t="shared" si="140"/>
        <v>-13</v>
      </c>
      <c r="I600" s="112">
        <f t="shared" si="140"/>
        <v>-20</v>
      </c>
      <c r="J600" s="113">
        <f t="shared" si="140"/>
        <v>-27</v>
      </c>
      <c r="K600" s="114" t="s">
        <v>139</v>
      </c>
      <c r="L600" s="115">
        <f>L20+L38+L56+L74+L92+L110+L128+L146+L164+L182+L200+L218+L236+L254+L272+L290+L308+L326+L344+L362+L380+L398+L416+L434+L452+L467+L480+L493+L506+L519+L532+L545+L558+L571+L584</f>
        <v>3298</v>
      </c>
      <c r="M600" s="116"/>
      <c r="N600" s="117"/>
    </row>
    <row r="601" ht="13.5" customHeight="1">
      <c r="A601" s="38"/>
      <c r="B601" s="59"/>
      <c r="C601" s="118" t="s">
        <v>135</v>
      </c>
      <c r="D601" s="111"/>
      <c r="E601" s="119"/>
      <c r="F601" s="169">
        <v>3.0</v>
      </c>
      <c r="G601" s="169">
        <v>11.0</v>
      </c>
      <c r="H601" s="169">
        <v>0.0</v>
      </c>
      <c r="I601" s="119"/>
      <c r="J601" s="170">
        <v>22.0</v>
      </c>
      <c r="K601" s="59"/>
      <c r="L601" s="5"/>
      <c r="N601" s="59"/>
    </row>
    <row r="602" ht="13.5" customHeight="1">
      <c r="A602" s="38"/>
      <c r="B602" s="59"/>
      <c r="C602" s="121" t="s">
        <v>136</v>
      </c>
      <c r="D602" s="25"/>
      <c r="E602" s="122">
        <f t="shared" ref="E602:J602" si="141">E600-E601</f>
        <v>0</v>
      </c>
      <c r="F602" s="122">
        <f t="shared" si="141"/>
        <v>-35</v>
      </c>
      <c r="G602" s="122">
        <f t="shared" si="141"/>
        <v>-38</v>
      </c>
      <c r="H602" s="122">
        <f t="shared" si="141"/>
        <v>-13</v>
      </c>
      <c r="I602" s="122">
        <f t="shared" si="141"/>
        <v>-20</v>
      </c>
      <c r="J602" s="123">
        <f t="shared" si="141"/>
        <v>-49</v>
      </c>
      <c r="K602" s="59"/>
      <c r="L602" s="5"/>
      <c r="N602" s="59"/>
    </row>
    <row r="603" ht="13.5" customHeight="1">
      <c r="A603" s="38"/>
      <c r="B603" s="59"/>
      <c r="C603" s="110" t="s">
        <v>137</v>
      </c>
      <c r="D603" s="111"/>
      <c r="E603" s="112">
        <f t="shared" ref="E603:J603" si="142">E18+E36+E54+E72+E90+E108+E126+E144+E162+E180+E198+E216+E234+E252+E270+E288+E306+E324+E342+E360+E378+E396+E414+E432+E450+E465+E478+E491+E504+E517+E530+E543+E556+E569+E582</f>
        <v>0</v>
      </c>
      <c r="F603" s="112">
        <f t="shared" si="142"/>
        <v>2</v>
      </c>
      <c r="G603" s="112">
        <f t="shared" si="142"/>
        <v>5</v>
      </c>
      <c r="H603" s="112">
        <f t="shared" si="142"/>
        <v>1</v>
      </c>
      <c r="I603" s="112">
        <f t="shared" si="142"/>
        <v>1</v>
      </c>
      <c r="J603" s="112">
        <f t="shared" si="142"/>
        <v>1</v>
      </c>
      <c r="K603" s="54"/>
      <c r="L603" s="111"/>
      <c r="N603" s="59"/>
    </row>
    <row r="604" ht="13.5" customHeight="1">
      <c r="A604" s="38"/>
      <c r="B604" s="59"/>
      <c r="C604" s="118" t="s">
        <v>135</v>
      </c>
      <c r="D604" s="111"/>
      <c r="E604" s="119"/>
      <c r="F604" s="169">
        <v>1.0</v>
      </c>
      <c r="G604" s="119"/>
      <c r="H604" s="119"/>
      <c r="I604" s="119"/>
      <c r="J604" s="120"/>
      <c r="K604" s="124" t="s">
        <v>135</v>
      </c>
      <c r="L604" s="125"/>
      <c r="N604" s="59"/>
    </row>
    <row r="605" ht="13.5" customHeight="1">
      <c r="A605" s="126"/>
      <c r="B605" s="33"/>
      <c r="C605" s="121" t="s">
        <v>136</v>
      </c>
      <c r="D605" s="25"/>
      <c r="E605" s="122">
        <f t="shared" ref="E605:J605" si="143">E603-E604</f>
        <v>0</v>
      </c>
      <c r="F605" s="122">
        <f t="shared" si="143"/>
        <v>1</v>
      </c>
      <c r="G605" s="122">
        <f t="shared" si="143"/>
        <v>5</v>
      </c>
      <c r="H605" s="122">
        <f t="shared" si="143"/>
        <v>1</v>
      </c>
      <c r="I605" s="122">
        <f t="shared" si="143"/>
        <v>1</v>
      </c>
      <c r="J605" s="123">
        <f t="shared" si="143"/>
        <v>1</v>
      </c>
      <c r="K605" s="127" t="s">
        <v>136</v>
      </c>
      <c r="L605" s="128">
        <f>L600-L604</f>
        <v>3298</v>
      </c>
      <c r="M605" s="129"/>
      <c r="N605" s="54"/>
    </row>
    <row r="606" ht="13.5" customHeight="1">
      <c r="A606" s="105"/>
      <c r="B606" s="10"/>
      <c r="C606" s="130" t="s">
        <v>140</v>
      </c>
      <c r="D606" s="24"/>
      <c r="E606" s="24"/>
      <c r="F606" s="24"/>
      <c r="G606" s="24"/>
      <c r="H606" s="24"/>
      <c r="I606" s="24"/>
      <c r="J606" s="24"/>
      <c r="K606" s="24"/>
      <c r="L606" s="25"/>
      <c r="M606" s="131"/>
      <c r="N606" s="108"/>
    </row>
    <row r="607" ht="13.5" customHeight="1">
      <c r="A607" s="109" t="s">
        <v>140</v>
      </c>
      <c r="B607" s="59"/>
      <c r="C607" s="110" t="s">
        <v>15</v>
      </c>
      <c r="D607" s="111"/>
      <c r="E607" s="112">
        <f t="shared" ref="E607:J607" si="144">E9-(E23+E41+E59+E77+E95+E113+E131+E149+E167+E185+E203+E221+E239+E257+E275+E293+E311+E329+E347+E365+E383+E401+E419+E437+E455+E469+E482+E495+E508+E521+E534+E547+E560+E573+E586)</f>
        <v>0</v>
      </c>
      <c r="F607" s="112">
        <f t="shared" si="144"/>
        <v>42</v>
      </c>
      <c r="G607" s="112">
        <f t="shared" si="144"/>
        <v>45</v>
      </c>
      <c r="H607" s="112">
        <f t="shared" si="144"/>
        <v>25</v>
      </c>
      <c r="I607" s="112">
        <f t="shared" si="144"/>
        <v>41</v>
      </c>
      <c r="J607" s="113">
        <f t="shared" si="144"/>
        <v>43</v>
      </c>
      <c r="K607" s="114" t="s">
        <v>141</v>
      </c>
      <c r="L607" s="115">
        <f>L24+L42+L60+L78+L96+L114+L132+L150+L168+L186+L204+L222+L240+L258+L276+L294+L312+L330+L348+L366+L384+L402+L420+L438+L456+L470+L483+L496+L509+L522+L535+L548+L561+L574+L587</f>
        <v>0</v>
      </c>
      <c r="M607" s="116"/>
      <c r="N607" s="117"/>
    </row>
    <row r="608" ht="13.5" customHeight="1">
      <c r="A608" s="38"/>
      <c r="B608" s="59"/>
      <c r="C608" s="118" t="s">
        <v>135</v>
      </c>
      <c r="D608" s="111"/>
      <c r="E608" s="119"/>
      <c r="F608" s="119"/>
      <c r="G608" s="119"/>
      <c r="H608" s="119"/>
      <c r="I608" s="119"/>
      <c r="J608" s="120"/>
      <c r="K608" s="59"/>
      <c r="L608" s="5"/>
      <c r="N608" s="59"/>
    </row>
    <row r="609" ht="13.5" customHeight="1">
      <c r="A609" s="38"/>
      <c r="B609" s="59"/>
      <c r="C609" s="121" t="s">
        <v>136</v>
      </c>
      <c r="D609" s="25"/>
      <c r="E609" s="122">
        <f t="shared" ref="E609:J609" si="145">E607-E608</f>
        <v>0</v>
      </c>
      <c r="F609" s="122">
        <f t="shared" si="145"/>
        <v>42</v>
      </c>
      <c r="G609" s="122">
        <f t="shared" si="145"/>
        <v>45</v>
      </c>
      <c r="H609" s="122">
        <f t="shared" si="145"/>
        <v>25</v>
      </c>
      <c r="I609" s="122">
        <f t="shared" si="145"/>
        <v>41</v>
      </c>
      <c r="J609" s="123">
        <f t="shared" si="145"/>
        <v>43</v>
      </c>
      <c r="K609" s="59"/>
      <c r="L609" s="5"/>
      <c r="N609" s="59"/>
    </row>
    <row r="610" ht="13.5" customHeight="1">
      <c r="A610" s="38"/>
      <c r="B610" s="59"/>
      <c r="C610" s="110" t="s">
        <v>137</v>
      </c>
      <c r="D610" s="111"/>
      <c r="E610" s="112">
        <f t="shared" ref="E610:J610" si="146">E22+E40+E58+E76+E94+E112+E130+E148+E166+E184+E202+E220+E238+E256+E274+E292+E310+E328+E346+E364+E382+E400+E418+E436+E454+E468+E481+E494+E507+E520+E533+E546+E559+E572+E585</f>
        <v>0</v>
      </c>
      <c r="F610" s="112">
        <f t="shared" si="146"/>
        <v>0</v>
      </c>
      <c r="G610" s="112">
        <f t="shared" si="146"/>
        <v>0</v>
      </c>
      <c r="H610" s="112">
        <f t="shared" si="146"/>
        <v>0</v>
      </c>
      <c r="I610" s="112">
        <f t="shared" si="146"/>
        <v>0</v>
      </c>
      <c r="J610" s="113">
        <f t="shared" si="146"/>
        <v>0</v>
      </c>
      <c r="K610" s="54"/>
      <c r="L610" s="111"/>
      <c r="N610" s="59"/>
    </row>
    <row r="611" ht="13.5" customHeight="1">
      <c r="A611" s="38"/>
      <c r="B611" s="59"/>
      <c r="C611" s="118" t="s">
        <v>135</v>
      </c>
      <c r="D611" s="111"/>
      <c r="E611" s="119"/>
      <c r="F611" s="119"/>
      <c r="G611" s="119"/>
      <c r="H611" s="119"/>
      <c r="I611" s="119"/>
      <c r="J611" s="120"/>
      <c r="K611" s="124" t="s">
        <v>135</v>
      </c>
      <c r="L611" s="125"/>
      <c r="N611" s="59"/>
    </row>
    <row r="612" ht="13.5" customHeight="1">
      <c r="A612" s="126"/>
      <c r="B612" s="33"/>
      <c r="C612" s="121" t="s">
        <v>136</v>
      </c>
      <c r="D612" s="25"/>
      <c r="E612" s="122">
        <f t="shared" ref="E612:J612" si="147">E610-E611</f>
        <v>0</v>
      </c>
      <c r="F612" s="122">
        <f t="shared" si="147"/>
        <v>0</v>
      </c>
      <c r="G612" s="122">
        <f t="shared" si="147"/>
        <v>0</v>
      </c>
      <c r="H612" s="122">
        <f t="shared" si="147"/>
        <v>0</v>
      </c>
      <c r="I612" s="122">
        <f t="shared" si="147"/>
        <v>0</v>
      </c>
      <c r="J612" s="123">
        <f t="shared" si="147"/>
        <v>0</v>
      </c>
      <c r="K612" s="127" t="s">
        <v>136</v>
      </c>
      <c r="L612" s="128">
        <f>L607-L611</f>
        <v>0</v>
      </c>
      <c r="M612" s="129"/>
      <c r="N612" s="54"/>
    </row>
    <row r="613" ht="13.5" customHeight="1">
      <c r="A613" s="105"/>
      <c r="B613" s="10"/>
      <c r="C613" s="106" t="s">
        <v>142</v>
      </c>
      <c r="D613" s="24"/>
      <c r="E613" s="24"/>
      <c r="F613" s="24"/>
      <c r="G613" s="24"/>
      <c r="H613" s="24"/>
      <c r="I613" s="24"/>
      <c r="J613" s="24"/>
      <c r="K613" s="24"/>
      <c r="L613" s="25"/>
      <c r="M613" s="131"/>
      <c r="N613" s="108"/>
    </row>
    <row r="614" ht="13.5" customHeight="1">
      <c r="A614" s="109" t="s">
        <v>142</v>
      </c>
      <c r="B614" s="59"/>
      <c r="C614" s="110" t="s">
        <v>15</v>
      </c>
      <c r="D614" s="111"/>
      <c r="E614" s="112">
        <f t="shared" ref="E614:J614" si="148">E10-(E27+E45+E63+E81+E99+E117+E135+E153+E171+E189+E207+E225+E243+E261+E279+E297+E315+E333+E351+E369+E387+E405+E423+E441+E459+E472+E485+E498+E511+E524+E537+E550+E563+E576+E589)</f>
        <v>0</v>
      </c>
      <c r="F614" s="112">
        <f t="shared" si="148"/>
        <v>0</v>
      </c>
      <c r="G614" s="112">
        <f t="shared" si="148"/>
        <v>0</v>
      </c>
      <c r="H614" s="112">
        <f t="shared" si="148"/>
        <v>0</v>
      </c>
      <c r="I614" s="112">
        <f t="shared" si="148"/>
        <v>0</v>
      </c>
      <c r="J614" s="113">
        <f t="shared" si="148"/>
        <v>0</v>
      </c>
      <c r="K614" s="132" t="s">
        <v>143</v>
      </c>
      <c r="L614" s="133">
        <f>L28+L46+L64+L82+L100+L118+L136+L154+L172+L190+L208+L226+L244+L262+L280+L298+L316+L334+L352+L370+L388+L406+L424+L442+L460+L473+L486+L499+L512+L525+L538+L551+L564+L577+L590</f>
        <v>0</v>
      </c>
      <c r="M614" s="116"/>
      <c r="N614" s="117"/>
    </row>
    <row r="615" ht="13.5" customHeight="1">
      <c r="A615" s="38"/>
      <c r="B615" s="59"/>
      <c r="C615" s="118" t="s">
        <v>135</v>
      </c>
      <c r="D615" s="111"/>
      <c r="E615" s="119"/>
      <c r="F615" s="119"/>
      <c r="G615" s="119"/>
      <c r="H615" s="119"/>
      <c r="I615" s="119"/>
      <c r="J615" s="120"/>
      <c r="K615" s="59"/>
      <c r="L615" s="5"/>
      <c r="N615" s="59"/>
    </row>
    <row r="616" ht="13.5" customHeight="1">
      <c r="A616" s="38"/>
      <c r="B616" s="59"/>
      <c r="C616" s="121" t="s">
        <v>136</v>
      </c>
      <c r="D616" s="25"/>
      <c r="E616" s="122">
        <f t="shared" ref="E616:J616" si="149">E614-E615</f>
        <v>0</v>
      </c>
      <c r="F616" s="122">
        <f t="shared" si="149"/>
        <v>0</v>
      </c>
      <c r="G616" s="122">
        <f t="shared" si="149"/>
        <v>0</v>
      </c>
      <c r="H616" s="122">
        <f t="shared" si="149"/>
        <v>0</v>
      </c>
      <c r="I616" s="122">
        <f t="shared" si="149"/>
        <v>0</v>
      </c>
      <c r="J616" s="123">
        <f t="shared" si="149"/>
        <v>0</v>
      </c>
      <c r="K616" s="59"/>
      <c r="L616" s="5"/>
      <c r="N616" s="59"/>
    </row>
    <row r="617" ht="13.5" customHeight="1">
      <c r="A617" s="38"/>
      <c r="B617" s="59"/>
      <c r="C617" s="110" t="s">
        <v>137</v>
      </c>
      <c r="D617" s="111"/>
      <c r="E617" s="112">
        <f t="shared" ref="E617:J617" si="150">E26+E44+E62+E80+E98+E116+E134+E152+E170+E188+E206+E224+E242+E260+E278+E296+E314+E332+E350+E368+E386+E404+E422+E440+E458+E471+E484+E497+E510+E523+E536+E549+E562+E575+E588</f>
        <v>0</v>
      </c>
      <c r="F617" s="112">
        <f t="shared" si="150"/>
        <v>0</v>
      </c>
      <c r="G617" s="112">
        <f t="shared" si="150"/>
        <v>0</v>
      </c>
      <c r="H617" s="112">
        <f t="shared" si="150"/>
        <v>0</v>
      </c>
      <c r="I617" s="112">
        <f t="shared" si="150"/>
        <v>0</v>
      </c>
      <c r="J617" s="113">
        <f t="shared" si="150"/>
        <v>0</v>
      </c>
      <c r="K617" s="54"/>
      <c r="L617" s="111"/>
      <c r="N617" s="59"/>
    </row>
    <row r="618" ht="13.5" customHeight="1">
      <c r="A618" s="38"/>
      <c r="B618" s="59"/>
      <c r="C618" s="118" t="s">
        <v>135</v>
      </c>
      <c r="D618" s="111"/>
      <c r="E618" s="119"/>
      <c r="F618" s="119"/>
      <c r="G618" s="119"/>
      <c r="H618" s="119"/>
      <c r="I618" s="119"/>
      <c r="J618" s="120"/>
      <c r="K618" s="134" t="s">
        <v>135</v>
      </c>
      <c r="L618" s="135"/>
      <c r="N618" s="59"/>
    </row>
    <row r="619" ht="13.5" customHeight="1">
      <c r="A619" s="126"/>
      <c r="B619" s="33"/>
      <c r="C619" s="121" t="s">
        <v>136</v>
      </c>
      <c r="D619" s="25"/>
      <c r="E619" s="122">
        <f t="shared" ref="E619:J619" si="151">E617-E618</f>
        <v>0</v>
      </c>
      <c r="F619" s="122">
        <f t="shared" si="151"/>
        <v>0</v>
      </c>
      <c r="G619" s="122">
        <f t="shared" si="151"/>
        <v>0</v>
      </c>
      <c r="H619" s="122">
        <f t="shared" si="151"/>
        <v>0</v>
      </c>
      <c r="I619" s="122">
        <f t="shared" si="151"/>
        <v>0</v>
      </c>
      <c r="J619" s="123">
        <f t="shared" si="151"/>
        <v>0</v>
      </c>
      <c r="K619" s="136" t="s">
        <v>136</v>
      </c>
      <c r="L619" s="137">
        <f>L614-L618</f>
        <v>0</v>
      </c>
      <c r="M619" s="129"/>
      <c r="N619" s="54"/>
    </row>
    <row r="620" ht="13.5" customHeight="1">
      <c r="A620" s="138" t="s">
        <v>144</v>
      </c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5"/>
    </row>
    <row r="621" ht="13.5" customHeight="1">
      <c r="A621" s="139"/>
      <c r="B621" s="140"/>
      <c r="C621" s="140"/>
      <c r="D621" s="140"/>
      <c r="E621" s="141" t="s">
        <v>7</v>
      </c>
      <c r="F621" s="141" t="s">
        <v>145</v>
      </c>
      <c r="G621" s="141" t="s">
        <v>9</v>
      </c>
      <c r="H621" s="141" t="s">
        <v>10</v>
      </c>
      <c r="I621" s="141" t="s">
        <v>11</v>
      </c>
      <c r="J621" s="142" t="s">
        <v>146</v>
      </c>
      <c r="K621" s="140"/>
      <c r="L621" s="140"/>
      <c r="M621" s="140"/>
      <c r="N621" s="140"/>
    </row>
    <row r="622" ht="13.5" customHeight="1">
      <c r="A622" s="143">
        <v>1.0</v>
      </c>
      <c r="B622" s="144" t="s">
        <v>147</v>
      </c>
      <c r="C622" s="129"/>
      <c r="D622" s="111"/>
      <c r="E622" s="145">
        <f t="shared" ref="E622:J622" si="152">E13+E31+E49+E67+E85+E103+E121+E139+E157+E175+E193+E211+E229+E247+E265+E283+E301+E319+E337+E355+E373+E391+E409+E427+E445</f>
        <v>0</v>
      </c>
      <c r="F622" s="145">
        <f t="shared" si="152"/>
        <v>-9</v>
      </c>
      <c r="G622" s="145">
        <f t="shared" si="152"/>
        <v>-5</v>
      </c>
      <c r="H622" s="145">
        <f t="shared" si="152"/>
        <v>-4</v>
      </c>
      <c r="I622" s="145">
        <f t="shared" si="152"/>
        <v>-5</v>
      </c>
      <c r="J622" s="146">
        <f t="shared" si="152"/>
        <v>-10</v>
      </c>
      <c r="K622" s="147"/>
      <c r="L622" s="2"/>
      <c r="M622" s="2"/>
      <c r="N622" s="3"/>
    </row>
    <row r="623" ht="13.5" customHeight="1">
      <c r="A623" s="68"/>
      <c r="B623" s="148" t="s">
        <v>148</v>
      </c>
      <c r="C623" s="129"/>
      <c r="D623" s="54"/>
      <c r="E623" s="149">
        <f t="shared" ref="E623:J623" si="153">E15+E33+E51+E69+E87+E105+E123+E141+E159+E177+E195+E213+E231+E249+E267+E285+E303+E321+E339+E357+E375+E393+E411+E429+E447+E463+E476+E489+E502+E515+E528+E541+E554+E567+E580</f>
        <v>0</v>
      </c>
      <c r="F623" s="149">
        <f t="shared" si="153"/>
        <v>29</v>
      </c>
      <c r="G623" s="149">
        <f t="shared" si="153"/>
        <v>27</v>
      </c>
      <c r="H623" s="149">
        <f t="shared" si="153"/>
        <v>11</v>
      </c>
      <c r="I623" s="149">
        <f t="shared" si="153"/>
        <v>17</v>
      </c>
      <c r="J623" s="150">
        <f t="shared" si="153"/>
        <v>31</v>
      </c>
      <c r="K623" s="38"/>
      <c r="N623" s="5"/>
    </row>
    <row r="624" ht="13.5" customHeight="1">
      <c r="A624" s="68"/>
      <c r="B624" s="148" t="s">
        <v>149</v>
      </c>
      <c r="C624" s="129"/>
      <c r="D624" s="54"/>
      <c r="E624" s="151">
        <f t="shared" ref="E624:J624" si="154">E16+E34+E52+E70+E88+E106+E124+E142+E160+E178+E196+E214+E232+E250+E268+E286+E304+E322+E340+E358+E376+E394+E412+E430+E448+E464+E477+E490+E503+E516+E529+E542+E555+E568+E581</f>
        <v>0</v>
      </c>
      <c r="F624" s="151">
        <f t="shared" si="154"/>
        <v>0</v>
      </c>
      <c r="G624" s="151">
        <f t="shared" si="154"/>
        <v>0</v>
      </c>
      <c r="H624" s="151">
        <f t="shared" si="154"/>
        <v>0</v>
      </c>
      <c r="I624" s="151">
        <f t="shared" si="154"/>
        <v>0</v>
      </c>
      <c r="J624" s="152">
        <f t="shared" si="154"/>
        <v>0</v>
      </c>
      <c r="K624" s="38"/>
      <c r="N624" s="5"/>
    </row>
    <row r="625" ht="13.5" customHeight="1">
      <c r="A625" s="68"/>
      <c r="B625" s="148" t="s">
        <v>150</v>
      </c>
      <c r="C625" s="129"/>
      <c r="D625" s="54"/>
      <c r="E625" s="153">
        <f t="shared" ref="E625:J625" si="155">E14+E32+E50+E68+E86+E104+E122+E140+E158+E176+E194+E212+E230+E248+E266+E284+E302+E320+E338+E356+E374+E392+E410+E428+E446+E462+E475+E488+E501+E514+E527+E540+E553+E566+E579</f>
        <v>0</v>
      </c>
      <c r="F625" s="153">
        <f t="shared" si="155"/>
        <v>9</v>
      </c>
      <c r="G625" s="153">
        <f t="shared" si="155"/>
        <v>5</v>
      </c>
      <c r="H625" s="153">
        <f t="shared" si="155"/>
        <v>4</v>
      </c>
      <c r="I625" s="153">
        <f t="shared" si="155"/>
        <v>5</v>
      </c>
      <c r="J625" s="154">
        <f t="shared" si="155"/>
        <v>10</v>
      </c>
      <c r="K625" s="38"/>
      <c r="N625" s="5"/>
    </row>
    <row r="626" ht="13.5" customHeight="1">
      <c r="A626" s="80"/>
      <c r="B626" s="155" t="s">
        <v>151</v>
      </c>
      <c r="C626" s="24"/>
      <c r="D626" s="33"/>
      <c r="E626" s="156">
        <f t="shared" ref="E626:J626" si="156">(E623+E624)</f>
        <v>0</v>
      </c>
      <c r="F626" s="156">
        <f t="shared" si="156"/>
        <v>29</v>
      </c>
      <c r="G626" s="156">
        <f t="shared" si="156"/>
        <v>27</v>
      </c>
      <c r="H626" s="156">
        <f t="shared" si="156"/>
        <v>11</v>
      </c>
      <c r="I626" s="156">
        <f t="shared" si="156"/>
        <v>17</v>
      </c>
      <c r="J626" s="157">
        <f t="shared" si="156"/>
        <v>31</v>
      </c>
      <c r="K626" s="126"/>
      <c r="L626" s="24"/>
      <c r="M626" s="24"/>
      <c r="N626" s="25"/>
    </row>
    <row r="627" ht="13.5" customHeight="1">
      <c r="A627" s="139"/>
      <c r="B627" s="140"/>
      <c r="C627" s="140"/>
      <c r="D627" s="140"/>
      <c r="E627" s="141" t="s">
        <v>7</v>
      </c>
      <c r="F627" s="141" t="s">
        <v>145</v>
      </c>
      <c r="G627" s="141" t="s">
        <v>9</v>
      </c>
      <c r="H627" s="141" t="s">
        <v>10</v>
      </c>
      <c r="I627" s="141" t="s">
        <v>11</v>
      </c>
      <c r="J627" s="142" t="s">
        <v>146</v>
      </c>
      <c r="K627" s="140"/>
      <c r="L627" s="140"/>
      <c r="M627" s="140"/>
      <c r="N627" s="140"/>
    </row>
    <row r="628" ht="13.5" customHeight="1">
      <c r="A628" s="143">
        <v>2.0</v>
      </c>
      <c r="B628" s="144" t="s">
        <v>147</v>
      </c>
      <c r="C628" s="129"/>
      <c r="D628" s="111"/>
      <c r="E628" s="145">
        <f t="shared" ref="E628:J628" si="157">E17+E35+E53+E71+E89+E107+E125+E143+E161+E179+E197+E215+E233+E251+E269+E287+E305+E323+E341+E359+E377+E395+E413+E431+E449</f>
        <v>0</v>
      </c>
      <c r="F628" s="145">
        <f t="shared" si="157"/>
        <v>27</v>
      </c>
      <c r="G628" s="145">
        <f t="shared" si="157"/>
        <v>22</v>
      </c>
      <c r="H628" s="145">
        <f t="shared" si="157"/>
        <v>10</v>
      </c>
      <c r="I628" s="145">
        <f t="shared" si="157"/>
        <v>16</v>
      </c>
      <c r="J628" s="146">
        <f t="shared" si="157"/>
        <v>30</v>
      </c>
      <c r="K628" s="147"/>
      <c r="L628" s="2"/>
      <c r="M628" s="2"/>
      <c r="N628" s="3"/>
    </row>
    <row r="629" ht="13.5" customHeight="1">
      <c r="A629" s="68"/>
      <c r="B629" s="148" t="s">
        <v>148</v>
      </c>
      <c r="C629" s="129"/>
      <c r="D629" s="54"/>
      <c r="E629" s="149">
        <f t="shared" ref="E629:J629" si="158">E19+E37+E55+E73+E91+E109+E127+E145+E163+E181+E199+E217+E235+E253+E271+E289+E307+E325+E343+E361+E379+E397+E415+E433+E451+E466+E479+E492+E505+E518+E531+E544+E557+E570+E583</f>
        <v>0</v>
      </c>
      <c r="F629" s="149">
        <f t="shared" si="158"/>
        <v>32</v>
      </c>
      <c r="G629" s="149">
        <f t="shared" si="158"/>
        <v>27</v>
      </c>
      <c r="H629" s="149">
        <f t="shared" si="158"/>
        <v>13</v>
      </c>
      <c r="I629" s="149">
        <f t="shared" si="158"/>
        <v>20</v>
      </c>
      <c r="J629" s="150">
        <f t="shared" si="158"/>
        <v>27</v>
      </c>
      <c r="K629" s="38"/>
      <c r="N629" s="5"/>
    </row>
    <row r="630" ht="13.5" customHeight="1">
      <c r="A630" s="68"/>
      <c r="B630" s="148" t="s">
        <v>149</v>
      </c>
      <c r="C630" s="129"/>
      <c r="D630" s="54"/>
      <c r="E630" s="151">
        <f t="shared" ref="E630:J630" si="159">E20+E38+E56+E74+E92+E110+E128+E146+E164+E182+E200+E218+E236+E254+E272+E290+E308+E326+E344+E362+E380+E398+E416+E434+E452+E467+E480+E493+E506+E519+E532+E545+E558+E571+E584</f>
        <v>0</v>
      </c>
      <c r="F630" s="151">
        <f t="shared" si="159"/>
        <v>0</v>
      </c>
      <c r="G630" s="151">
        <f t="shared" si="159"/>
        <v>0</v>
      </c>
      <c r="H630" s="151">
        <f t="shared" si="159"/>
        <v>0</v>
      </c>
      <c r="I630" s="151">
        <f t="shared" si="159"/>
        <v>0</v>
      </c>
      <c r="J630" s="152">
        <f t="shared" si="159"/>
        <v>0</v>
      </c>
      <c r="K630" s="38"/>
      <c r="N630" s="5"/>
    </row>
    <row r="631" ht="13.5" customHeight="1">
      <c r="A631" s="68"/>
      <c r="B631" s="148" t="s">
        <v>150</v>
      </c>
      <c r="C631" s="129"/>
      <c r="D631" s="54"/>
      <c r="E631" s="153">
        <f t="shared" ref="E631:J631" si="160">E18+E36+E54+E72+E90+E108+E126+E144+E162+E180+E198+E216+E234+E252+E270+E288+E306+E324+E342+E360+E378+E396+E414+E432+E450+E465+E478+E491+E504+E517+E530+E543+E556+E569+E582</f>
        <v>0</v>
      </c>
      <c r="F631" s="153">
        <f t="shared" si="160"/>
        <v>2</v>
      </c>
      <c r="G631" s="153">
        <f t="shared" si="160"/>
        <v>5</v>
      </c>
      <c r="H631" s="153">
        <f t="shared" si="160"/>
        <v>1</v>
      </c>
      <c r="I631" s="153">
        <f t="shared" si="160"/>
        <v>1</v>
      </c>
      <c r="J631" s="154">
        <f t="shared" si="160"/>
        <v>1</v>
      </c>
      <c r="K631" s="38"/>
      <c r="N631" s="5"/>
    </row>
    <row r="632" ht="13.5" customHeight="1">
      <c r="A632" s="80"/>
      <c r="B632" s="155" t="s">
        <v>151</v>
      </c>
      <c r="C632" s="24"/>
      <c r="D632" s="33"/>
      <c r="E632" s="156">
        <f t="shared" ref="E632:J632" si="161">(E629+E630)</f>
        <v>0</v>
      </c>
      <c r="F632" s="156">
        <f t="shared" si="161"/>
        <v>32</v>
      </c>
      <c r="G632" s="156">
        <f t="shared" si="161"/>
        <v>27</v>
      </c>
      <c r="H632" s="156">
        <f t="shared" si="161"/>
        <v>13</v>
      </c>
      <c r="I632" s="156">
        <f t="shared" si="161"/>
        <v>20</v>
      </c>
      <c r="J632" s="157">
        <f t="shared" si="161"/>
        <v>27</v>
      </c>
      <c r="K632" s="126"/>
      <c r="L632" s="24"/>
      <c r="M632" s="24"/>
      <c r="N632" s="25"/>
    </row>
    <row r="633" ht="13.5" customHeight="1">
      <c r="A633" s="139"/>
      <c r="B633" s="140"/>
      <c r="C633" s="140"/>
      <c r="D633" s="140"/>
      <c r="E633" s="141" t="s">
        <v>7</v>
      </c>
      <c r="F633" s="141" t="s">
        <v>145</v>
      </c>
      <c r="G633" s="141" t="s">
        <v>9</v>
      </c>
      <c r="H633" s="141" t="s">
        <v>10</v>
      </c>
      <c r="I633" s="141" t="s">
        <v>11</v>
      </c>
      <c r="J633" s="142" t="s">
        <v>146</v>
      </c>
      <c r="K633" s="140"/>
      <c r="L633" s="140"/>
      <c r="M633" s="140"/>
      <c r="N633" s="140"/>
    </row>
    <row r="634" ht="13.5" customHeight="1">
      <c r="A634" s="143">
        <v>3.0</v>
      </c>
      <c r="B634" s="144" t="s">
        <v>147</v>
      </c>
      <c r="C634" s="129"/>
      <c r="D634" s="111"/>
      <c r="E634" s="145">
        <f t="shared" ref="E634:J634" si="162">E21+E39+E57+E75+E93+E111+E129+E147+E165+E183+E201+E219+E237+E255+E273+E291+E309+E327+E345+E363+E381+E399+E417+E435+E453</f>
        <v>0</v>
      </c>
      <c r="F634" s="145">
        <f t="shared" si="162"/>
        <v>32</v>
      </c>
      <c r="G634" s="145">
        <f t="shared" si="162"/>
        <v>27</v>
      </c>
      <c r="H634" s="145">
        <f t="shared" si="162"/>
        <v>13</v>
      </c>
      <c r="I634" s="145">
        <f t="shared" si="162"/>
        <v>20</v>
      </c>
      <c r="J634" s="146">
        <f t="shared" si="162"/>
        <v>27</v>
      </c>
      <c r="K634" s="147"/>
      <c r="L634" s="2"/>
      <c r="M634" s="2"/>
      <c r="N634" s="3"/>
    </row>
    <row r="635" ht="13.5" customHeight="1">
      <c r="A635" s="68"/>
      <c r="B635" s="148" t="s">
        <v>148</v>
      </c>
      <c r="C635" s="129"/>
      <c r="D635" s="54"/>
      <c r="E635" s="158">
        <f t="shared" ref="E635:J635" si="163">E23+E41+E59+E77+E95+E113+E131+E149+E167+E185+E203+E221+E239+E257+E275+E293+E311+E329+E347+E365+E383+E401+E419+E437+E455+E469+E482+E495+E508+E521+E534+E547+E573+E586</f>
        <v>0</v>
      </c>
      <c r="F635" s="158">
        <f t="shared" si="163"/>
        <v>0</v>
      </c>
      <c r="G635" s="158">
        <f t="shared" si="163"/>
        <v>0</v>
      </c>
      <c r="H635" s="158">
        <f t="shared" si="163"/>
        <v>0</v>
      </c>
      <c r="I635" s="158">
        <f t="shared" si="163"/>
        <v>0</v>
      </c>
      <c r="J635" s="159">
        <f t="shared" si="163"/>
        <v>0</v>
      </c>
      <c r="K635" s="38"/>
      <c r="N635" s="5"/>
    </row>
    <row r="636" ht="13.5" customHeight="1">
      <c r="A636" s="68"/>
      <c r="B636" s="148" t="s">
        <v>149</v>
      </c>
      <c r="C636" s="129"/>
      <c r="D636" s="54"/>
      <c r="E636" s="160">
        <f t="shared" ref="E636:J636" si="164">E24+E42+E60+E78+E96+E114+E132+E150+E168+E186+E204+E222+E240+E258+E276+E294+E312+E330+E348+E366+E384+E402+E420+E438+E456+E470+E483+E496+E509+E522+E535+E548+E561+E574+E587</f>
        <v>0</v>
      </c>
      <c r="F636" s="160">
        <f t="shared" si="164"/>
        <v>0</v>
      </c>
      <c r="G636" s="160">
        <f t="shared" si="164"/>
        <v>0</v>
      </c>
      <c r="H636" s="160">
        <f t="shared" si="164"/>
        <v>0</v>
      </c>
      <c r="I636" s="160">
        <f t="shared" si="164"/>
        <v>0</v>
      </c>
      <c r="J636" s="161">
        <f t="shared" si="164"/>
        <v>0</v>
      </c>
      <c r="K636" s="38"/>
      <c r="N636" s="5"/>
    </row>
    <row r="637" ht="13.5" customHeight="1">
      <c r="A637" s="68"/>
      <c r="B637" s="148" t="s">
        <v>150</v>
      </c>
      <c r="C637" s="129"/>
      <c r="D637" s="54"/>
      <c r="E637" s="162">
        <f t="shared" ref="E637:J637" si="165">E22+E40+E58+E76+E94+E112+E130+E148+E166+E184+E202+E220+E238+E256+E274+E292+E310+E328+E346+E364+E382+E400+E418+E436+E454+E468+E481+E494+E507+E520+E533+E546+E559+E572+E585</f>
        <v>0</v>
      </c>
      <c r="F637" s="162">
        <f t="shared" si="165"/>
        <v>0</v>
      </c>
      <c r="G637" s="162">
        <f t="shared" si="165"/>
        <v>0</v>
      </c>
      <c r="H637" s="162">
        <f t="shared" si="165"/>
        <v>0</v>
      </c>
      <c r="I637" s="162">
        <f t="shared" si="165"/>
        <v>0</v>
      </c>
      <c r="J637" s="163">
        <f t="shared" si="165"/>
        <v>0</v>
      </c>
      <c r="K637" s="38"/>
      <c r="N637" s="5"/>
    </row>
    <row r="638" ht="13.5" customHeight="1">
      <c r="A638" s="80"/>
      <c r="B638" s="155" t="s">
        <v>151</v>
      </c>
      <c r="C638" s="24"/>
      <c r="D638" s="33"/>
      <c r="E638" s="164">
        <f t="shared" ref="E638:J638" si="166">(E635+E636)</f>
        <v>0</v>
      </c>
      <c r="F638" s="164">
        <f t="shared" si="166"/>
        <v>0</v>
      </c>
      <c r="G638" s="164">
        <f t="shared" si="166"/>
        <v>0</v>
      </c>
      <c r="H638" s="164">
        <f t="shared" si="166"/>
        <v>0</v>
      </c>
      <c r="I638" s="164">
        <f t="shared" si="166"/>
        <v>0</v>
      </c>
      <c r="J638" s="165">
        <f t="shared" si="166"/>
        <v>0</v>
      </c>
      <c r="K638" s="126"/>
      <c r="L638" s="24"/>
      <c r="M638" s="24"/>
      <c r="N638" s="25"/>
    </row>
    <row r="639" ht="13.5" customHeight="1">
      <c r="A639" s="139"/>
      <c r="B639" s="140"/>
      <c r="C639" s="140"/>
      <c r="D639" s="140"/>
      <c r="E639" s="141" t="s">
        <v>7</v>
      </c>
      <c r="F639" s="141" t="s">
        <v>145</v>
      </c>
      <c r="G639" s="141" t="s">
        <v>9</v>
      </c>
      <c r="H639" s="141" t="s">
        <v>10</v>
      </c>
      <c r="I639" s="141" t="s">
        <v>11</v>
      </c>
      <c r="J639" s="142" t="s">
        <v>146</v>
      </c>
      <c r="K639" s="140"/>
      <c r="L639" s="140"/>
      <c r="M639" s="140"/>
      <c r="N639" s="140"/>
    </row>
    <row r="640" ht="13.5" customHeight="1">
      <c r="A640" s="143">
        <v>4.0</v>
      </c>
      <c r="B640" s="144" t="s">
        <v>147</v>
      </c>
      <c r="C640" s="129"/>
      <c r="D640" s="111"/>
      <c r="E640" s="145">
        <f t="shared" ref="E640:J640" si="167">E25+E43+E61+E79+E97+E115+E133+E151+E169+E187+E205+E223+E241+E259+E277+E295+E313+E331+E349+E367+E385+E403+E421+E439+E457</f>
        <v>0</v>
      </c>
      <c r="F640" s="145">
        <f t="shared" si="167"/>
        <v>0</v>
      </c>
      <c r="G640" s="145">
        <f t="shared" si="167"/>
        <v>0</v>
      </c>
      <c r="H640" s="145">
        <f t="shared" si="167"/>
        <v>0</v>
      </c>
      <c r="I640" s="145">
        <f t="shared" si="167"/>
        <v>0</v>
      </c>
      <c r="J640" s="146">
        <f t="shared" si="167"/>
        <v>0</v>
      </c>
      <c r="K640" s="147"/>
      <c r="L640" s="2"/>
      <c r="M640" s="2"/>
      <c r="N640" s="3"/>
    </row>
    <row r="641" ht="13.5" customHeight="1">
      <c r="A641" s="68"/>
      <c r="B641" s="148" t="s">
        <v>148</v>
      </c>
      <c r="C641" s="129"/>
      <c r="D641" s="54"/>
      <c r="E641" s="149">
        <f t="shared" ref="E641:J641" si="168">E27+E45+E63+E81+E99+E117+E135+E153+E171+E189+E207+E225+E243+E261+E279+E297+E315+E333+E351+E369+E387+E405+E423+E441+E459+E472+E485+E498+E511+E524+E537+E550+E563+E576+E589</f>
        <v>0</v>
      </c>
      <c r="F641" s="149">
        <f t="shared" si="168"/>
        <v>0</v>
      </c>
      <c r="G641" s="149">
        <f t="shared" si="168"/>
        <v>0</v>
      </c>
      <c r="H641" s="149">
        <f t="shared" si="168"/>
        <v>0</v>
      </c>
      <c r="I641" s="149">
        <f t="shared" si="168"/>
        <v>0</v>
      </c>
      <c r="J641" s="150">
        <f t="shared" si="168"/>
        <v>0</v>
      </c>
      <c r="K641" s="38"/>
      <c r="N641" s="5"/>
    </row>
    <row r="642" ht="13.5" customHeight="1">
      <c r="A642" s="68"/>
      <c r="B642" s="148" t="s">
        <v>149</v>
      </c>
      <c r="C642" s="129"/>
      <c r="D642" s="54"/>
      <c r="E642" s="151">
        <f t="shared" ref="E642:J642" si="169">E28+E46+E64+E82+E100+E118+E136+E154+E172+E190+E208+E226+E244+E262+E280+E298+E316+E334+E352+E370+E388+E406+E424+E442+E460+E473+E486+E499+E512+E525+E538+E551+E564+E577+E590</f>
        <v>0</v>
      </c>
      <c r="F642" s="151">
        <f t="shared" si="169"/>
        <v>0</v>
      </c>
      <c r="G642" s="151">
        <f t="shared" si="169"/>
        <v>0</v>
      </c>
      <c r="H642" s="151">
        <f t="shared" si="169"/>
        <v>0</v>
      </c>
      <c r="I642" s="151">
        <f t="shared" si="169"/>
        <v>0</v>
      </c>
      <c r="J642" s="152">
        <f t="shared" si="169"/>
        <v>0</v>
      </c>
      <c r="K642" s="38"/>
      <c r="N642" s="5"/>
    </row>
    <row r="643" ht="13.5" customHeight="1">
      <c r="A643" s="68"/>
      <c r="B643" s="148" t="s">
        <v>150</v>
      </c>
      <c r="C643" s="129"/>
      <c r="D643" s="54"/>
      <c r="E643" s="153">
        <f t="shared" ref="E643:J643" si="170">E26+E44+E62+E80+E98+E116+E134+E152+E170+E188+E206+E224+E242+E260+E278+E296+E314+E332+E350+E368+E386+E404+E422+E440+E458+E471+E484+E497+E510+E523+E536+E549+E562+E575+E588</f>
        <v>0</v>
      </c>
      <c r="F643" s="153">
        <f t="shared" si="170"/>
        <v>0</v>
      </c>
      <c r="G643" s="153">
        <f t="shared" si="170"/>
        <v>0</v>
      </c>
      <c r="H643" s="153">
        <f t="shared" si="170"/>
        <v>0</v>
      </c>
      <c r="I643" s="153">
        <f t="shared" si="170"/>
        <v>0</v>
      </c>
      <c r="J643" s="154">
        <f t="shared" si="170"/>
        <v>0</v>
      </c>
      <c r="K643" s="38"/>
      <c r="N643" s="5"/>
    </row>
    <row r="644" ht="13.5" customHeight="1">
      <c r="A644" s="80"/>
      <c r="B644" s="155" t="s">
        <v>151</v>
      </c>
      <c r="C644" s="24"/>
      <c r="D644" s="33"/>
      <c r="E644" s="156">
        <f t="shared" ref="E644:J644" si="171">(E641+E642)</f>
        <v>0</v>
      </c>
      <c r="F644" s="156">
        <f t="shared" si="171"/>
        <v>0</v>
      </c>
      <c r="G644" s="156">
        <f t="shared" si="171"/>
        <v>0</v>
      </c>
      <c r="H644" s="156">
        <f t="shared" si="171"/>
        <v>0</v>
      </c>
      <c r="I644" s="156">
        <f t="shared" si="171"/>
        <v>0</v>
      </c>
      <c r="J644" s="157">
        <f t="shared" si="171"/>
        <v>0</v>
      </c>
      <c r="K644" s="126"/>
      <c r="L644" s="24"/>
      <c r="M644" s="24"/>
      <c r="N644" s="25"/>
    </row>
    <row r="645" ht="13.5" customHeight="1">
      <c r="A645" s="166" t="s">
        <v>152</v>
      </c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5"/>
    </row>
    <row r="646" ht="13.5" customHeight="1">
      <c r="A646" s="139"/>
      <c r="B646" s="140"/>
      <c r="C646" s="140"/>
      <c r="D646" s="140"/>
      <c r="E646" s="141" t="s">
        <v>7</v>
      </c>
      <c r="F646" s="141" t="s">
        <v>145</v>
      </c>
      <c r="G646" s="141" t="s">
        <v>9</v>
      </c>
      <c r="H646" s="141" t="s">
        <v>10</v>
      </c>
      <c r="I646" s="141" t="s">
        <v>11</v>
      </c>
      <c r="J646" s="142" t="s">
        <v>146</v>
      </c>
      <c r="K646" s="140"/>
      <c r="L646" s="140"/>
      <c r="M646" s="140"/>
      <c r="N646" s="140"/>
    </row>
    <row r="647" ht="13.5" customHeight="1">
      <c r="A647" s="167" t="s">
        <v>2</v>
      </c>
      <c r="B647" s="144" t="s">
        <v>147</v>
      </c>
      <c r="C647" s="129"/>
      <c r="D647" s="111"/>
      <c r="E647" s="145">
        <f t="shared" ref="E647:J647" si="172">E622+E628+E634+E640</f>
        <v>0</v>
      </c>
      <c r="F647" s="145">
        <f t="shared" si="172"/>
        <v>50</v>
      </c>
      <c r="G647" s="145">
        <f t="shared" si="172"/>
        <v>44</v>
      </c>
      <c r="H647" s="145">
        <f t="shared" si="172"/>
        <v>19</v>
      </c>
      <c r="I647" s="145">
        <f t="shared" si="172"/>
        <v>31</v>
      </c>
      <c r="J647" s="146">
        <f t="shared" si="172"/>
        <v>47</v>
      </c>
      <c r="K647" s="147"/>
      <c r="L647" s="2"/>
      <c r="M647" s="2"/>
      <c r="N647" s="3"/>
    </row>
    <row r="648" ht="13.5" customHeight="1">
      <c r="A648" s="68"/>
      <c r="B648" s="148" t="s">
        <v>148</v>
      </c>
      <c r="C648" s="129"/>
      <c r="D648" s="54"/>
      <c r="E648" s="149">
        <f t="shared" ref="E648:J648" si="173">E623+E629+E635+E641</f>
        <v>0</v>
      </c>
      <c r="F648" s="149">
        <f t="shared" si="173"/>
        <v>61</v>
      </c>
      <c r="G648" s="149">
        <f t="shared" si="173"/>
        <v>54</v>
      </c>
      <c r="H648" s="149">
        <f t="shared" si="173"/>
        <v>24</v>
      </c>
      <c r="I648" s="149">
        <f t="shared" si="173"/>
        <v>37</v>
      </c>
      <c r="J648" s="150">
        <f t="shared" si="173"/>
        <v>58</v>
      </c>
      <c r="K648" s="38"/>
      <c r="N648" s="5"/>
    </row>
    <row r="649" ht="13.5" customHeight="1">
      <c r="A649" s="68"/>
      <c r="B649" s="148" t="s">
        <v>149</v>
      </c>
      <c r="C649" s="129"/>
      <c r="D649" s="54"/>
      <c r="E649" s="151">
        <f t="shared" ref="E649:J649" si="174">E624+E630+E636+E642</f>
        <v>0</v>
      </c>
      <c r="F649" s="151">
        <f t="shared" si="174"/>
        <v>0</v>
      </c>
      <c r="G649" s="151">
        <f t="shared" si="174"/>
        <v>0</v>
      </c>
      <c r="H649" s="151">
        <f t="shared" si="174"/>
        <v>0</v>
      </c>
      <c r="I649" s="151">
        <f t="shared" si="174"/>
        <v>0</v>
      </c>
      <c r="J649" s="152">
        <f t="shared" si="174"/>
        <v>0</v>
      </c>
      <c r="K649" s="38"/>
      <c r="N649" s="5"/>
    </row>
    <row r="650" ht="13.5" customHeight="1">
      <c r="A650" s="68"/>
      <c r="B650" s="148" t="s">
        <v>153</v>
      </c>
      <c r="C650" s="129"/>
      <c r="D650" s="54"/>
      <c r="E650" s="153">
        <f t="shared" ref="E650:J650" si="175">E625+E631+E637+E643</f>
        <v>0</v>
      </c>
      <c r="F650" s="153">
        <f t="shared" si="175"/>
        <v>11</v>
      </c>
      <c r="G650" s="153">
        <f t="shared" si="175"/>
        <v>10</v>
      </c>
      <c r="H650" s="153">
        <f t="shared" si="175"/>
        <v>5</v>
      </c>
      <c r="I650" s="153">
        <f t="shared" si="175"/>
        <v>6</v>
      </c>
      <c r="J650" s="154">
        <f t="shared" si="175"/>
        <v>11</v>
      </c>
      <c r="K650" s="38"/>
      <c r="N650" s="5"/>
    </row>
    <row r="651" ht="13.5" customHeight="1">
      <c r="A651" s="80"/>
      <c r="B651" s="155" t="s">
        <v>151</v>
      </c>
      <c r="C651" s="24"/>
      <c r="D651" s="25"/>
      <c r="E651" s="156">
        <f t="shared" ref="E651:J651" si="176">(E648+E649)-E650</f>
        <v>0</v>
      </c>
      <c r="F651" s="156">
        <f t="shared" si="176"/>
        <v>50</v>
      </c>
      <c r="G651" s="156">
        <f t="shared" si="176"/>
        <v>44</v>
      </c>
      <c r="H651" s="156">
        <f t="shared" si="176"/>
        <v>19</v>
      </c>
      <c r="I651" s="156">
        <f t="shared" si="176"/>
        <v>31</v>
      </c>
      <c r="J651" s="157">
        <f t="shared" si="176"/>
        <v>47</v>
      </c>
      <c r="K651" s="126"/>
      <c r="L651" s="24"/>
      <c r="M651" s="24"/>
      <c r="N651" s="25"/>
    </row>
  </sheetData>
  <mergeCells count="1188">
    <mergeCell ref="B327:B328"/>
    <mergeCell ref="B331:B332"/>
    <mergeCell ref="C331:D331"/>
    <mergeCell ref="A332:A334"/>
    <mergeCell ref="C332:D332"/>
    <mergeCell ref="C333:D333"/>
    <mergeCell ref="C334:D334"/>
    <mergeCell ref="B335:D335"/>
    <mergeCell ref="C336:D336"/>
    <mergeCell ref="C337:D337"/>
    <mergeCell ref="C338:D338"/>
    <mergeCell ref="A339:A340"/>
    <mergeCell ref="C339:D339"/>
    <mergeCell ref="C340:D340"/>
    <mergeCell ref="C398:D398"/>
    <mergeCell ref="C399:D399"/>
    <mergeCell ref="B391:B392"/>
    <mergeCell ref="B395:B396"/>
    <mergeCell ref="C395:D395"/>
    <mergeCell ref="C396:D396"/>
    <mergeCell ref="C397:D397"/>
    <mergeCell ref="B399:B400"/>
    <mergeCell ref="C400:D400"/>
    <mergeCell ref="C404:D404"/>
    <mergeCell ref="C405:D405"/>
    <mergeCell ref="A396:A397"/>
    <mergeCell ref="A401:A402"/>
    <mergeCell ref="C401:D401"/>
    <mergeCell ref="C402:D402"/>
    <mergeCell ref="B403:B404"/>
    <mergeCell ref="C403:D403"/>
    <mergeCell ref="A404:A406"/>
    <mergeCell ref="C411:D411"/>
    <mergeCell ref="C412:D412"/>
    <mergeCell ref="C406:D406"/>
    <mergeCell ref="B407:D407"/>
    <mergeCell ref="C408:D408"/>
    <mergeCell ref="B409:B410"/>
    <mergeCell ref="C409:D409"/>
    <mergeCell ref="C410:D410"/>
    <mergeCell ref="A411:A412"/>
    <mergeCell ref="C417:D417"/>
    <mergeCell ref="C418:D418"/>
    <mergeCell ref="B413:B414"/>
    <mergeCell ref="C413:D413"/>
    <mergeCell ref="A414:A415"/>
    <mergeCell ref="C414:D414"/>
    <mergeCell ref="C415:D415"/>
    <mergeCell ref="C416:D416"/>
    <mergeCell ref="B417:B418"/>
    <mergeCell ref="C423:D423"/>
    <mergeCell ref="C424:D424"/>
    <mergeCell ref="A419:A420"/>
    <mergeCell ref="C419:D419"/>
    <mergeCell ref="C420:D420"/>
    <mergeCell ref="B421:B422"/>
    <mergeCell ref="C421:D421"/>
    <mergeCell ref="A422:A424"/>
    <mergeCell ref="C422:D422"/>
    <mergeCell ref="B427:B428"/>
    <mergeCell ref="B431:B432"/>
    <mergeCell ref="B425:D425"/>
    <mergeCell ref="C426:D426"/>
    <mergeCell ref="C427:D427"/>
    <mergeCell ref="C428:D428"/>
    <mergeCell ref="C429:D429"/>
    <mergeCell ref="C430:D430"/>
    <mergeCell ref="C431:D431"/>
    <mergeCell ref="B381:B382"/>
    <mergeCell ref="B385:B386"/>
    <mergeCell ref="C385:D385"/>
    <mergeCell ref="A386:A388"/>
    <mergeCell ref="C386:D386"/>
    <mergeCell ref="C387:D387"/>
    <mergeCell ref="C388:D388"/>
    <mergeCell ref="B389:D389"/>
    <mergeCell ref="C390:D390"/>
    <mergeCell ref="C391:D391"/>
    <mergeCell ref="C392:D392"/>
    <mergeCell ref="A393:A394"/>
    <mergeCell ref="C393:D393"/>
    <mergeCell ref="C394:D394"/>
    <mergeCell ref="A432:A433"/>
    <mergeCell ref="A437:A438"/>
    <mergeCell ref="A429:A430"/>
    <mergeCell ref="C432:D432"/>
    <mergeCell ref="C433:D433"/>
    <mergeCell ref="C434:D434"/>
    <mergeCell ref="B435:B436"/>
    <mergeCell ref="C435:D435"/>
    <mergeCell ref="C436:D436"/>
    <mergeCell ref="C195:D195"/>
    <mergeCell ref="C196:D196"/>
    <mergeCell ref="C190:D190"/>
    <mergeCell ref="B191:D191"/>
    <mergeCell ref="C192:D192"/>
    <mergeCell ref="B193:B194"/>
    <mergeCell ref="C193:D193"/>
    <mergeCell ref="C194:D194"/>
    <mergeCell ref="A195:A196"/>
    <mergeCell ref="C201:D201"/>
    <mergeCell ref="C202:D202"/>
    <mergeCell ref="B197:B198"/>
    <mergeCell ref="C197:D197"/>
    <mergeCell ref="A198:A199"/>
    <mergeCell ref="C198:D198"/>
    <mergeCell ref="C199:D199"/>
    <mergeCell ref="C200:D200"/>
    <mergeCell ref="B201:B202"/>
    <mergeCell ref="C207:D207"/>
    <mergeCell ref="C208:D208"/>
    <mergeCell ref="A203:A204"/>
    <mergeCell ref="C203:D203"/>
    <mergeCell ref="C204:D204"/>
    <mergeCell ref="B205:B206"/>
    <mergeCell ref="C205:D205"/>
    <mergeCell ref="A206:A208"/>
    <mergeCell ref="C206:D206"/>
    <mergeCell ref="C437:D437"/>
    <mergeCell ref="C438:D438"/>
    <mergeCell ref="B439:B440"/>
    <mergeCell ref="C439:D439"/>
    <mergeCell ref="A440:A442"/>
    <mergeCell ref="C440:D440"/>
    <mergeCell ref="C441:D441"/>
    <mergeCell ref="C459:D459"/>
    <mergeCell ref="C460:D460"/>
    <mergeCell ref="A455:A456"/>
    <mergeCell ref="C455:D455"/>
    <mergeCell ref="C456:D456"/>
    <mergeCell ref="C457:D457"/>
    <mergeCell ref="C458:D458"/>
    <mergeCell ref="B461:D461"/>
    <mergeCell ref="C462:D462"/>
    <mergeCell ref="C477:D477"/>
    <mergeCell ref="C478:D478"/>
    <mergeCell ref="C470:D470"/>
    <mergeCell ref="C471:D471"/>
    <mergeCell ref="C472:D472"/>
    <mergeCell ref="C473:D473"/>
    <mergeCell ref="B474:D474"/>
    <mergeCell ref="C475:D475"/>
    <mergeCell ref="C476:D476"/>
    <mergeCell ref="B481:B482"/>
    <mergeCell ref="B484:B485"/>
    <mergeCell ref="B488:B489"/>
    <mergeCell ref="B491:B492"/>
    <mergeCell ref="B494:B495"/>
    <mergeCell ref="B457:B458"/>
    <mergeCell ref="B462:B463"/>
    <mergeCell ref="B465:B466"/>
    <mergeCell ref="B468:B469"/>
    <mergeCell ref="B471:B472"/>
    <mergeCell ref="B475:B476"/>
    <mergeCell ref="B478:B479"/>
    <mergeCell ref="C486:D486"/>
    <mergeCell ref="B487:D487"/>
    <mergeCell ref="C488:D488"/>
    <mergeCell ref="C479:D479"/>
    <mergeCell ref="C480:D480"/>
    <mergeCell ref="C481:D481"/>
    <mergeCell ref="C482:D482"/>
    <mergeCell ref="C483:D483"/>
    <mergeCell ref="C484:D484"/>
    <mergeCell ref="C485:D485"/>
    <mergeCell ref="C492:D492"/>
    <mergeCell ref="C493:D493"/>
    <mergeCell ref="C494:D494"/>
    <mergeCell ref="A482:A483"/>
    <mergeCell ref="A485:A486"/>
    <mergeCell ref="A489:A490"/>
    <mergeCell ref="C489:D489"/>
    <mergeCell ref="C490:D490"/>
    <mergeCell ref="C491:D491"/>
    <mergeCell ref="A492:A493"/>
    <mergeCell ref="C447:D447"/>
    <mergeCell ref="C448:D448"/>
    <mergeCell ref="C442:D442"/>
    <mergeCell ref="B443:D443"/>
    <mergeCell ref="C444:D444"/>
    <mergeCell ref="B445:B446"/>
    <mergeCell ref="C445:D445"/>
    <mergeCell ref="C446:D446"/>
    <mergeCell ref="A447:A448"/>
    <mergeCell ref="C453:D453"/>
    <mergeCell ref="C454:D454"/>
    <mergeCell ref="B449:B450"/>
    <mergeCell ref="C449:D449"/>
    <mergeCell ref="A450:A451"/>
    <mergeCell ref="C450:D450"/>
    <mergeCell ref="C451:D451"/>
    <mergeCell ref="C452:D452"/>
    <mergeCell ref="B453:B454"/>
    <mergeCell ref="C463:D463"/>
    <mergeCell ref="C464:D464"/>
    <mergeCell ref="C465:D465"/>
    <mergeCell ref="C466:D466"/>
    <mergeCell ref="C467:D467"/>
    <mergeCell ref="C468:D468"/>
    <mergeCell ref="C469:D469"/>
    <mergeCell ref="A458:A460"/>
    <mergeCell ref="A463:A464"/>
    <mergeCell ref="A466:A467"/>
    <mergeCell ref="A469:A470"/>
    <mergeCell ref="A472:A473"/>
    <mergeCell ref="A476:A477"/>
    <mergeCell ref="A479:A480"/>
    <mergeCell ref="A495:A496"/>
    <mergeCell ref="C495:D495"/>
    <mergeCell ref="C496:D496"/>
    <mergeCell ref="B497:B498"/>
    <mergeCell ref="C497:D497"/>
    <mergeCell ref="A498:A499"/>
    <mergeCell ref="C498:D498"/>
    <mergeCell ref="C522:D522"/>
    <mergeCell ref="C523:D523"/>
    <mergeCell ref="C515:D515"/>
    <mergeCell ref="C516:D516"/>
    <mergeCell ref="C517:D517"/>
    <mergeCell ref="C518:D518"/>
    <mergeCell ref="C519:D519"/>
    <mergeCell ref="C520:D520"/>
    <mergeCell ref="C521:D521"/>
    <mergeCell ref="C503:D503"/>
    <mergeCell ref="C504:D504"/>
    <mergeCell ref="B504:B505"/>
    <mergeCell ref="C505:D505"/>
    <mergeCell ref="C499:D499"/>
    <mergeCell ref="B500:D500"/>
    <mergeCell ref="B501:B502"/>
    <mergeCell ref="C501:D501"/>
    <mergeCell ref="A502:A503"/>
    <mergeCell ref="C502:D502"/>
    <mergeCell ref="C506:D506"/>
    <mergeCell ref="B513:D513"/>
    <mergeCell ref="C514:D514"/>
    <mergeCell ref="C507:D507"/>
    <mergeCell ref="C508:D508"/>
    <mergeCell ref="C509:D509"/>
    <mergeCell ref="C510:D510"/>
    <mergeCell ref="C511:D511"/>
    <mergeCell ref="C512:D512"/>
    <mergeCell ref="B514:B515"/>
    <mergeCell ref="B517:B518"/>
    <mergeCell ref="B520:B521"/>
    <mergeCell ref="B523:B524"/>
    <mergeCell ref="B527:B528"/>
    <mergeCell ref="A505:A506"/>
    <mergeCell ref="B507:B508"/>
    <mergeCell ref="A508:A509"/>
    <mergeCell ref="B510:B511"/>
    <mergeCell ref="A511:A512"/>
    <mergeCell ref="A515:A516"/>
    <mergeCell ref="A518:A519"/>
    <mergeCell ref="C549:D549"/>
    <mergeCell ref="C550:D550"/>
    <mergeCell ref="C542:D542"/>
    <mergeCell ref="C543:D543"/>
    <mergeCell ref="C544:D544"/>
    <mergeCell ref="C545:D545"/>
    <mergeCell ref="C546:D546"/>
    <mergeCell ref="C547:D547"/>
    <mergeCell ref="C548:D548"/>
    <mergeCell ref="C556:D556"/>
    <mergeCell ref="C557:D557"/>
    <mergeCell ref="B546:B547"/>
    <mergeCell ref="B549:B550"/>
    <mergeCell ref="C551:D551"/>
    <mergeCell ref="B552:D552"/>
    <mergeCell ref="C553:D553"/>
    <mergeCell ref="C554:D554"/>
    <mergeCell ref="C555:D555"/>
    <mergeCell ref="B562:B563"/>
    <mergeCell ref="B566:B567"/>
    <mergeCell ref="C560:D560"/>
    <mergeCell ref="C561:D561"/>
    <mergeCell ref="C562:D562"/>
    <mergeCell ref="C563:D563"/>
    <mergeCell ref="C564:D564"/>
    <mergeCell ref="B565:D565"/>
    <mergeCell ref="C566:D566"/>
    <mergeCell ref="A583:A584"/>
    <mergeCell ref="B585:B586"/>
    <mergeCell ref="A586:A587"/>
    <mergeCell ref="B588:B589"/>
    <mergeCell ref="A589:A590"/>
    <mergeCell ref="A592:B592"/>
    <mergeCell ref="A593:B598"/>
    <mergeCell ref="A599:B599"/>
    <mergeCell ref="A600:B605"/>
    <mergeCell ref="A606:B606"/>
    <mergeCell ref="A607:B612"/>
    <mergeCell ref="A613:B613"/>
    <mergeCell ref="A614:B619"/>
    <mergeCell ref="A622:A626"/>
    <mergeCell ref="B582:B583"/>
    <mergeCell ref="C583:D583"/>
    <mergeCell ref="C577:D577"/>
    <mergeCell ref="B578:D578"/>
    <mergeCell ref="B579:B580"/>
    <mergeCell ref="C579:D579"/>
    <mergeCell ref="A580:A581"/>
    <mergeCell ref="C580:D580"/>
    <mergeCell ref="C584:D584"/>
    <mergeCell ref="C585:D585"/>
    <mergeCell ref="C586:D586"/>
    <mergeCell ref="C587:D587"/>
    <mergeCell ref="C588:D588"/>
    <mergeCell ref="C589:D589"/>
    <mergeCell ref="C590:D590"/>
    <mergeCell ref="C593:D593"/>
    <mergeCell ref="C594:D594"/>
    <mergeCell ref="C595:D595"/>
    <mergeCell ref="C596:D596"/>
    <mergeCell ref="C597:D597"/>
    <mergeCell ref="C598:D598"/>
    <mergeCell ref="C600:D600"/>
    <mergeCell ref="C601:D601"/>
    <mergeCell ref="C602:D602"/>
    <mergeCell ref="C603:D603"/>
    <mergeCell ref="C604:D604"/>
    <mergeCell ref="C605:D605"/>
    <mergeCell ref="C607:D607"/>
    <mergeCell ref="C608:D608"/>
    <mergeCell ref="C609:D609"/>
    <mergeCell ref="A634:A638"/>
    <mergeCell ref="A640:A644"/>
    <mergeCell ref="A647:A651"/>
    <mergeCell ref="A628:A632"/>
    <mergeCell ref="B632:D632"/>
    <mergeCell ref="B634:D634"/>
    <mergeCell ref="B635:D635"/>
    <mergeCell ref="B636:D636"/>
    <mergeCell ref="B637:D637"/>
    <mergeCell ref="B638:D638"/>
    <mergeCell ref="B651:D651"/>
    <mergeCell ref="A557:A558"/>
    <mergeCell ref="A560:A561"/>
    <mergeCell ref="A550:A551"/>
    <mergeCell ref="B553:B554"/>
    <mergeCell ref="A554:A555"/>
    <mergeCell ref="B556:B557"/>
    <mergeCell ref="C558:D558"/>
    <mergeCell ref="B559:B560"/>
    <mergeCell ref="C559:D559"/>
    <mergeCell ref="C570:D570"/>
    <mergeCell ref="C571:D571"/>
    <mergeCell ref="A563:A564"/>
    <mergeCell ref="A567:A568"/>
    <mergeCell ref="C567:D567"/>
    <mergeCell ref="C568:D568"/>
    <mergeCell ref="B569:B570"/>
    <mergeCell ref="C569:D569"/>
    <mergeCell ref="A570:A571"/>
    <mergeCell ref="C575:D575"/>
    <mergeCell ref="C576:D576"/>
    <mergeCell ref="B572:B573"/>
    <mergeCell ref="C572:D572"/>
    <mergeCell ref="A573:A574"/>
    <mergeCell ref="C573:D573"/>
    <mergeCell ref="C574:D574"/>
    <mergeCell ref="B575:B576"/>
    <mergeCell ref="A576:A577"/>
    <mergeCell ref="C528:D528"/>
    <mergeCell ref="C529:D529"/>
    <mergeCell ref="A521:A522"/>
    <mergeCell ref="A524:A525"/>
    <mergeCell ref="C524:D524"/>
    <mergeCell ref="C525:D525"/>
    <mergeCell ref="B526:D526"/>
    <mergeCell ref="C527:D527"/>
    <mergeCell ref="A528:A529"/>
    <mergeCell ref="C533:D533"/>
    <mergeCell ref="C534:D534"/>
    <mergeCell ref="B530:B531"/>
    <mergeCell ref="C530:D530"/>
    <mergeCell ref="A531:A532"/>
    <mergeCell ref="C531:D531"/>
    <mergeCell ref="C532:D532"/>
    <mergeCell ref="A534:A535"/>
    <mergeCell ref="C535:D535"/>
    <mergeCell ref="C536:D536"/>
    <mergeCell ref="C537:D537"/>
    <mergeCell ref="C538:D538"/>
    <mergeCell ref="B539:D539"/>
    <mergeCell ref="B540:B541"/>
    <mergeCell ref="C540:D540"/>
    <mergeCell ref="C541:D541"/>
    <mergeCell ref="B533:B534"/>
    <mergeCell ref="B536:B537"/>
    <mergeCell ref="A537:A538"/>
    <mergeCell ref="A541:A542"/>
    <mergeCell ref="B543:B544"/>
    <mergeCell ref="A544:A545"/>
    <mergeCell ref="A547:A548"/>
    <mergeCell ref="C581:D581"/>
    <mergeCell ref="C582:D582"/>
    <mergeCell ref="C618:D618"/>
    <mergeCell ref="C619:D619"/>
    <mergeCell ref="C610:D610"/>
    <mergeCell ref="C611:D611"/>
    <mergeCell ref="C612:D612"/>
    <mergeCell ref="C614:D614"/>
    <mergeCell ref="C615:D615"/>
    <mergeCell ref="C616:D616"/>
    <mergeCell ref="C617:D617"/>
    <mergeCell ref="B630:D630"/>
    <mergeCell ref="B631:D631"/>
    <mergeCell ref="B622:D622"/>
    <mergeCell ref="B623:D623"/>
    <mergeCell ref="B624:D624"/>
    <mergeCell ref="B625:D625"/>
    <mergeCell ref="B626:D626"/>
    <mergeCell ref="B628:D628"/>
    <mergeCell ref="B629:D629"/>
    <mergeCell ref="B649:D649"/>
    <mergeCell ref="B650:D650"/>
    <mergeCell ref="B640:D640"/>
    <mergeCell ref="B641:D641"/>
    <mergeCell ref="B642:D642"/>
    <mergeCell ref="B643:D643"/>
    <mergeCell ref="B644:D644"/>
    <mergeCell ref="B647:D647"/>
    <mergeCell ref="B648:D648"/>
    <mergeCell ref="A5:D5"/>
    <mergeCell ref="A6:D6"/>
    <mergeCell ref="A7:B7"/>
    <mergeCell ref="C7:D7"/>
    <mergeCell ref="D3:E3"/>
    <mergeCell ref="A8:B8"/>
    <mergeCell ref="C8:D8"/>
    <mergeCell ref="A9:B9"/>
    <mergeCell ref="C9:D9"/>
    <mergeCell ref="A1:N1"/>
    <mergeCell ref="A2:N2"/>
    <mergeCell ref="F3:J3"/>
    <mergeCell ref="L3:N3"/>
    <mergeCell ref="A4:N4"/>
    <mergeCell ref="K5:N6"/>
    <mergeCell ref="K7:N10"/>
    <mergeCell ref="B13:B14"/>
    <mergeCell ref="B17:B18"/>
    <mergeCell ref="C18:D18"/>
    <mergeCell ref="C19:D19"/>
    <mergeCell ref="A15:A16"/>
    <mergeCell ref="A18:A19"/>
    <mergeCell ref="K39:L39"/>
    <mergeCell ref="K43:L43"/>
    <mergeCell ref="A10:B10"/>
    <mergeCell ref="C10:D10"/>
    <mergeCell ref="B11:D11"/>
    <mergeCell ref="C12:D12"/>
    <mergeCell ref="C13:D13"/>
    <mergeCell ref="C16:D16"/>
    <mergeCell ref="C17:D17"/>
    <mergeCell ref="C23:D23"/>
    <mergeCell ref="C24:D24"/>
    <mergeCell ref="C14:D14"/>
    <mergeCell ref="C15:D15"/>
    <mergeCell ref="C20:D20"/>
    <mergeCell ref="B21:B22"/>
    <mergeCell ref="C21:D21"/>
    <mergeCell ref="C22:D22"/>
    <mergeCell ref="A23:A24"/>
    <mergeCell ref="B25:B26"/>
    <mergeCell ref="B31:B32"/>
    <mergeCell ref="B35:B36"/>
    <mergeCell ref="B39:B40"/>
    <mergeCell ref="B43:B44"/>
    <mergeCell ref="C25:D25"/>
    <mergeCell ref="A26:A28"/>
    <mergeCell ref="C26:D26"/>
    <mergeCell ref="C27:D27"/>
    <mergeCell ref="C28:D28"/>
    <mergeCell ref="B29:D29"/>
    <mergeCell ref="C30:D30"/>
    <mergeCell ref="C31:D31"/>
    <mergeCell ref="C32:D32"/>
    <mergeCell ref="A33:A34"/>
    <mergeCell ref="C33:D33"/>
    <mergeCell ref="C34:D34"/>
    <mergeCell ref="C35:D35"/>
    <mergeCell ref="A36:A37"/>
    <mergeCell ref="C42:D42"/>
    <mergeCell ref="C43:D43"/>
    <mergeCell ref="C41:D41"/>
    <mergeCell ref="C44:D44"/>
    <mergeCell ref="C45:D45"/>
    <mergeCell ref="C46:D46"/>
    <mergeCell ref="C36:D36"/>
    <mergeCell ref="C37:D37"/>
    <mergeCell ref="C38:D38"/>
    <mergeCell ref="C39:D39"/>
    <mergeCell ref="C40:D40"/>
    <mergeCell ref="A41:A42"/>
    <mergeCell ref="A44:A46"/>
    <mergeCell ref="B49:B50"/>
    <mergeCell ref="B53:B54"/>
    <mergeCell ref="B57:B58"/>
    <mergeCell ref="B61:B62"/>
    <mergeCell ref="A51:A52"/>
    <mergeCell ref="A54:A55"/>
    <mergeCell ref="A59:A60"/>
    <mergeCell ref="A62:A64"/>
    <mergeCell ref="B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89:D89"/>
    <mergeCell ref="C90:D90"/>
    <mergeCell ref="C85:D85"/>
    <mergeCell ref="C86:D86"/>
    <mergeCell ref="A87:A88"/>
    <mergeCell ref="C87:D87"/>
    <mergeCell ref="C88:D88"/>
    <mergeCell ref="B89:B90"/>
    <mergeCell ref="A90:A91"/>
    <mergeCell ref="C61:D61"/>
    <mergeCell ref="C62:D62"/>
    <mergeCell ref="C63:D63"/>
    <mergeCell ref="C64:D64"/>
    <mergeCell ref="B65:D65"/>
    <mergeCell ref="C66:D66"/>
    <mergeCell ref="B67:B68"/>
    <mergeCell ref="C71:D71"/>
    <mergeCell ref="C72:D72"/>
    <mergeCell ref="C67:D67"/>
    <mergeCell ref="C68:D68"/>
    <mergeCell ref="A69:A70"/>
    <mergeCell ref="C69:D69"/>
    <mergeCell ref="C70:D70"/>
    <mergeCell ref="B71:B72"/>
    <mergeCell ref="A72:A73"/>
    <mergeCell ref="B75:B76"/>
    <mergeCell ref="B79:B80"/>
    <mergeCell ref="A80:A82"/>
    <mergeCell ref="C73:D73"/>
    <mergeCell ref="C74:D74"/>
    <mergeCell ref="C75:D75"/>
    <mergeCell ref="C76:D76"/>
    <mergeCell ref="A77:A78"/>
    <mergeCell ref="C77:D77"/>
    <mergeCell ref="C78:D78"/>
    <mergeCell ref="C79:D79"/>
    <mergeCell ref="C80:D80"/>
    <mergeCell ref="C81:D81"/>
    <mergeCell ref="C82:D82"/>
    <mergeCell ref="B83:D83"/>
    <mergeCell ref="C84:D84"/>
    <mergeCell ref="B85:B86"/>
    <mergeCell ref="C97:D97"/>
    <mergeCell ref="C98:D98"/>
    <mergeCell ref="B121:B122"/>
    <mergeCell ref="B125:B126"/>
    <mergeCell ref="B119:D119"/>
    <mergeCell ref="C120:D120"/>
    <mergeCell ref="C121:D121"/>
    <mergeCell ref="C122:D122"/>
    <mergeCell ref="C123:D123"/>
    <mergeCell ref="C124:D124"/>
    <mergeCell ref="C125:D125"/>
    <mergeCell ref="C126:D126"/>
    <mergeCell ref="K103:L103"/>
    <mergeCell ref="K107:L107"/>
    <mergeCell ref="K111:L111"/>
    <mergeCell ref="K115:L115"/>
    <mergeCell ref="K119:L119"/>
    <mergeCell ref="M119:N119"/>
    <mergeCell ref="M120:N120"/>
    <mergeCell ref="K120:L120"/>
    <mergeCell ref="K121:L121"/>
    <mergeCell ref="K125:L125"/>
    <mergeCell ref="K129:L129"/>
    <mergeCell ref="K133:L133"/>
    <mergeCell ref="K137:L137"/>
    <mergeCell ref="M137:N137"/>
    <mergeCell ref="C130:D130"/>
    <mergeCell ref="C131:D131"/>
    <mergeCell ref="A123:A124"/>
    <mergeCell ref="A126:A127"/>
    <mergeCell ref="C127:D127"/>
    <mergeCell ref="C128:D128"/>
    <mergeCell ref="C129:D129"/>
    <mergeCell ref="A131:A132"/>
    <mergeCell ref="C132:D132"/>
    <mergeCell ref="C146:D146"/>
    <mergeCell ref="C147:D147"/>
    <mergeCell ref="B139:B140"/>
    <mergeCell ref="B143:B144"/>
    <mergeCell ref="C143:D143"/>
    <mergeCell ref="C144:D144"/>
    <mergeCell ref="C145:D145"/>
    <mergeCell ref="B147:B148"/>
    <mergeCell ref="C148:D148"/>
    <mergeCell ref="C152:D152"/>
    <mergeCell ref="C153:D153"/>
    <mergeCell ref="A144:A145"/>
    <mergeCell ref="A149:A150"/>
    <mergeCell ref="C149:D149"/>
    <mergeCell ref="C150:D150"/>
    <mergeCell ref="B151:B152"/>
    <mergeCell ref="C151:D151"/>
    <mergeCell ref="A152:A154"/>
    <mergeCell ref="C159:D159"/>
    <mergeCell ref="C160:D160"/>
    <mergeCell ref="C154:D154"/>
    <mergeCell ref="B155:D155"/>
    <mergeCell ref="C156:D156"/>
    <mergeCell ref="B157:B158"/>
    <mergeCell ref="C157:D157"/>
    <mergeCell ref="C158:D158"/>
    <mergeCell ref="A159:A160"/>
    <mergeCell ref="C165:D165"/>
    <mergeCell ref="C166:D166"/>
    <mergeCell ref="B161:B162"/>
    <mergeCell ref="C161:D161"/>
    <mergeCell ref="A162:A163"/>
    <mergeCell ref="C162:D162"/>
    <mergeCell ref="C163:D163"/>
    <mergeCell ref="C164:D164"/>
    <mergeCell ref="B165:B166"/>
    <mergeCell ref="C171:D171"/>
    <mergeCell ref="C172:D172"/>
    <mergeCell ref="A167:A168"/>
    <mergeCell ref="C167:D167"/>
    <mergeCell ref="C168:D168"/>
    <mergeCell ref="B169:B170"/>
    <mergeCell ref="C169:D169"/>
    <mergeCell ref="A170:A172"/>
    <mergeCell ref="C170:D170"/>
    <mergeCell ref="B175:B176"/>
    <mergeCell ref="B179:B180"/>
    <mergeCell ref="B173:D173"/>
    <mergeCell ref="C174:D174"/>
    <mergeCell ref="C175:D175"/>
    <mergeCell ref="C176:D176"/>
    <mergeCell ref="C177:D177"/>
    <mergeCell ref="C178:D178"/>
    <mergeCell ref="C179:D179"/>
    <mergeCell ref="B129:B130"/>
    <mergeCell ref="B133:B134"/>
    <mergeCell ref="C133:D133"/>
    <mergeCell ref="A134:A136"/>
    <mergeCell ref="C134:D134"/>
    <mergeCell ref="C135:D135"/>
    <mergeCell ref="C136:D136"/>
    <mergeCell ref="B137:D137"/>
    <mergeCell ref="C138:D138"/>
    <mergeCell ref="C139:D139"/>
    <mergeCell ref="C140:D140"/>
    <mergeCell ref="A141:A142"/>
    <mergeCell ref="C141:D141"/>
    <mergeCell ref="C142:D142"/>
    <mergeCell ref="A180:A181"/>
    <mergeCell ref="A185:A186"/>
    <mergeCell ref="A177:A178"/>
    <mergeCell ref="C180:D180"/>
    <mergeCell ref="C181:D181"/>
    <mergeCell ref="C182:D182"/>
    <mergeCell ref="B183:B184"/>
    <mergeCell ref="C183:D183"/>
    <mergeCell ref="C184:D184"/>
    <mergeCell ref="C91:D91"/>
    <mergeCell ref="C92:D92"/>
    <mergeCell ref="C93:D93"/>
    <mergeCell ref="C94:D94"/>
    <mergeCell ref="A95:A96"/>
    <mergeCell ref="C95:D95"/>
    <mergeCell ref="C96:D96"/>
    <mergeCell ref="C99:D99"/>
    <mergeCell ref="C100:D100"/>
    <mergeCell ref="B101:D101"/>
    <mergeCell ref="C102:D102"/>
    <mergeCell ref="B103:B104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B111:B112"/>
    <mergeCell ref="B115:B116"/>
    <mergeCell ref="B93:B94"/>
    <mergeCell ref="B97:B98"/>
    <mergeCell ref="A98:A100"/>
    <mergeCell ref="A105:A106"/>
    <mergeCell ref="B107:B108"/>
    <mergeCell ref="A108:A109"/>
    <mergeCell ref="A113:A114"/>
    <mergeCell ref="A116:A118"/>
    <mergeCell ref="C112:D112"/>
    <mergeCell ref="C113:D113"/>
    <mergeCell ref="C114:D114"/>
    <mergeCell ref="C115:D115"/>
    <mergeCell ref="C116:D116"/>
    <mergeCell ref="C117:D117"/>
    <mergeCell ref="C118:D118"/>
    <mergeCell ref="C185:D185"/>
    <mergeCell ref="C186:D186"/>
    <mergeCell ref="B187:B188"/>
    <mergeCell ref="C187:D187"/>
    <mergeCell ref="A188:A190"/>
    <mergeCell ref="C188:D188"/>
    <mergeCell ref="C189:D189"/>
    <mergeCell ref="B211:B212"/>
    <mergeCell ref="B215:B216"/>
    <mergeCell ref="B209:D209"/>
    <mergeCell ref="C210:D210"/>
    <mergeCell ref="C211:D211"/>
    <mergeCell ref="C212:D212"/>
    <mergeCell ref="C213:D213"/>
    <mergeCell ref="C214:D214"/>
    <mergeCell ref="C215:D215"/>
    <mergeCell ref="C216:D216"/>
    <mergeCell ref="C220:D220"/>
    <mergeCell ref="C221:D221"/>
    <mergeCell ref="A213:A214"/>
    <mergeCell ref="A216:A217"/>
    <mergeCell ref="C217:D217"/>
    <mergeCell ref="C218:D218"/>
    <mergeCell ref="C219:D219"/>
    <mergeCell ref="A221:A222"/>
    <mergeCell ref="C222:D222"/>
    <mergeCell ref="C236:D236"/>
    <mergeCell ref="C237:D237"/>
    <mergeCell ref="B229:B230"/>
    <mergeCell ref="B233:B234"/>
    <mergeCell ref="C233:D233"/>
    <mergeCell ref="C234:D234"/>
    <mergeCell ref="C235:D235"/>
    <mergeCell ref="B237:B238"/>
    <mergeCell ref="C238:D238"/>
    <mergeCell ref="C242:D242"/>
    <mergeCell ref="C243:D243"/>
    <mergeCell ref="A234:A235"/>
    <mergeCell ref="A239:A240"/>
    <mergeCell ref="C239:D239"/>
    <mergeCell ref="C240:D240"/>
    <mergeCell ref="B241:B242"/>
    <mergeCell ref="C241:D241"/>
    <mergeCell ref="A242:A244"/>
    <mergeCell ref="B219:B220"/>
    <mergeCell ref="B223:B224"/>
    <mergeCell ref="C223:D223"/>
    <mergeCell ref="A224:A226"/>
    <mergeCell ref="C224:D224"/>
    <mergeCell ref="C225:D225"/>
    <mergeCell ref="C226:D226"/>
    <mergeCell ref="B227:D227"/>
    <mergeCell ref="C228:D228"/>
    <mergeCell ref="C229:D229"/>
    <mergeCell ref="C230:D230"/>
    <mergeCell ref="A231:A232"/>
    <mergeCell ref="C231:D231"/>
    <mergeCell ref="C232:D232"/>
    <mergeCell ref="C249:D249"/>
    <mergeCell ref="C250:D250"/>
    <mergeCell ref="C244:D244"/>
    <mergeCell ref="B245:D245"/>
    <mergeCell ref="C246:D246"/>
    <mergeCell ref="B247:B248"/>
    <mergeCell ref="C247:D247"/>
    <mergeCell ref="C248:D248"/>
    <mergeCell ref="A249:A250"/>
    <mergeCell ref="C255:D255"/>
    <mergeCell ref="C256:D256"/>
    <mergeCell ref="B251:B252"/>
    <mergeCell ref="C251:D251"/>
    <mergeCell ref="A252:A253"/>
    <mergeCell ref="C252:D252"/>
    <mergeCell ref="C253:D253"/>
    <mergeCell ref="C254:D254"/>
    <mergeCell ref="B255:B256"/>
    <mergeCell ref="C261:D261"/>
    <mergeCell ref="C262:D262"/>
    <mergeCell ref="A257:A258"/>
    <mergeCell ref="C257:D257"/>
    <mergeCell ref="C258:D258"/>
    <mergeCell ref="B259:B260"/>
    <mergeCell ref="C259:D259"/>
    <mergeCell ref="A260:A262"/>
    <mergeCell ref="C260:D260"/>
    <mergeCell ref="B265:B266"/>
    <mergeCell ref="B269:B270"/>
    <mergeCell ref="B263:D263"/>
    <mergeCell ref="C264:D264"/>
    <mergeCell ref="C265:D265"/>
    <mergeCell ref="C266:D266"/>
    <mergeCell ref="C267:D267"/>
    <mergeCell ref="C268:D268"/>
    <mergeCell ref="C269:D269"/>
    <mergeCell ref="C270:D270"/>
    <mergeCell ref="C274:D274"/>
    <mergeCell ref="C275:D275"/>
    <mergeCell ref="A267:A268"/>
    <mergeCell ref="A270:A271"/>
    <mergeCell ref="C271:D271"/>
    <mergeCell ref="C272:D272"/>
    <mergeCell ref="C273:D273"/>
    <mergeCell ref="A275:A276"/>
    <mergeCell ref="C276:D276"/>
    <mergeCell ref="C290:D290"/>
    <mergeCell ref="C291:D291"/>
    <mergeCell ref="B283:B284"/>
    <mergeCell ref="B287:B288"/>
    <mergeCell ref="C287:D287"/>
    <mergeCell ref="C288:D288"/>
    <mergeCell ref="C289:D289"/>
    <mergeCell ref="B291:B292"/>
    <mergeCell ref="C292:D292"/>
    <mergeCell ref="B273:B274"/>
    <mergeCell ref="B277:B278"/>
    <mergeCell ref="C277:D277"/>
    <mergeCell ref="A278:A280"/>
    <mergeCell ref="C278:D278"/>
    <mergeCell ref="C279:D279"/>
    <mergeCell ref="C280:D280"/>
    <mergeCell ref="B281:D281"/>
    <mergeCell ref="C282:D282"/>
    <mergeCell ref="C283:D283"/>
    <mergeCell ref="C284:D284"/>
    <mergeCell ref="A285:A286"/>
    <mergeCell ref="C285:D285"/>
    <mergeCell ref="C286:D286"/>
    <mergeCell ref="C296:D296"/>
    <mergeCell ref="C297:D297"/>
    <mergeCell ref="A288:A289"/>
    <mergeCell ref="A293:A294"/>
    <mergeCell ref="C293:D293"/>
    <mergeCell ref="C294:D294"/>
    <mergeCell ref="B295:B296"/>
    <mergeCell ref="C295:D295"/>
    <mergeCell ref="A296:A298"/>
    <mergeCell ref="C303:D303"/>
    <mergeCell ref="C304:D304"/>
    <mergeCell ref="C298:D298"/>
    <mergeCell ref="B299:D299"/>
    <mergeCell ref="C300:D300"/>
    <mergeCell ref="B301:B302"/>
    <mergeCell ref="C301:D301"/>
    <mergeCell ref="C302:D302"/>
    <mergeCell ref="A303:A304"/>
    <mergeCell ref="C309:D309"/>
    <mergeCell ref="C310:D310"/>
    <mergeCell ref="B305:B306"/>
    <mergeCell ref="C305:D305"/>
    <mergeCell ref="A306:A307"/>
    <mergeCell ref="C306:D306"/>
    <mergeCell ref="C307:D307"/>
    <mergeCell ref="C308:D308"/>
    <mergeCell ref="B309:B310"/>
    <mergeCell ref="C315:D315"/>
    <mergeCell ref="C316:D316"/>
    <mergeCell ref="A311:A312"/>
    <mergeCell ref="C311:D311"/>
    <mergeCell ref="C312:D312"/>
    <mergeCell ref="B313:B314"/>
    <mergeCell ref="C313:D313"/>
    <mergeCell ref="A314:A316"/>
    <mergeCell ref="C314:D314"/>
    <mergeCell ref="B319:B320"/>
    <mergeCell ref="B323:B324"/>
    <mergeCell ref="B317:D317"/>
    <mergeCell ref="C318:D318"/>
    <mergeCell ref="C319:D319"/>
    <mergeCell ref="C320:D320"/>
    <mergeCell ref="C321:D321"/>
    <mergeCell ref="C322:D322"/>
    <mergeCell ref="C323:D323"/>
    <mergeCell ref="C324:D324"/>
    <mergeCell ref="C328:D328"/>
    <mergeCell ref="C329:D329"/>
    <mergeCell ref="A321:A322"/>
    <mergeCell ref="A324:A325"/>
    <mergeCell ref="C325:D325"/>
    <mergeCell ref="C326:D326"/>
    <mergeCell ref="C327:D327"/>
    <mergeCell ref="A329:A330"/>
    <mergeCell ref="C330:D330"/>
    <mergeCell ref="C344:D344"/>
    <mergeCell ref="C345:D345"/>
    <mergeCell ref="B337:B338"/>
    <mergeCell ref="B341:B342"/>
    <mergeCell ref="C341:D341"/>
    <mergeCell ref="C342:D342"/>
    <mergeCell ref="C343:D343"/>
    <mergeCell ref="B345:B346"/>
    <mergeCell ref="C346:D346"/>
    <mergeCell ref="C350:D350"/>
    <mergeCell ref="C351:D351"/>
    <mergeCell ref="A342:A343"/>
    <mergeCell ref="A347:A348"/>
    <mergeCell ref="C347:D347"/>
    <mergeCell ref="C348:D348"/>
    <mergeCell ref="B349:B350"/>
    <mergeCell ref="C349:D349"/>
    <mergeCell ref="A350:A352"/>
    <mergeCell ref="C357:D357"/>
    <mergeCell ref="C358:D358"/>
    <mergeCell ref="C352:D352"/>
    <mergeCell ref="B353:D353"/>
    <mergeCell ref="C354:D354"/>
    <mergeCell ref="B355:B356"/>
    <mergeCell ref="C355:D355"/>
    <mergeCell ref="C356:D356"/>
    <mergeCell ref="A357:A358"/>
    <mergeCell ref="C363:D363"/>
    <mergeCell ref="C364:D364"/>
    <mergeCell ref="B359:B360"/>
    <mergeCell ref="C359:D359"/>
    <mergeCell ref="A360:A361"/>
    <mergeCell ref="C360:D360"/>
    <mergeCell ref="C361:D361"/>
    <mergeCell ref="C362:D362"/>
    <mergeCell ref="B363:B364"/>
    <mergeCell ref="C369:D369"/>
    <mergeCell ref="C370:D370"/>
    <mergeCell ref="A365:A366"/>
    <mergeCell ref="C365:D365"/>
    <mergeCell ref="C366:D366"/>
    <mergeCell ref="B367:B368"/>
    <mergeCell ref="C367:D367"/>
    <mergeCell ref="A368:A370"/>
    <mergeCell ref="C368:D368"/>
    <mergeCell ref="B373:B374"/>
    <mergeCell ref="B377:B378"/>
    <mergeCell ref="B371:D371"/>
    <mergeCell ref="C372:D372"/>
    <mergeCell ref="C373:D373"/>
    <mergeCell ref="C374:D374"/>
    <mergeCell ref="C375:D375"/>
    <mergeCell ref="C376:D376"/>
    <mergeCell ref="C377:D377"/>
    <mergeCell ref="C378:D378"/>
    <mergeCell ref="A375:A376"/>
    <mergeCell ref="A378:A379"/>
    <mergeCell ref="C379:D379"/>
    <mergeCell ref="C380:D380"/>
    <mergeCell ref="C381:D381"/>
    <mergeCell ref="A383:A384"/>
    <mergeCell ref="C384:D384"/>
    <mergeCell ref="C382:D382"/>
    <mergeCell ref="C383:D383"/>
    <mergeCell ref="A591:N591"/>
    <mergeCell ref="C592:L592"/>
    <mergeCell ref="M592:N592"/>
    <mergeCell ref="K593:K596"/>
    <mergeCell ref="M593:N598"/>
    <mergeCell ref="M599:N599"/>
    <mergeCell ref="L593:L596"/>
    <mergeCell ref="C599:L599"/>
    <mergeCell ref="K600:K603"/>
    <mergeCell ref="L600:L603"/>
    <mergeCell ref="M600:N605"/>
    <mergeCell ref="C606:L606"/>
    <mergeCell ref="M606:N606"/>
    <mergeCell ref="M614:N619"/>
    <mergeCell ref="A620:N620"/>
    <mergeCell ref="K622:N626"/>
    <mergeCell ref="K628:N632"/>
    <mergeCell ref="K634:N638"/>
    <mergeCell ref="K640:N644"/>
    <mergeCell ref="A645:N645"/>
    <mergeCell ref="K647:N651"/>
    <mergeCell ref="K607:K610"/>
    <mergeCell ref="L607:L610"/>
    <mergeCell ref="M607:N612"/>
    <mergeCell ref="C613:L613"/>
    <mergeCell ref="M613:N613"/>
    <mergeCell ref="K614:K617"/>
    <mergeCell ref="L614:L617"/>
    <mergeCell ref="K353:L353"/>
    <mergeCell ref="K354:L354"/>
    <mergeCell ref="K355:L355"/>
    <mergeCell ref="K359:L359"/>
    <mergeCell ref="K363:L363"/>
    <mergeCell ref="K367:L367"/>
    <mergeCell ref="M371:N371"/>
    <mergeCell ref="M372:N372"/>
    <mergeCell ref="K371:L371"/>
    <mergeCell ref="K372:L372"/>
    <mergeCell ref="K373:L373"/>
    <mergeCell ref="K377:L377"/>
    <mergeCell ref="K381:L381"/>
    <mergeCell ref="K385:L385"/>
    <mergeCell ref="M389:N389"/>
    <mergeCell ref="K247:L247"/>
    <mergeCell ref="K251:L251"/>
    <mergeCell ref="K255:L255"/>
    <mergeCell ref="K259:L259"/>
    <mergeCell ref="K263:L263"/>
    <mergeCell ref="M263:N263"/>
    <mergeCell ref="M264:N264"/>
    <mergeCell ref="K264:L264"/>
    <mergeCell ref="K265:L265"/>
    <mergeCell ref="K269:L269"/>
    <mergeCell ref="K273:L273"/>
    <mergeCell ref="K277:L277"/>
    <mergeCell ref="K281:L281"/>
    <mergeCell ref="M281:N281"/>
    <mergeCell ref="K282:L282"/>
    <mergeCell ref="M282:N282"/>
    <mergeCell ref="K283:L283"/>
    <mergeCell ref="K287:L287"/>
    <mergeCell ref="K291:L291"/>
    <mergeCell ref="K295:L295"/>
    <mergeCell ref="M299:N299"/>
    <mergeCell ref="M300:N300"/>
    <mergeCell ref="K299:L299"/>
    <mergeCell ref="K300:L300"/>
    <mergeCell ref="K301:L301"/>
    <mergeCell ref="K305:L305"/>
    <mergeCell ref="K309:L309"/>
    <mergeCell ref="K313:L313"/>
    <mergeCell ref="M317:N317"/>
    <mergeCell ref="M318:N318"/>
    <mergeCell ref="K317:L317"/>
    <mergeCell ref="K318:L318"/>
    <mergeCell ref="K319:L319"/>
    <mergeCell ref="K323:L323"/>
    <mergeCell ref="K327:L327"/>
    <mergeCell ref="K331:L331"/>
    <mergeCell ref="M335:N335"/>
    <mergeCell ref="M336:N336"/>
    <mergeCell ref="K335:L335"/>
    <mergeCell ref="K336:L336"/>
    <mergeCell ref="K337:L337"/>
    <mergeCell ref="K341:L341"/>
    <mergeCell ref="K345:L345"/>
    <mergeCell ref="K349:L349"/>
    <mergeCell ref="M353:N353"/>
    <mergeCell ref="M354:N354"/>
    <mergeCell ref="K449:L449"/>
    <mergeCell ref="K453:L453"/>
    <mergeCell ref="K457:L457"/>
    <mergeCell ref="K461:L461"/>
    <mergeCell ref="M461:N461"/>
    <mergeCell ref="K474:L474"/>
    <mergeCell ref="M474:N474"/>
    <mergeCell ref="K138:L138"/>
    <mergeCell ref="M138:N138"/>
    <mergeCell ref="K139:L139"/>
    <mergeCell ref="K143:L143"/>
    <mergeCell ref="K147:L147"/>
    <mergeCell ref="K151:L151"/>
    <mergeCell ref="M155:N155"/>
    <mergeCell ref="M156:N156"/>
    <mergeCell ref="K155:L155"/>
    <mergeCell ref="K156:L156"/>
    <mergeCell ref="K157:L157"/>
    <mergeCell ref="K161:L161"/>
    <mergeCell ref="K165:L165"/>
    <mergeCell ref="K169:L169"/>
    <mergeCell ref="M173:N173"/>
    <mergeCell ref="K173:L173"/>
    <mergeCell ref="K174:L174"/>
    <mergeCell ref="M174:N174"/>
    <mergeCell ref="K175:L175"/>
    <mergeCell ref="K179:L179"/>
    <mergeCell ref="K183:L183"/>
    <mergeCell ref="K187:L187"/>
    <mergeCell ref="K191:L191"/>
    <mergeCell ref="M191:N191"/>
    <mergeCell ref="K192:L192"/>
    <mergeCell ref="M192:N192"/>
    <mergeCell ref="K193:L193"/>
    <mergeCell ref="K197:L197"/>
    <mergeCell ref="K201:L201"/>
    <mergeCell ref="K205:L205"/>
    <mergeCell ref="K209:L209"/>
    <mergeCell ref="M209:N209"/>
    <mergeCell ref="K210:L210"/>
    <mergeCell ref="M210:N210"/>
    <mergeCell ref="K211:L211"/>
    <mergeCell ref="K215:L215"/>
    <mergeCell ref="K219:L219"/>
    <mergeCell ref="K223:L223"/>
    <mergeCell ref="K227:L227"/>
    <mergeCell ref="M227:N227"/>
    <mergeCell ref="K228:L228"/>
    <mergeCell ref="M228:N228"/>
    <mergeCell ref="K229:L229"/>
    <mergeCell ref="K11:L11"/>
    <mergeCell ref="M11:N11"/>
    <mergeCell ref="K12:L12"/>
    <mergeCell ref="M12:N12"/>
    <mergeCell ref="K13:L13"/>
    <mergeCell ref="K17:L17"/>
    <mergeCell ref="K21:L21"/>
    <mergeCell ref="K25:L25"/>
    <mergeCell ref="K29:L29"/>
    <mergeCell ref="M29:N29"/>
    <mergeCell ref="K30:L30"/>
    <mergeCell ref="M30:N30"/>
    <mergeCell ref="K31:L31"/>
    <mergeCell ref="K35:L35"/>
    <mergeCell ref="K47:L47"/>
    <mergeCell ref="M47:N47"/>
    <mergeCell ref="K48:L48"/>
    <mergeCell ref="M48:N48"/>
    <mergeCell ref="K49:L49"/>
    <mergeCell ref="K53:L53"/>
    <mergeCell ref="K57:L57"/>
    <mergeCell ref="K61:L61"/>
    <mergeCell ref="K65:L65"/>
    <mergeCell ref="M65:N65"/>
    <mergeCell ref="K66:L66"/>
    <mergeCell ref="M66:N66"/>
    <mergeCell ref="K67:L67"/>
    <mergeCell ref="K71:L71"/>
    <mergeCell ref="K75:L75"/>
    <mergeCell ref="K79:L79"/>
    <mergeCell ref="K83:L83"/>
    <mergeCell ref="M83:N83"/>
    <mergeCell ref="K84:L84"/>
    <mergeCell ref="M84:N84"/>
    <mergeCell ref="K85:L85"/>
    <mergeCell ref="K89:L89"/>
    <mergeCell ref="K93:L93"/>
    <mergeCell ref="K97:L97"/>
    <mergeCell ref="K101:L101"/>
    <mergeCell ref="M101:N101"/>
    <mergeCell ref="K102:L102"/>
    <mergeCell ref="M102:N102"/>
    <mergeCell ref="K233:L233"/>
    <mergeCell ref="K237:L237"/>
    <mergeCell ref="K241:L241"/>
    <mergeCell ref="K245:L245"/>
    <mergeCell ref="M245:N245"/>
    <mergeCell ref="K246:L246"/>
    <mergeCell ref="M246:N246"/>
    <mergeCell ref="K389:L389"/>
    <mergeCell ref="K390:L390"/>
    <mergeCell ref="M390:N390"/>
    <mergeCell ref="K391:L391"/>
    <mergeCell ref="K395:L395"/>
    <mergeCell ref="K399:L399"/>
    <mergeCell ref="K403:L403"/>
    <mergeCell ref="K407:L407"/>
    <mergeCell ref="M407:N407"/>
    <mergeCell ref="K408:L408"/>
    <mergeCell ref="M408:N408"/>
    <mergeCell ref="K409:L409"/>
    <mergeCell ref="K413:L413"/>
    <mergeCell ref="K417:L417"/>
    <mergeCell ref="K421:L421"/>
    <mergeCell ref="K425:L425"/>
    <mergeCell ref="M425:N425"/>
    <mergeCell ref="K426:L426"/>
    <mergeCell ref="M426:N426"/>
    <mergeCell ref="K427:L427"/>
    <mergeCell ref="K431:L431"/>
    <mergeCell ref="K435:L435"/>
    <mergeCell ref="K439:L439"/>
    <mergeCell ref="K443:L443"/>
    <mergeCell ref="M443:N443"/>
    <mergeCell ref="K444:L444"/>
    <mergeCell ref="M444:N444"/>
    <mergeCell ref="K445:L445"/>
    <mergeCell ref="K487:L487"/>
    <mergeCell ref="M487:N487"/>
    <mergeCell ref="K500:L500"/>
    <mergeCell ref="M500:N500"/>
    <mergeCell ref="K513:L513"/>
    <mergeCell ref="M513:N513"/>
    <mergeCell ref="M526:N526"/>
    <mergeCell ref="K578:L578"/>
    <mergeCell ref="M578:N578"/>
    <mergeCell ref="K526:L526"/>
    <mergeCell ref="K539:L539"/>
    <mergeCell ref="M539:N539"/>
    <mergeCell ref="K552:L552"/>
    <mergeCell ref="M552:N552"/>
    <mergeCell ref="K565:L565"/>
    <mergeCell ref="M565:N565"/>
  </mergeCells>
  <hyperlinks>
    <hyperlink r:id="rId1" ref="A26"/>
  </hyperlinks>
  <printOptions/>
  <pageMargins bottom="1.025" footer="0.0" header="0.0" left="0.7875" right="0.7875" top="1.025"/>
  <pageSetup paperSize="9" orientation="portrait"/>
  <headerFooter>
    <oddHeader>&amp;C&amp;A</oddHeader>
    <oddFooter>&amp;CPágina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3.63"/>
    <col customWidth="1" min="2" max="2" width="21.0"/>
    <col customWidth="1" min="3" max="3" width="12.13"/>
    <col customWidth="1" min="4" max="4" width="2.88"/>
    <col customWidth="1" min="5" max="9" width="5.63"/>
    <col customWidth="1" min="10" max="10" width="5.75"/>
    <col customWidth="1" min="11" max="11" width="15.5"/>
    <col customWidth="1" min="12" max="12" width="11.38"/>
    <col customWidth="1" min="13" max="13" width="19.5"/>
    <col customWidth="1" min="14" max="14" width="7.63"/>
  </cols>
  <sheetData>
    <row r="1" ht="35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13.5" customHeight="1">
      <c r="A2" s="4" t="s">
        <v>176</v>
      </c>
      <c r="N2" s="5"/>
    </row>
    <row r="3" ht="13.5" customHeight="1">
      <c r="A3" s="6" t="s">
        <v>2</v>
      </c>
      <c r="B3" s="7" t="s">
        <v>3</v>
      </c>
      <c r="C3" s="8" t="s">
        <v>4</v>
      </c>
      <c r="D3" s="9">
        <v>2026.0</v>
      </c>
      <c r="E3" s="10"/>
      <c r="F3" s="11" t="s">
        <v>5</v>
      </c>
      <c r="K3" s="12">
        <f>COUNTA(A13,A31,A49,A67,A85,A103,A121,A139,A157,A175,A193,A211,A229,A247,A265,A283,A301,A319,A337,A355,A373,A391,A409,A427,A445)</f>
        <v>0</v>
      </c>
      <c r="L3" s="13"/>
    </row>
    <row r="4" ht="13.5" customHeight="1">
      <c r="A4" s="14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6"/>
    </row>
    <row r="5" ht="13.5" customHeight="1">
      <c r="A5" s="17" t="s">
        <v>6</v>
      </c>
      <c r="D5" s="5"/>
      <c r="E5" s="18" t="s">
        <v>7</v>
      </c>
      <c r="F5" s="19" t="s">
        <v>8</v>
      </c>
      <c r="G5" s="18" t="s">
        <v>9</v>
      </c>
      <c r="H5" s="18" t="s">
        <v>10</v>
      </c>
      <c r="I5" s="18" t="s">
        <v>11</v>
      </c>
      <c r="J5" s="19" t="s">
        <v>12</v>
      </c>
      <c r="K5" s="20"/>
      <c r="L5" s="21"/>
      <c r="M5" s="21"/>
      <c r="N5" s="22"/>
    </row>
    <row r="6" ht="13.5" customHeight="1">
      <c r="A6" s="23" t="s">
        <v>13</v>
      </c>
      <c r="B6" s="24"/>
      <c r="C6" s="24"/>
      <c r="D6" s="25"/>
      <c r="E6" s="26">
        <v>17.0</v>
      </c>
      <c r="F6" s="27">
        <v>27.0</v>
      </c>
      <c r="G6" s="27">
        <v>27.0</v>
      </c>
      <c r="H6" s="27">
        <v>27.0</v>
      </c>
      <c r="I6" s="27">
        <v>32.0</v>
      </c>
      <c r="J6" s="28">
        <v>37.0</v>
      </c>
      <c r="K6" s="29"/>
      <c r="L6" s="29"/>
      <c r="M6" s="29"/>
      <c r="N6" s="30"/>
    </row>
    <row r="7" ht="13.5" customHeight="1">
      <c r="A7" s="31" t="s">
        <v>14</v>
      </c>
      <c r="B7" s="25"/>
      <c r="C7" s="32" t="s">
        <v>15</v>
      </c>
      <c r="D7" s="33"/>
      <c r="E7" s="34"/>
      <c r="F7" s="35"/>
      <c r="G7" s="35"/>
      <c r="H7" s="35"/>
      <c r="I7" s="35"/>
      <c r="J7" s="36"/>
      <c r="K7" s="37"/>
      <c r="N7" s="5"/>
    </row>
    <row r="8" ht="13.5" customHeight="1">
      <c r="A8" s="31" t="s">
        <v>16</v>
      </c>
      <c r="B8" s="25"/>
      <c r="C8" s="32" t="s">
        <v>15</v>
      </c>
      <c r="D8" s="33"/>
      <c r="E8" s="34"/>
      <c r="F8" s="35"/>
      <c r="G8" s="35"/>
      <c r="H8" s="35"/>
      <c r="I8" s="35"/>
      <c r="J8" s="36"/>
      <c r="K8" s="38"/>
      <c r="N8" s="5"/>
    </row>
    <row r="9" ht="13.5" customHeight="1">
      <c r="A9" s="31" t="s">
        <v>17</v>
      </c>
      <c r="B9" s="25"/>
      <c r="C9" s="32" t="s">
        <v>15</v>
      </c>
      <c r="D9" s="33"/>
      <c r="E9" s="39"/>
      <c r="F9" s="39"/>
      <c r="G9" s="39"/>
      <c r="H9" s="39"/>
      <c r="I9" s="39"/>
      <c r="J9" s="172"/>
      <c r="K9" s="38"/>
      <c r="N9" s="5"/>
    </row>
    <row r="10" ht="13.5" customHeight="1">
      <c r="A10" s="31" t="s">
        <v>18</v>
      </c>
      <c r="B10" s="25"/>
      <c r="C10" s="32" t="s">
        <v>15</v>
      </c>
      <c r="D10" s="33"/>
      <c r="E10" s="34"/>
      <c r="F10" s="34"/>
      <c r="G10" s="34"/>
      <c r="H10" s="34"/>
      <c r="I10" s="34"/>
      <c r="J10" s="40"/>
      <c r="K10" s="38"/>
      <c r="N10" s="5"/>
    </row>
    <row r="11" ht="13.5" customHeight="1">
      <c r="A11" s="41" t="s">
        <v>19</v>
      </c>
      <c r="B11" s="42" t="s">
        <v>20</v>
      </c>
      <c r="C11" s="24"/>
      <c r="D11" s="33"/>
      <c r="E11" s="43">
        <f t="shared" ref="E11:J11" si="1">E6</f>
        <v>17</v>
      </c>
      <c r="F11" s="43">
        <f t="shared" si="1"/>
        <v>27</v>
      </c>
      <c r="G11" s="43">
        <f t="shared" si="1"/>
        <v>27</v>
      </c>
      <c r="H11" s="43">
        <f t="shared" si="1"/>
        <v>27</v>
      </c>
      <c r="I11" s="43">
        <f t="shared" si="1"/>
        <v>32</v>
      </c>
      <c r="J11" s="44">
        <f t="shared" si="1"/>
        <v>37</v>
      </c>
      <c r="K11" s="42" t="s">
        <v>21</v>
      </c>
      <c r="L11" s="25"/>
      <c r="M11" s="45" t="s">
        <v>22</v>
      </c>
      <c r="N11" s="25"/>
    </row>
    <row r="12" ht="13.5" customHeight="1">
      <c r="A12" s="46" t="s">
        <v>23</v>
      </c>
      <c r="B12" s="47" t="s">
        <v>24</v>
      </c>
      <c r="C12" s="32" t="s">
        <v>25</v>
      </c>
      <c r="D12" s="33"/>
      <c r="E12" s="48"/>
      <c r="F12" s="48"/>
      <c r="G12" s="48"/>
      <c r="H12" s="48"/>
      <c r="I12" s="48"/>
      <c r="J12" s="48"/>
      <c r="K12" s="49"/>
      <c r="L12" s="25"/>
      <c r="M12" s="50"/>
      <c r="N12" s="10"/>
    </row>
    <row r="13" ht="15.0" customHeight="1">
      <c r="A13" s="92"/>
      <c r="B13" s="52" t="s">
        <v>26</v>
      </c>
      <c r="C13" s="53" t="s">
        <v>27</v>
      </c>
      <c r="D13" s="54"/>
      <c r="E13" s="55">
        <f t="shared" ref="E13:J13" si="2">E12-E14</f>
        <v>0</v>
      </c>
      <c r="F13" s="55">
        <f t="shared" si="2"/>
        <v>-2</v>
      </c>
      <c r="G13" s="55">
        <f t="shared" si="2"/>
        <v>-1</v>
      </c>
      <c r="H13" s="55">
        <f t="shared" si="2"/>
        <v>0</v>
      </c>
      <c r="I13" s="55">
        <f t="shared" si="2"/>
        <v>0</v>
      </c>
      <c r="J13" s="55">
        <f t="shared" si="2"/>
        <v>0</v>
      </c>
      <c r="K13" s="56"/>
      <c r="L13" s="30"/>
      <c r="M13" s="57" t="s">
        <v>28</v>
      </c>
      <c r="N13" s="58" t="b">
        <v>0</v>
      </c>
    </row>
    <row r="14" ht="13.5" customHeight="1">
      <c r="A14" s="46" t="s">
        <v>29</v>
      </c>
      <c r="B14" s="59"/>
      <c r="C14" s="53" t="s">
        <v>30</v>
      </c>
      <c r="D14" s="54"/>
      <c r="E14" s="60"/>
      <c r="F14" s="84">
        <v>2.0</v>
      </c>
      <c r="G14" s="84">
        <v>1.0</v>
      </c>
      <c r="H14" s="60"/>
      <c r="I14" s="60"/>
      <c r="J14" s="60"/>
      <c r="K14" s="61" t="s">
        <v>30</v>
      </c>
      <c r="L14" s="62">
        <f>(E14*E11)+(F14*F11)+(G14*G11)+(H14*H11)+(I14*I11)+(J14*J11)</f>
        <v>81</v>
      </c>
      <c r="M14" s="57" t="s">
        <v>31</v>
      </c>
      <c r="N14" s="63" t="b">
        <v>0</v>
      </c>
    </row>
    <row r="15" ht="13.5" customHeight="1">
      <c r="A15" s="64" t="s">
        <v>177</v>
      </c>
      <c r="B15" s="65" t="s">
        <v>33</v>
      </c>
      <c r="C15" s="53" t="s">
        <v>34</v>
      </c>
      <c r="D15" s="54"/>
      <c r="E15" s="66"/>
      <c r="F15" s="76">
        <v>6.0</v>
      </c>
      <c r="G15" s="76">
        <v>5.0</v>
      </c>
      <c r="H15" s="66"/>
      <c r="I15" s="66"/>
      <c r="J15" s="76">
        <v>5.0</v>
      </c>
      <c r="K15" s="67" t="s">
        <v>35</v>
      </c>
      <c r="L15" s="62">
        <f>(E15*E11)+(F15*F11)+(G15*G11)+(H15*H11)+(I15*I11)+(J15*J11)</f>
        <v>482</v>
      </c>
      <c r="M15" s="57" t="s">
        <v>36</v>
      </c>
      <c r="N15" s="63" t="b">
        <v>0</v>
      </c>
    </row>
    <row r="16" ht="13.5" customHeight="1">
      <c r="A16" s="68"/>
      <c r="B16" s="69">
        <f>IFS(L16=0,"",B16&lt;&gt;"",B16,TRUE,NOW())</f>
        <v>0</v>
      </c>
      <c r="C16" s="70" t="s">
        <v>37</v>
      </c>
      <c r="D16" s="33"/>
      <c r="E16" s="71"/>
      <c r="F16" s="71"/>
      <c r="G16" s="71"/>
      <c r="H16" s="71"/>
      <c r="I16" s="71"/>
      <c r="J16" s="71"/>
      <c r="K16" s="72" t="s">
        <v>38</v>
      </c>
      <c r="L16" s="73">
        <f>L15-L14</f>
        <v>401</v>
      </c>
      <c r="M16" s="74" t="s">
        <v>39</v>
      </c>
      <c r="N16" s="75" t="b">
        <v>0</v>
      </c>
    </row>
    <row r="17" ht="15.0" customHeight="1">
      <c r="A17" s="46" t="s">
        <v>40</v>
      </c>
      <c r="B17" s="52" t="s">
        <v>26</v>
      </c>
      <c r="C17" s="53" t="s">
        <v>27</v>
      </c>
      <c r="D17" s="54"/>
      <c r="E17" s="55">
        <f t="shared" ref="E17:J17" si="3">E15-E18</f>
        <v>0</v>
      </c>
      <c r="F17" s="55">
        <f t="shared" si="3"/>
        <v>6</v>
      </c>
      <c r="G17" s="55">
        <f t="shared" si="3"/>
        <v>5</v>
      </c>
      <c r="H17" s="55">
        <f t="shared" si="3"/>
        <v>0</v>
      </c>
      <c r="I17" s="55">
        <f t="shared" si="3"/>
        <v>0</v>
      </c>
      <c r="J17" s="55">
        <f t="shared" si="3"/>
        <v>5</v>
      </c>
      <c r="K17" s="56"/>
      <c r="L17" s="30"/>
      <c r="M17" s="57" t="s">
        <v>28</v>
      </c>
      <c r="N17" s="58" t="b">
        <v>0</v>
      </c>
    </row>
    <row r="18" ht="13.5" customHeight="1">
      <c r="A18" s="64"/>
      <c r="B18" s="59"/>
      <c r="C18" s="53" t="s">
        <v>30</v>
      </c>
      <c r="D18" s="54"/>
      <c r="E18" s="60"/>
      <c r="F18" s="60"/>
      <c r="G18" s="60"/>
      <c r="H18" s="60"/>
      <c r="I18" s="60"/>
      <c r="J18" s="60"/>
      <c r="K18" s="61" t="s">
        <v>30</v>
      </c>
      <c r="L18" s="62">
        <f>(E18*E11)+(F18*F11)+(G18*G11)+(H18*H11)+(I18*I11)+(J18*J11)</f>
        <v>0</v>
      </c>
      <c r="M18" s="57" t="s">
        <v>31</v>
      </c>
      <c r="N18" s="63" t="b">
        <v>0</v>
      </c>
    </row>
    <row r="19" ht="13.5" customHeight="1">
      <c r="A19" s="68"/>
      <c r="B19" s="65" t="s">
        <v>42</v>
      </c>
      <c r="C19" s="53" t="s">
        <v>34</v>
      </c>
      <c r="D19" s="54"/>
      <c r="E19" s="66"/>
      <c r="F19" s="76"/>
      <c r="G19" s="76"/>
      <c r="H19" s="76"/>
      <c r="I19" s="76"/>
      <c r="J19" s="76"/>
      <c r="K19" s="67" t="s">
        <v>35</v>
      </c>
      <c r="L19" s="62">
        <f>(E19*E11)+(F19*F11)+(G19*G11)+(H19*H11)+(I19*I11)+(J19*J11)</f>
        <v>0</v>
      </c>
      <c r="M19" s="57" t="s">
        <v>36</v>
      </c>
      <c r="N19" s="63" t="b">
        <v>0</v>
      </c>
    </row>
    <row r="20" ht="13.5" customHeight="1">
      <c r="A20" s="46" t="s">
        <v>43</v>
      </c>
      <c r="B20" s="69" t="str">
        <f>IFS(L20=0,"",B20&lt;&gt;"",B20,TRUE,NOW())</f>
        <v/>
      </c>
      <c r="C20" s="70" t="s">
        <v>37</v>
      </c>
      <c r="D20" s="33"/>
      <c r="E20" s="71"/>
      <c r="F20" s="71"/>
      <c r="G20" s="71"/>
      <c r="H20" s="71"/>
      <c r="I20" s="71"/>
      <c r="J20" s="71"/>
      <c r="K20" s="72" t="s">
        <v>38</v>
      </c>
      <c r="L20" s="73">
        <f>L19-L18</f>
        <v>0</v>
      </c>
      <c r="M20" s="74" t="s">
        <v>39</v>
      </c>
      <c r="N20" s="75" t="b">
        <v>0</v>
      </c>
    </row>
    <row r="21" ht="13.5" customHeight="1">
      <c r="A21" s="64" t="s">
        <v>178</v>
      </c>
      <c r="B21" s="52" t="s">
        <v>26</v>
      </c>
      <c r="C21" s="53" t="s">
        <v>27</v>
      </c>
      <c r="D21" s="54"/>
      <c r="E21" s="55">
        <f t="shared" ref="E21:J21" si="4">E19-E22</f>
        <v>0</v>
      </c>
      <c r="F21" s="55">
        <f t="shared" si="4"/>
        <v>0</v>
      </c>
      <c r="G21" s="55">
        <f t="shared" si="4"/>
        <v>0</v>
      </c>
      <c r="H21" s="55">
        <f t="shared" si="4"/>
        <v>0</v>
      </c>
      <c r="I21" s="55">
        <f t="shared" si="4"/>
        <v>0</v>
      </c>
      <c r="J21" s="55">
        <f t="shared" si="4"/>
        <v>0</v>
      </c>
      <c r="K21" s="56"/>
      <c r="L21" s="30"/>
      <c r="M21" s="57" t="s">
        <v>28</v>
      </c>
      <c r="N21" s="58" t="b">
        <v>0</v>
      </c>
    </row>
    <row r="22" ht="13.5" customHeight="1">
      <c r="A22" s="46" t="s">
        <v>45</v>
      </c>
      <c r="B22" s="59"/>
      <c r="C22" s="53" t="s">
        <v>30</v>
      </c>
      <c r="D22" s="54"/>
      <c r="E22" s="60"/>
      <c r="F22" s="60"/>
      <c r="G22" s="60"/>
      <c r="H22" s="60"/>
      <c r="I22" s="60"/>
      <c r="J22" s="60"/>
      <c r="K22" s="61" t="s">
        <v>30</v>
      </c>
      <c r="L22" s="62">
        <f>(E22*E11)+(F22*F11)+(G22*G11)+(H22*H11)+(I22*I11)+(J22*J11)</f>
        <v>0</v>
      </c>
      <c r="M22" s="57" t="s">
        <v>31</v>
      </c>
      <c r="N22" s="63" t="b">
        <v>0</v>
      </c>
    </row>
    <row r="23" ht="13.5" customHeight="1">
      <c r="A23" s="77" t="s">
        <v>179</v>
      </c>
      <c r="B23" s="65" t="s">
        <v>47</v>
      </c>
      <c r="C23" s="53" t="s">
        <v>34</v>
      </c>
      <c r="D23" s="54"/>
      <c r="E23" s="66"/>
      <c r="F23" s="66"/>
      <c r="G23" s="66"/>
      <c r="H23" s="66"/>
      <c r="I23" s="66"/>
      <c r="J23" s="66"/>
      <c r="K23" s="67" t="s">
        <v>35</v>
      </c>
      <c r="L23" s="62">
        <f>(E23*E11)+(F23*F11)+(G23*G11)+(H23*H11)+(I23*I11)+(J23*J11)</f>
        <v>0</v>
      </c>
      <c r="M23" s="57" t="s">
        <v>36</v>
      </c>
      <c r="N23" s="63" t="b">
        <v>0</v>
      </c>
    </row>
    <row r="24" ht="15.0" customHeight="1">
      <c r="A24" s="68"/>
      <c r="B24" s="69" t="str">
        <f>IFS(L24=0,"",B24&lt;&gt;"",B24,TRUE,NOW())</f>
        <v/>
      </c>
      <c r="C24" s="70" t="s">
        <v>37</v>
      </c>
      <c r="D24" s="33"/>
      <c r="E24" s="71"/>
      <c r="F24" s="71"/>
      <c r="G24" s="71"/>
      <c r="H24" s="71"/>
      <c r="I24" s="71"/>
      <c r="J24" s="71"/>
      <c r="K24" s="72" t="s">
        <v>38</v>
      </c>
      <c r="L24" s="73">
        <f>L23-L22</f>
        <v>0</v>
      </c>
      <c r="M24" s="74" t="s">
        <v>39</v>
      </c>
      <c r="N24" s="75" t="b">
        <v>0</v>
      </c>
    </row>
    <row r="25" ht="13.5" customHeight="1">
      <c r="A25" s="78" t="s">
        <v>48</v>
      </c>
      <c r="B25" s="52" t="s">
        <v>26</v>
      </c>
      <c r="C25" s="53" t="s">
        <v>27</v>
      </c>
      <c r="D25" s="54"/>
      <c r="E25" s="55">
        <f t="shared" ref="E25:J25" si="5">E23-E26</f>
        <v>0</v>
      </c>
      <c r="F25" s="55">
        <f t="shared" si="5"/>
        <v>0</v>
      </c>
      <c r="G25" s="55">
        <f t="shared" si="5"/>
        <v>0</v>
      </c>
      <c r="H25" s="55">
        <f t="shared" si="5"/>
        <v>0</v>
      </c>
      <c r="I25" s="55">
        <f t="shared" si="5"/>
        <v>0</v>
      </c>
      <c r="J25" s="55">
        <f t="shared" si="5"/>
        <v>0</v>
      </c>
      <c r="K25" s="56"/>
      <c r="L25" s="30"/>
      <c r="M25" s="57" t="s">
        <v>28</v>
      </c>
      <c r="N25" s="58" t="b">
        <v>0</v>
      </c>
    </row>
    <row r="26" ht="13.5" customHeight="1">
      <c r="A26" s="79" t="s">
        <v>177</v>
      </c>
      <c r="B26" s="59"/>
      <c r="C26" s="53" t="s">
        <v>30</v>
      </c>
      <c r="D26" s="54"/>
      <c r="E26" s="60"/>
      <c r="F26" s="60"/>
      <c r="G26" s="60"/>
      <c r="H26" s="60"/>
      <c r="I26" s="60"/>
      <c r="J26" s="60"/>
      <c r="K26" s="61" t="s">
        <v>30</v>
      </c>
      <c r="L26" s="62">
        <f>(E26*E11)+(F26*F11)+(G26*G11)+(H26*H11)+(I26*I11)+(J26*J11)</f>
        <v>0</v>
      </c>
      <c r="M26" s="57" t="s">
        <v>31</v>
      </c>
      <c r="N26" s="63" t="b">
        <v>0</v>
      </c>
    </row>
    <row r="27" ht="13.5" customHeight="1">
      <c r="A27" s="68"/>
      <c r="B27" s="65" t="s">
        <v>49</v>
      </c>
      <c r="C27" s="53" t="s">
        <v>34</v>
      </c>
      <c r="D27" s="54"/>
      <c r="E27" s="66"/>
      <c r="F27" s="66"/>
      <c r="G27" s="66"/>
      <c r="H27" s="66"/>
      <c r="I27" s="66"/>
      <c r="J27" s="66"/>
      <c r="K27" s="67" t="s">
        <v>35</v>
      </c>
      <c r="L27" s="62">
        <f>(E27*E11)+(F27*F11)+(G27*G11)+(H27*H11)+(I27*I11)+(J27*J11)</f>
        <v>0</v>
      </c>
      <c r="M27" s="57" t="s">
        <v>36</v>
      </c>
      <c r="N27" s="63" t="b">
        <v>0</v>
      </c>
    </row>
    <row r="28" ht="13.5" customHeight="1">
      <c r="A28" s="80"/>
      <c r="B28" s="69" t="str">
        <f>IFS(L28=0,"",B28&lt;&gt;"",B28,TRUE,NOW())</f>
        <v/>
      </c>
      <c r="C28" s="53" t="s">
        <v>37</v>
      </c>
      <c r="D28" s="54"/>
      <c r="E28" s="81"/>
      <c r="F28" s="81"/>
      <c r="G28" s="81"/>
      <c r="H28" s="82"/>
      <c r="I28" s="81"/>
      <c r="J28" s="81"/>
      <c r="K28" s="72" t="s">
        <v>38</v>
      </c>
      <c r="L28" s="73">
        <f>L27-L26</f>
        <v>0</v>
      </c>
      <c r="M28" s="74" t="s">
        <v>39</v>
      </c>
      <c r="N28" s="75" t="b">
        <v>0</v>
      </c>
    </row>
    <row r="29" ht="13.5" customHeight="1">
      <c r="A29" s="83" t="s">
        <v>50</v>
      </c>
      <c r="B29" s="42" t="s">
        <v>20</v>
      </c>
      <c r="C29" s="24"/>
      <c r="D29" s="33"/>
      <c r="E29" s="43">
        <f t="shared" ref="E29:J29" si="6">E6</f>
        <v>17</v>
      </c>
      <c r="F29" s="43">
        <f t="shared" si="6"/>
        <v>27</v>
      </c>
      <c r="G29" s="43">
        <f t="shared" si="6"/>
        <v>27</v>
      </c>
      <c r="H29" s="43">
        <f t="shared" si="6"/>
        <v>27</v>
      </c>
      <c r="I29" s="43">
        <f t="shared" si="6"/>
        <v>32</v>
      </c>
      <c r="J29" s="44">
        <f t="shared" si="6"/>
        <v>37</v>
      </c>
      <c r="K29" s="42" t="s">
        <v>21</v>
      </c>
      <c r="L29" s="25"/>
      <c r="M29" s="45" t="s">
        <v>22</v>
      </c>
      <c r="N29" s="25"/>
    </row>
    <row r="30" ht="13.5" customHeight="1">
      <c r="A30" s="46" t="s">
        <v>23</v>
      </c>
      <c r="B30" s="47" t="s">
        <v>24</v>
      </c>
      <c r="C30" s="32" t="s">
        <v>25</v>
      </c>
      <c r="D30" s="33"/>
      <c r="E30" s="48"/>
      <c r="F30" s="48"/>
      <c r="G30" s="48"/>
      <c r="H30" s="48"/>
      <c r="I30" s="48"/>
      <c r="J30" s="48"/>
      <c r="K30" s="49"/>
      <c r="L30" s="25"/>
      <c r="M30" s="50"/>
      <c r="N30" s="10"/>
    </row>
    <row r="31" ht="15.0" customHeight="1">
      <c r="A31" s="92"/>
      <c r="B31" s="52" t="s">
        <v>51</v>
      </c>
      <c r="C31" s="53" t="s">
        <v>27</v>
      </c>
      <c r="D31" s="54"/>
      <c r="E31" s="55">
        <f t="shared" ref="E31:J31" si="7">E30-E32</f>
        <v>0</v>
      </c>
      <c r="F31" s="55">
        <f t="shared" si="7"/>
        <v>-3</v>
      </c>
      <c r="G31" s="55">
        <f t="shared" si="7"/>
        <v>0</v>
      </c>
      <c r="H31" s="55">
        <f t="shared" si="7"/>
        <v>0</v>
      </c>
      <c r="I31" s="55">
        <f t="shared" si="7"/>
        <v>-1</v>
      </c>
      <c r="J31" s="55">
        <f t="shared" si="7"/>
        <v>-3</v>
      </c>
      <c r="K31" s="56"/>
      <c r="L31" s="30"/>
      <c r="M31" s="57" t="s">
        <v>28</v>
      </c>
      <c r="N31" s="58" t="b">
        <v>0</v>
      </c>
    </row>
    <row r="32" ht="13.5" customHeight="1">
      <c r="A32" s="46" t="s">
        <v>29</v>
      </c>
      <c r="B32" s="59"/>
      <c r="C32" s="53" t="s">
        <v>30</v>
      </c>
      <c r="D32" s="54"/>
      <c r="E32" s="60"/>
      <c r="F32" s="84">
        <v>3.0</v>
      </c>
      <c r="G32" s="60"/>
      <c r="H32" s="60"/>
      <c r="I32" s="84">
        <v>1.0</v>
      </c>
      <c r="J32" s="84">
        <v>3.0</v>
      </c>
      <c r="K32" s="61" t="s">
        <v>30</v>
      </c>
      <c r="L32" s="62">
        <f>(E32*E29)+(F32*F29)+(G32*G29)+(H32*H29)+(I32*I29)+(J32*J29)</f>
        <v>224</v>
      </c>
      <c r="M32" s="57" t="s">
        <v>31</v>
      </c>
      <c r="N32" s="63" t="b">
        <v>0</v>
      </c>
    </row>
    <row r="33" ht="13.5" customHeight="1">
      <c r="A33" s="64" t="s">
        <v>180</v>
      </c>
      <c r="B33" s="65" t="s">
        <v>33</v>
      </c>
      <c r="C33" s="53" t="s">
        <v>34</v>
      </c>
      <c r="D33" s="54"/>
      <c r="E33" s="66"/>
      <c r="F33" s="76">
        <v>4.0</v>
      </c>
      <c r="G33" s="76">
        <v>1.0</v>
      </c>
      <c r="H33" s="76">
        <v>2.0</v>
      </c>
      <c r="I33" s="76">
        <v>3.0</v>
      </c>
      <c r="J33" s="76">
        <v>3.0</v>
      </c>
      <c r="K33" s="67" t="s">
        <v>35</v>
      </c>
      <c r="L33" s="62">
        <f>(E33*E29)+(F33*F29)+(G33*G29)+(H33*H29)+(I33*I29)+(J33*J29)</f>
        <v>396</v>
      </c>
      <c r="M33" s="57" t="s">
        <v>36</v>
      </c>
      <c r="N33" s="63" t="b">
        <v>0</v>
      </c>
    </row>
    <row r="34" ht="13.5" customHeight="1">
      <c r="A34" s="68"/>
      <c r="B34" s="69">
        <f>IFS(L34=0,"",B34&lt;&gt;"",B34,TRUE,NOW())</f>
        <v>0</v>
      </c>
      <c r="C34" s="70" t="s">
        <v>37</v>
      </c>
      <c r="D34" s="33"/>
      <c r="E34" s="71"/>
      <c r="F34" s="71"/>
      <c r="G34" s="71"/>
      <c r="H34" s="71"/>
      <c r="I34" s="71"/>
      <c r="J34" s="71"/>
      <c r="K34" s="72" t="s">
        <v>38</v>
      </c>
      <c r="L34" s="73">
        <f>L33-L32</f>
        <v>172</v>
      </c>
      <c r="M34" s="74" t="s">
        <v>39</v>
      </c>
      <c r="N34" s="75" t="b">
        <v>0</v>
      </c>
    </row>
    <row r="35" ht="13.5" customHeight="1">
      <c r="A35" s="46" t="s">
        <v>40</v>
      </c>
      <c r="B35" s="52" t="s">
        <v>51</v>
      </c>
      <c r="C35" s="53" t="s">
        <v>27</v>
      </c>
      <c r="D35" s="54"/>
      <c r="E35" s="55">
        <f t="shared" ref="E35:J35" si="8">E33-E36</f>
        <v>0</v>
      </c>
      <c r="F35" s="55">
        <f t="shared" si="8"/>
        <v>4</v>
      </c>
      <c r="G35" s="55">
        <f t="shared" si="8"/>
        <v>1</v>
      </c>
      <c r="H35" s="55">
        <f t="shared" si="8"/>
        <v>2</v>
      </c>
      <c r="I35" s="55">
        <f t="shared" si="8"/>
        <v>3</v>
      </c>
      <c r="J35" s="55">
        <f t="shared" si="8"/>
        <v>3</v>
      </c>
      <c r="K35" s="56"/>
      <c r="L35" s="30"/>
      <c r="M35" s="57" t="s">
        <v>28</v>
      </c>
      <c r="N35" s="58" t="b">
        <v>0</v>
      </c>
    </row>
    <row r="36" ht="15.0" customHeight="1">
      <c r="A36" s="64"/>
      <c r="B36" s="59"/>
      <c r="C36" s="53" t="s">
        <v>30</v>
      </c>
      <c r="D36" s="54"/>
      <c r="E36" s="60"/>
      <c r="F36" s="60"/>
      <c r="G36" s="60"/>
      <c r="H36" s="60"/>
      <c r="I36" s="84"/>
      <c r="J36" s="84"/>
      <c r="K36" s="61" t="s">
        <v>30</v>
      </c>
      <c r="L36" s="62">
        <f>(E36*E29)+(F36*F29)+(G36*G29)+(H36*H29)+(I36*I29)+(J36*J29)</f>
        <v>0</v>
      </c>
      <c r="M36" s="57" t="s">
        <v>31</v>
      </c>
      <c r="N36" s="63" t="b">
        <v>0</v>
      </c>
    </row>
    <row r="37" ht="13.5" customHeight="1">
      <c r="A37" s="68"/>
      <c r="B37" s="65" t="s">
        <v>42</v>
      </c>
      <c r="C37" s="53" t="s">
        <v>34</v>
      </c>
      <c r="D37" s="54"/>
      <c r="E37" s="66"/>
      <c r="F37" s="66"/>
      <c r="G37" s="66"/>
      <c r="H37" s="66"/>
      <c r="I37" s="66"/>
      <c r="J37" s="66"/>
      <c r="K37" s="67" t="s">
        <v>35</v>
      </c>
      <c r="L37" s="62">
        <f>(E37*E29)+(F37*F29)+(G37*G29)+(H37*H29)+(I37*I29)+(J37*J29)</f>
        <v>0</v>
      </c>
      <c r="M37" s="57" t="s">
        <v>36</v>
      </c>
      <c r="N37" s="63" t="b">
        <v>0</v>
      </c>
    </row>
    <row r="38" ht="13.5" customHeight="1">
      <c r="A38" s="46" t="s">
        <v>43</v>
      </c>
      <c r="B38" s="69" t="str">
        <f>IFS(L38=0,"",B38&lt;&gt;"",B38,TRUE,NOW())</f>
        <v/>
      </c>
      <c r="C38" s="70" t="s">
        <v>37</v>
      </c>
      <c r="D38" s="33"/>
      <c r="E38" s="71"/>
      <c r="F38" s="71"/>
      <c r="G38" s="71"/>
      <c r="H38" s="71"/>
      <c r="I38" s="71"/>
      <c r="J38" s="71"/>
      <c r="K38" s="72" t="s">
        <v>38</v>
      </c>
      <c r="L38" s="73">
        <f>L37-L36</f>
        <v>0</v>
      </c>
      <c r="M38" s="74" t="s">
        <v>39</v>
      </c>
      <c r="N38" s="75" t="b">
        <v>0</v>
      </c>
    </row>
    <row r="39" ht="13.5" customHeight="1">
      <c r="A39" s="64"/>
      <c r="B39" s="52" t="s">
        <v>51</v>
      </c>
      <c r="C39" s="53" t="s">
        <v>27</v>
      </c>
      <c r="D39" s="54"/>
      <c r="E39" s="55">
        <f t="shared" ref="E39:J39" si="9">E37-E40</f>
        <v>0</v>
      </c>
      <c r="F39" s="55">
        <f t="shared" si="9"/>
        <v>0</v>
      </c>
      <c r="G39" s="55">
        <f t="shared" si="9"/>
        <v>0</v>
      </c>
      <c r="H39" s="55">
        <f t="shared" si="9"/>
        <v>0</v>
      </c>
      <c r="I39" s="55">
        <f t="shared" si="9"/>
        <v>0</v>
      </c>
      <c r="J39" s="55">
        <f t="shared" si="9"/>
        <v>0</v>
      </c>
      <c r="K39" s="56"/>
      <c r="L39" s="30"/>
      <c r="M39" s="57" t="s">
        <v>28</v>
      </c>
      <c r="N39" s="58" t="b">
        <v>0</v>
      </c>
    </row>
    <row r="40" ht="13.5" customHeight="1">
      <c r="A40" s="46" t="s">
        <v>45</v>
      </c>
      <c r="B40" s="59"/>
      <c r="C40" s="53" t="s">
        <v>30</v>
      </c>
      <c r="D40" s="54"/>
      <c r="E40" s="60"/>
      <c r="F40" s="60"/>
      <c r="G40" s="60"/>
      <c r="H40" s="60"/>
      <c r="I40" s="60"/>
      <c r="J40" s="60"/>
      <c r="K40" s="61" t="s">
        <v>30</v>
      </c>
      <c r="L40" s="62">
        <f>(E40*E29)+(F40*F29)+(G40*G29)+(H40*H29)+(I40*I29)+(J40*J29)</f>
        <v>0</v>
      </c>
      <c r="M40" s="57" t="s">
        <v>31</v>
      </c>
      <c r="N40" s="63" t="b">
        <v>0</v>
      </c>
    </row>
    <row r="41" ht="15.0" customHeight="1">
      <c r="A41" s="77"/>
      <c r="B41" s="65" t="s">
        <v>47</v>
      </c>
      <c r="C41" s="53" t="s">
        <v>34</v>
      </c>
      <c r="D41" s="54"/>
      <c r="E41" s="66"/>
      <c r="F41" s="66"/>
      <c r="G41" s="66"/>
      <c r="H41" s="66"/>
      <c r="I41" s="66"/>
      <c r="J41" s="66"/>
      <c r="K41" s="67" t="s">
        <v>35</v>
      </c>
      <c r="L41" s="62">
        <f>(E41*E29)+(F41*F29)+(G41*G29)+(H41*H29)+(I41*I29)+(J41*J29)</f>
        <v>0</v>
      </c>
      <c r="M41" s="57" t="s">
        <v>36</v>
      </c>
      <c r="N41" s="63" t="b">
        <v>0</v>
      </c>
    </row>
    <row r="42" ht="13.5" customHeight="1">
      <c r="A42" s="68"/>
      <c r="B42" s="69" t="str">
        <f>IFS(L42=0,"",B42&lt;&gt;"",B42,TRUE,NOW())</f>
        <v/>
      </c>
      <c r="C42" s="70" t="s">
        <v>37</v>
      </c>
      <c r="D42" s="33"/>
      <c r="E42" s="71"/>
      <c r="F42" s="71"/>
      <c r="G42" s="71"/>
      <c r="H42" s="71"/>
      <c r="I42" s="71"/>
      <c r="J42" s="71"/>
      <c r="K42" s="72" t="s">
        <v>38</v>
      </c>
      <c r="L42" s="73">
        <f>L41-L40</f>
        <v>0</v>
      </c>
      <c r="M42" s="74" t="s">
        <v>39</v>
      </c>
      <c r="N42" s="75" t="b">
        <v>0</v>
      </c>
    </row>
    <row r="43" ht="13.5" customHeight="1">
      <c r="A43" s="78" t="s">
        <v>48</v>
      </c>
      <c r="B43" s="52" t="s">
        <v>51</v>
      </c>
      <c r="C43" s="53" t="s">
        <v>27</v>
      </c>
      <c r="D43" s="54"/>
      <c r="E43" s="55">
        <f t="shared" ref="E43:J43" si="10">E41-E44</f>
        <v>0</v>
      </c>
      <c r="F43" s="55">
        <f t="shared" si="10"/>
        <v>0</v>
      </c>
      <c r="G43" s="55">
        <f t="shared" si="10"/>
        <v>0</v>
      </c>
      <c r="H43" s="55">
        <f t="shared" si="10"/>
        <v>0</v>
      </c>
      <c r="I43" s="55">
        <f t="shared" si="10"/>
        <v>0</v>
      </c>
      <c r="J43" s="55">
        <f t="shared" si="10"/>
        <v>0</v>
      </c>
      <c r="K43" s="56"/>
      <c r="L43" s="30"/>
      <c r="M43" s="57" t="s">
        <v>28</v>
      </c>
      <c r="N43" s="58" t="b">
        <v>0</v>
      </c>
    </row>
    <row r="44" ht="13.5" customHeight="1">
      <c r="A44" s="87"/>
      <c r="B44" s="59"/>
      <c r="C44" s="53" t="s">
        <v>30</v>
      </c>
      <c r="D44" s="54"/>
      <c r="E44" s="60"/>
      <c r="F44" s="60"/>
      <c r="G44" s="60"/>
      <c r="H44" s="60"/>
      <c r="I44" s="60"/>
      <c r="J44" s="60"/>
      <c r="K44" s="61" t="s">
        <v>30</v>
      </c>
      <c r="L44" s="62">
        <f>(E44*E29)+(F44*F29)+(G44*G29)+(H44*H29)+(I44*I29)+(J44*J29)</f>
        <v>0</v>
      </c>
      <c r="M44" s="57" t="s">
        <v>31</v>
      </c>
      <c r="N44" s="63" t="b">
        <v>0</v>
      </c>
    </row>
    <row r="45" ht="13.5" customHeight="1">
      <c r="A45" s="68"/>
      <c r="B45" s="65" t="s">
        <v>49</v>
      </c>
      <c r="C45" s="53" t="s">
        <v>34</v>
      </c>
      <c r="D45" s="54"/>
      <c r="E45" s="66"/>
      <c r="F45" s="66"/>
      <c r="G45" s="66"/>
      <c r="H45" s="66"/>
      <c r="I45" s="66"/>
      <c r="J45" s="66"/>
      <c r="K45" s="67" t="s">
        <v>35</v>
      </c>
      <c r="L45" s="62">
        <f>(E45*E29)+(F45*F29)+(G45*G29)+(H45*H29)+(I45*I29)+(J45*J29)</f>
        <v>0</v>
      </c>
      <c r="M45" s="57" t="s">
        <v>36</v>
      </c>
      <c r="N45" s="63" t="b">
        <v>0</v>
      </c>
    </row>
    <row r="46" ht="15.0" customHeight="1">
      <c r="A46" s="80"/>
      <c r="B46" s="69" t="str">
        <f>IFS(L46=0,"",B46&lt;&gt;"",B46,TRUE,NOW())</f>
        <v/>
      </c>
      <c r="C46" s="53" t="s">
        <v>37</v>
      </c>
      <c r="D46" s="54"/>
      <c r="E46" s="81"/>
      <c r="F46" s="81"/>
      <c r="G46" s="81"/>
      <c r="H46" s="82"/>
      <c r="I46" s="81"/>
      <c r="J46" s="81"/>
      <c r="K46" s="72" t="s">
        <v>38</v>
      </c>
      <c r="L46" s="73">
        <f>L45-L44</f>
        <v>0</v>
      </c>
      <c r="M46" s="74" t="s">
        <v>39</v>
      </c>
      <c r="N46" s="75" t="b">
        <v>0</v>
      </c>
    </row>
    <row r="47" ht="13.5" customHeight="1">
      <c r="A47" s="83" t="s">
        <v>56</v>
      </c>
      <c r="B47" s="42" t="s">
        <v>20</v>
      </c>
      <c r="C47" s="24"/>
      <c r="D47" s="33"/>
      <c r="E47" s="43">
        <f t="shared" ref="E47:J47" si="11">E6</f>
        <v>17</v>
      </c>
      <c r="F47" s="43">
        <f t="shared" si="11"/>
        <v>27</v>
      </c>
      <c r="G47" s="43">
        <f t="shared" si="11"/>
        <v>27</v>
      </c>
      <c r="H47" s="43">
        <f t="shared" si="11"/>
        <v>27</v>
      </c>
      <c r="I47" s="43">
        <f t="shared" si="11"/>
        <v>32</v>
      </c>
      <c r="J47" s="44">
        <f t="shared" si="11"/>
        <v>37</v>
      </c>
      <c r="K47" s="42" t="s">
        <v>21</v>
      </c>
      <c r="L47" s="25"/>
      <c r="M47" s="45" t="s">
        <v>22</v>
      </c>
      <c r="N47" s="25"/>
    </row>
    <row r="48" ht="13.5" customHeight="1">
      <c r="A48" s="46" t="s">
        <v>23</v>
      </c>
      <c r="B48" s="47" t="s">
        <v>24</v>
      </c>
      <c r="C48" s="32" t="s">
        <v>25</v>
      </c>
      <c r="D48" s="33"/>
      <c r="E48" s="48"/>
      <c r="F48" s="48"/>
      <c r="G48" s="48"/>
      <c r="H48" s="48"/>
      <c r="I48" s="48"/>
      <c r="J48" s="48"/>
      <c r="K48" s="49"/>
      <c r="L48" s="25"/>
      <c r="M48" s="50"/>
      <c r="N48" s="10"/>
    </row>
    <row r="49" ht="13.5" customHeight="1">
      <c r="A49" s="92"/>
      <c r="B49" s="52" t="s">
        <v>57</v>
      </c>
      <c r="C49" s="53" t="s">
        <v>27</v>
      </c>
      <c r="D49" s="54"/>
      <c r="E49" s="55">
        <f t="shared" ref="E49:J49" si="12">E48-E50</f>
        <v>0</v>
      </c>
      <c r="F49" s="55">
        <f t="shared" si="12"/>
        <v>-2</v>
      </c>
      <c r="G49" s="55">
        <f t="shared" si="12"/>
        <v>0</v>
      </c>
      <c r="H49" s="55">
        <f t="shared" si="12"/>
        <v>-1</v>
      </c>
      <c r="I49" s="55">
        <f t="shared" si="12"/>
        <v>0</v>
      </c>
      <c r="J49" s="55">
        <f t="shared" si="12"/>
        <v>-3</v>
      </c>
      <c r="K49" s="56"/>
      <c r="L49" s="30"/>
      <c r="M49" s="57" t="s">
        <v>28</v>
      </c>
      <c r="N49" s="58" t="b">
        <v>0</v>
      </c>
    </row>
    <row r="50" ht="13.5" customHeight="1">
      <c r="A50" s="46" t="s">
        <v>29</v>
      </c>
      <c r="B50" s="59"/>
      <c r="C50" s="53" t="s">
        <v>30</v>
      </c>
      <c r="D50" s="54"/>
      <c r="E50" s="60"/>
      <c r="F50" s="84">
        <v>2.0</v>
      </c>
      <c r="G50" s="60"/>
      <c r="H50" s="84">
        <v>1.0</v>
      </c>
      <c r="I50" s="60"/>
      <c r="J50" s="84">
        <v>3.0</v>
      </c>
      <c r="K50" s="61" t="s">
        <v>30</v>
      </c>
      <c r="L50" s="62">
        <f>(E50*E47)+(F50*F47)+(G50*G47)+(H50*H47)+(I50*I47)+(J50*J47)</f>
        <v>192</v>
      </c>
      <c r="M50" s="57" t="s">
        <v>31</v>
      </c>
      <c r="N50" s="63" t="b">
        <v>0</v>
      </c>
    </row>
    <row r="51" ht="13.5" customHeight="1">
      <c r="A51" s="64" t="s">
        <v>181</v>
      </c>
      <c r="B51" s="65" t="s">
        <v>33</v>
      </c>
      <c r="C51" s="53" t="s">
        <v>34</v>
      </c>
      <c r="D51" s="54"/>
      <c r="E51" s="66"/>
      <c r="F51" s="76">
        <v>5.0</v>
      </c>
      <c r="G51" s="76">
        <v>5.0</v>
      </c>
      <c r="H51" s="76">
        <v>2.0</v>
      </c>
      <c r="I51" s="76">
        <v>2.0</v>
      </c>
      <c r="J51" s="76">
        <v>5.0</v>
      </c>
      <c r="K51" s="67" t="s">
        <v>35</v>
      </c>
      <c r="L51" s="62">
        <f>(E51*E47)+(F51*F47)+(G51*G47)+(H51*H47)+(I51*I47)+(J51*J47)</f>
        <v>573</v>
      </c>
      <c r="M51" s="57" t="s">
        <v>36</v>
      </c>
      <c r="N51" s="63" t="b">
        <v>0</v>
      </c>
    </row>
    <row r="52" ht="13.5" customHeight="1">
      <c r="A52" s="68"/>
      <c r="B52" s="69">
        <f>IFS(L52=0,"",B52&lt;&gt;"",B52,TRUE,NOW())</f>
        <v>0</v>
      </c>
      <c r="C52" s="70" t="s">
        <v>37</v>
      </c>
      <c r="D52" s="33"/>
      <c r="E52" s="71"/>
      <c r="F52" s="71"/>
      <c r="G52" s="71"/>
      <c r="H52" s="71"/>
      <c r="I52" s="71"/>
      <c r="J52" s="71"/>
      <c r="K52" s="72" t="s">
        <v>38</v>
      </c>
      <c r="L52" s="73">
        <f>L51-L50</f>
        <v>381</v>
      </c>
      <c r="M52" s="74" t="s">
        <v>39</v>
      </c>
      <c r="N52" s="75" t="b">
        <v>0</v>
      </c>
    </row>
    <row r="53" ht="15.0" customHeight="1">
      <c r="A53" s="46" t="s">
        <v>40</v>
      </c>
      <c r="B53" s="52" t="s">
        <v>57</v>
      </c>
      <c r="C53" s="53" t="s">
        <v>27</v>
      </c>
      <c r="D53" s="54"/>
      <c r="E53" s="55">
        <f t="shared" ref="E53:J53" si="13">E51-E54</f>
        <v>0</v>
      </c>
      <c r="F53" s="55">
        <f t="shared" si="13"/>
        <v>5</v>
      </c>
      <c r="G53" s="55">
        <f t="shared" si="13"/>
        <v>5</v>
      </c>
      <c r="H53" s="55">
        <f t="shared" si="13"/>
        <v>2</v>
      </c>
      <c r="I53" s="55">
        <f t="shared" si="13"/>
        <v>2</v>
      </c>
      <c r="J53" s="55">
        <f t="shared" si="13"/>
        <v>5</v>
      </c>
      <c r="K53" s="56"/>
      <c r="L53" s="30"/>
      <c r="M53" s="57" t="s">
        <v>28</v>
      </c>
      <c r="N53" s="58" t="b">
        <v>0</v>
      </c>
    </row>
    <row r="54" ht="13.5" customHeight="1">
      <c r="A54" s="64"/>
      <c r="B54" s="59"/>
      <c r="C54" s="53" t="s">
        <v>30</v>
      </c>
      <c r="D54" s="54"/>
      <c r="E54" s="60"/>
      <c r="F54" s="60"/>
      <c r="G54" s="84"/>
      <c r="H54" s="60"/>
      <c r="I54" s="60"/>
      <c r="J54" s="84"/>
      <c r="K54" s="61" t="s">
        <v>30</v>
      </c>
      <c r="L54" s="62">
        <f>(E54*E47)+(F54*F47)+(G54*G47)+(H54*H47)+(I54*I47)+(J54*J47)</f>
        <v>0</v>
      </c>
      <c r="M54" s="57" t="s">
        <v>31</v>
      </c>
      <c r="N54" s="63" t="b">
        <v>0</v>
      </c>
    </row>
    <row r="55" ht="13.5" customHeight="1">
      <c r="A55" s="68"/>
      <c r="B55" s="65" t="s">
        <v>42</v>
      </c>
      <c r="C55" s="53" t="s">
        <v>34</v>
      </c>
      <c r="D55" s="54"/>
      <c r="E55" s="66"/>
      <c r="F55" s="66"/>
      <c r="G55" s="76"/>
      <c r="H55" s="66"/>
      <c r="I55" s="66"/>
      <c r="J55" s="76"/>
      <c r="K55" s="67" t="s">
        <v>35</v>
      </c>
      <c r="L55" s="62">
        <f>(E55*E47)+(F55*F47)+(G55*G47)+(H55*H47)+(I55*I47)+(J55*J47)</f>
        <v>0</v>
      </c>
      <c r="M55" s="57" t="s">
        <v>36</v>
      </c>
      <c r="N55" s="63" t="b">
        <v>0</v>
      </c>
    </row>
    <row r="56" ht="13.5" customHeight="1">
      <c r="A56" s="46" t="s">
        <v>43</v>
      </c>
      <c r="B56" s="69" t="str">
        <f>IFS(L56=0,"",B56&lt;&gt;"",B56,TRUE,NOW())</f>
        <v/>
      </c>
      <c r="C56" s="70" t="s">
        <v>37</v>
      </c>
      <c r="D56" s="33"/>
      <c r="E56" s="71"/>
      <c r="F56" s="71"/>
      <c r="G56" s="71"/>
      <c r="H56" s="71"/>
      <c r="I56" s="71"/>
      <c r="J56" s="71"/>
      <c r="K56" s="72" t="s">
        <v>38</v>
      </c>
      <c r="L56" s="73">
        <f>L55-L54</f>
        <v>0</v>
      </c>
      <c r="M56" s="74" t="s">
        <v>39</v>
      </c>
      <c r="N56" s="75" t="b">
        <v>0</v>
      </c>
    </row>
    <row r="57" ht="13.5" customHeight="1">
      <c r="A57" s="64"/>
      <c r="B57" s="52" t="s">
        <v>57</v>
      </c>
      <c r="C57" s="53" t="s">
        <v>27</v>
      </c>
      <c r="D57" s="54"/>
      <c r="E57" s="55">
        <f t="shared" ref="E57:J57" si="14">E55-E58</f>
        <v>0</v>
      </c>
      <c r="F57" s="55">
        <f t="shared" si="14"/>
        <v>0</v>
      </c>
      <c r="G57" s="55">
        <f t="shared" si="14"/>
        <v>0</v>
      </c>
      <c r="H57" s="55">
        <f t="shared" si="14"/>
        <v>0</v>
      </c>
      <c r="I57" s="55">
        <f t="shared" si="14"/>
        <v>0</v>
      </c>
      <c r="J57" s="55">
        <f t="shared" si="14"/>
        <v>0</v>
      </c>
      <c r="K57" s="56"/>
      <c r="L57" s="30"/>
      <c r="M57" s="57" t="s">
        <v>28</v>
      </c>
      <c r="N57" s="58" t="b">
        <v>0</v>
      </c>
    </row>
    <row r="58" ht="15.0" customHeight="1">
      <c r="A58" s="46" t="s">
        <v>45</v>
      </c>
      <c r="B58" s="59"/>
      <c r="C58" s="53" t="s">
        <v>30</v>
      </c>
      <c r="D58" s="54"/>
      <c r="E58" s="60"/>
      <c r="F58" s="60"/>
      <c r="G58" s="60"/>
      <c r="H58" s="60"/>
      <c r="I58" s="60"/>
      <c r="J58" s="60"/>
      <c r="K58" s="61" t="s">
        <v>30</v>
      </c>
      <c r="L58" s="62">
        <f>(E58*E47)+(F58*F47)+(G58*G47)+(H58*H47)+(I58*I47)+(J58*J47)</f>
        <v>0</v>
      </c>
      <c r="M58" s="57" t="s">
        <v>31</v>
      </c>
      <c r="N58" s="63" t="b">
        <v>0</v>
      </c>
    </row>
    <row r="59" ht="13.5" customHeight="1">
      <c r="A59" s="77"/>
      <c r="B59" s="65" t="s">
        <v>47</v>
      </c>
      <c r="C59" s="53" t="s">
        <v>34</v>
      </c>
      <c r="D59" s="54"/>
      <c r="E59" s="66"/>
      <c r="F59" s="66"/>
      <c r="G59" s="66"/>
      <c r="H59" s="66"/>
      <c r="I59" s="66"/>
      <c r="J59" s="66"/>
      <c r="K59" s="67" t="s">
        <v>35</v>
      </c>
      <c r="L59" s="62">
        <f>(E59*E47)+(F59*F47)+(G59*G47)+(H59*H47)+(I59*I47)+(J59*J47)</f>
        <v>0</v>
      </c>
      <c r="M59" s="57" t="s">
        <v>36</v>
      </c>
      <c r="N59" s="63" t="b">
        <v>0</v>
      </c>
    </row>
    <row r="60" ht="13.5" customHeight="1">
      <c r="A60" s="68"/>
      <c r="B60" s="69" t="str">
        <f>IFS(L60=0,"",B60&lt;&gt;"",B60,TRUE,NOW())</f>
        <v/>
      </c>
      <c r="C60" s="70" t="s">
        <v>37</v>
      </c>
      <c r="D60" s="33"/>
      <c r="E60" s="71"/>
      <c r="F60" s="71"/>
      <c r="G60" s="71"/>
      <c r="H60" s="71"/>
      <c r="I60" s="71"/>
      <c r="J60" s="71"/>
      <c r="K60" s="72" t="s">
        <v>38</v>
      </c>
      <c r="L60" s="73">
        <f>L59-L58</f>
        <v>0</v>
      </c>
      <c r="M60" s="74" t="s">
        <v>39</v>
      </c>
      <c r="N60" s="75" t="b">
        <v>0</v>
      </c>
    </row>
    <row r="61" ht="13.5" customHeight="1">
      <c r="A61" s="78" t="s">
        <v>48</v>
      </c>
      <c r="B61" s="52" t="s">
        <v>57</v>
      </c>
      <c r="C61" s="53" t="s">
        <v>27</v>
      </c>
      <c r="D61" s="54"/>
      <c r="E61" s="55">
        <f t="shared" ref="E61:J61" si="15">E59-E62</f>
        <v>0</v>
      </c>
      <c r="F61" s="55">
        <f t="shared" si="15"/>
        <v>0</v>
      </c>
      <c r="G61" s="55">
        <f t="shared" si="15"/>
        <v>0</v>
      </c>
      <c r="H61" s="55">
        <f t="shared" si="15"/>
        <v>0</v>
      </c>
      <c r="I61" s="55">
        <f t="shared" si="15"/>
        <v>0</v>
      </c>
      <c r="J61" s="55">
        <f t="shared" si="15"/>
        <v>0</v>
      </c>
      <c r="K61" s="56"/>
      <c r="L61" s="30"/>
      <c r="M61" s="57" t="s">
        <v>28</v>
      </c>
      <c r="N61" s="58" t="b">
        <v>0</v>
      </c>
    </row>
    <row r="62" ht="13.5" customHeight="1">
      <c r="A62" s="87"/>
      <c r="B62" s="59"/>
      <c r="C62" s="53" t="s">
        <v>30</v>
      </c>
      <c r="D62" s="54"/>
      <c r="E62" s="60"/>
      <c r="F62" s="60"/>
      <c r="G62" s="60"/>
      <c r="H62" s="60"/>
      <c r="I62" s="60"/>
      <c r="J62" s="60"/>
      <c r="K62" s="61" t="s">
        <v>30</v>
      </c>
      <c r="L62" s="62">
        <f>(E62*E47)+(F62*F47)+(G62*G47)+(H62*H47)+(I62*I47)+(J62*J47)</f>
        <v>0</v>
      </c>
      <c r="M62" s="57" t="s">
        <v>31</v>
      </c>
      <c r="N62" s="63" t="b">
        <v>0</v>
      </c>
    </row>
    <row r="63" ht="15.0" customHeight="1">
      <c r="A63" s="68"/>
      <c r="B63" s="65" t="s">
        <v>49</v>
      </c>
      <c r="C63" s="53" t="s">
        <v>34</v>
      </c>
      <c r="D63" s="54"/>
      <c r="E63" s="66"/>
      <c r="F63" s="66"/>
      <c r="G63" s="66"/>
      <c r="H63" s="66"/>
      <c r="I63" s="66"/>
      <c r="J63" s="66"/>
      <c r="K63" s="67" t="s">
        <v>35</v>
      </c>
      <c r="L63" s="62">
        <f>(E63*E47)+(F63*F47)+(G63*G47)+(H63*H47)+(I63*I47)+(J63*J47)</f>
        <v>0</v>
      </c>
      <c r="M63" s="57" t="s">
        <v>36</v>
      </c>
      <c r="N63" s="63" t="b">
        <v>0</v>
      </c>
    </row>
    <row r="64" ht="13.5" customHeight="1">
      <c r="A64" s="80"/>
      <c r="B64" s="69" t="str">
        <f>IFS(L64=0,"",B64&lt;&gt;"",B64,TRUE,NOW())</f>
        <v/>
      </c>
      <c r="C64" s="53" t="s">
        <v>37</v>
      </c>
      <c r="D64" s="54"/>
      <c r="E64" s="81"/>
      <c r="F64" s="81"/>
      <c r="G64" s="81"/>
      <c r="H64" s="82"/>
      <c r="I64" s="81"/>
      <c r="J64" s="81"/>
      <c r="K64" s="72" t="s">
        <v>38</v>
      </c>
      <c r="L64" s="73">
        <f>L63-L62</f>
        <v>0</v>
      </c>
      <c r="M64" s="74" t="s">
        <v>39</v>
      </c>
      <c r="N64" s="75" t="b">
        <v>0</v>
      </c>
    </row>
    <row r="65" ht="13.5" customHeight="1">
      <c r="A65" s="83" t="s">
        <v>62</v>
      </c>
      <c r="B65" s="42" t="s">
        <v>20</v>
      </c>
      <c r="C65" s="24"/>
      <c r="D65" s="33"/>
      <c r="E65" s="43">
        <f t="shared" ref="E65:J65" si="16">E6</f>
        <v>17</v>
      </c>
      <c r="F65" s="43">
        <f t="shared" si="16"/>
        <v>27</v>
      </c>
      <c r="G65" s="43">
        <f t="shared" si="16"/>
        <v>27</v>
      </c>
      <c r="H65" s="43">
        <f t="shared" si="16"/>
        <v>27</v>
      </c>
      <c r="I65" s="43">
        <f t="shared" si="16"/>
        <v>32</v>
      </c>
      <c r="J65" s="44">
        <f t="shared" si="16"/>
        <v>37</v>
      </c>
      <c r="K65" s="42" t="s">
        <v>21</v>
      </c>
      <c r="L65" s="25"/>
      <c r="M65" s="45" t="s">
        <v>22</v>
      </c>
      <c r="N65" s="25"/>
    </row>
    <row r="66" ht="13.5" customHeight="1">
      <c r="A66" s="46" t="s">
        <v>23</v>
      </c>
      <c r="B66" s="47" t="s">
        <v>24</v>
      </c>
      <c r="C66" s="32" t="s">
        <v>25</v>
      </c>
      <c r="D66" s="33"/>
      <c r="E66" s="48"/>
      <c r="F66" s="48"/>
      <c r="G66" s="48"/>
      <c r="H66" s="48"/>
      <c r="I66" s="48"/>
      <c r="J66" s="48"/>
      <c r="K66" s="49"/>
      <c r="L66" s="25"/>
      <c r="M66" s="50"/>
      <c r="N66" s="10"/>
    </row>
    <row r="67" ht="13.5" customHeight="1">
      <c r="A67" s="92"/>
      <c r="B67" s="52" t="s">
        <v>63</v>
      </c>
      <c r="C67" s="53" t="s">
        <v>27</v>
      </c>
      <c r="D67" s="54"/>
      <c r="E67" s="55">
        <f t="shared" ref="E67:J67" si="17">E66-E68</f>
        <v>0</v>
      </c>
      <c r="F67" s="55">
        <f t="shared" si="17"/>
        <v>0</v>
      </c>
      <c r="G67" s="55">
        <f t="shared" si="17"/>
        <v>0</v>
      </c>
      <c r="H67" s="55">
        <f t="shared" si="17"/>
        <v>0</v>
      </c>
      <c r="I67" s="55">
        <f t="shared" si="17"/>
        <v>-1</v>
      </c>
      <c r="J67" s="55">
        <f t="shared" si="17"/>
        <v>0</v>
      </c>
      <c r="K67" s="56"/>
      <c r="L67" s="30"/>
      <c r="M67" s="57" t="s">
        <v>28</v>
      </c>
      <c r="N67" s="58" t="b">
        <v>0</v>
      </c>
    </row>
    <row r="68" ht="15.0" customHeight="1">
      <c r="A68" s="46" t="s">
        <v>29</v>
      </c>
      <c r="B68" s="59"/>
      <c r="C68" s="53" t="s">
        <v>30</v>
      </c>
      <c r="D68" s="54"/>
      <c r="E68" s="60"/>
      <c r="F68" s="60"/>
      <c r="G68" s="60"/>
      <c r="H68" s="60"/>
      <c r="I68" s="84">
        <v>1.0</v>
      </c>
      <c r="J68" s="60"/>
      <c r="K68" s="61" t="s">
        <v>30</v>
      </c>
      <c r="L68" s="62">
        <f>(E68*E65)+(F68*F65)+(G68*G65)+(H68*H65)+(I68*I65)+(J68*J65)</f>
        <v>32</v>
      </c>
      <c r="M68" s="57" t="s">
        <v>31</v>
      </c>
      <c r="N68" s="63" t="b">
        <v>0</v>
      </c>
    </row>
    <row r="69" ht="13.5" customHeight="1">
      <c r="A69" s="64" t="s">
        <v>182</v>
      </c>
      <c r="B69" s="65" t="s">
        <v>33</v>
      </c>
      <c r="C69" s="53" t="s">
        <v>34</v>
      </c>
      <c r="D69" s="54"/>
      <c r="E69" s="66"/>
      <c r="F69" s="66"/>
      <c r="G69" s="76">
        <v>3.0</v>
      </c>
      <c r="H69" s="66"/>
      <c r="I69" s="76">
        <v>4.0</v>
      </c>
      <c r="J69" s="76">
        <v>4.0</v>
      </c>
      <c r="K69" s="67" t="s">
        <v>35</v>
      </c>
      <c r="L69" s="62">
        <f>(E69*E65)+(F69*F65)+(G69*G65)+(H69*H65)+(I69*I65)+(J69*J65)</f>
        <v>357</v>
      </c>
      <c r="M69" s="57" t="s">
        <v>36</v>
      </c>
      <c r="N69" s="63" t="b">
        <v>0</v>
      </c>
    </row>
    <row r="70" ht="13.5" customHeight="1">
      <c r="A70" s="68"/>
      <c r="B70" s="69">
        <f>IFS(L70=0,"",B70&lt;&gt;"",B70,TRUE,NOW())</f>
        <v>0</v>
      </c>
      <c r="C70" s="70" t="s">
        <v>37</v>
      </c>
      <c r="D70" s="33"/>
      <c r="E70" s="71"/>
      <c r="F70" s="71"/>
      <c r="G70" s="71"/>
      <c r="H70" s="71"/>
      <c r="I70" s="71"/>
      <c r="J70" s="71"/>
      <c r="K70" s="72" t="s">
        <v>38</v>
      </c>
      <c r="L70" s="73">
        <f>L69-L68</f>
        <v>325</v>
      </c>
      <c r="M70" s="74" t="s">
        <v>39</v>
      </c>
      <c r="N70" s="75" t="b">
        <v>0</v>
      </c>
    </row>
    <row r="71" ht="13.5" customHeight="1">
      <c r="A71" s="46" t="s">
        <v>40</v>
      </c>
      <c r="B71" s="52" t="s">
        <v>63</v>
      </c>
      <c r="C71" s="53" t="s">
        <v>27</v>
      </c>
      <c r="D71" s="54"/>
      <c r="E71" s="55">
        <f t="shared" ref="E71:J71" si="18">E69-E72</f>
        <v>0</v>
      </c>
      <c r="F71" s="55">
        <f t="shared" si="18"/>
        <v>0</v>
      </c>
      <c r="G71" s="55">
        <f t="shared" si="18"/>
        <v>3</v>
      </c>
      <c r="H71" s="55">
        <f t="shared" si="18"/>
        <v>0</v>
      </c>
      <c r="I71" s="55">
        <f t="shared" si="18"/>
        <v>4</v>
      </c>
      <c r="J71" s="55">
        <f t="shared" si="18"/>
        <v>4</v>
      </c>
      <c r="K71" s="56"/>
      <c r="L71" s="30"/>
      <c r="M71" s="57" t="s">
        <v>28</v>
      </c>
      <c r="N71" s="58" t="b">
        <v>0</v>
      </c>
    </row>
    <row r="72" ht="13.5" customHeight="1">
      <c r="A72" s="64"/>
      <c r="B72" s="59"/>
      <c r="C72" s="53" t="s">
        <v>30</v>
      </c>
      <c r="D72" s="54"/>
      <c r="E72" s="60"/>
      <c r="F72" s="60"/>
      <c r="G72" s="60"/>
      <c r="H72" s="84"/>
      <c r="I72" s="60"/>
      <c r="J72" s="60"/>
      <c r="K72" s="61" t="s">
        <v>30</v>
      </c>
      <c r="L72" s="62">
        <f>(E72*E65)+(F72*F65)+(G72*G65)+(H72*H65)+(I72*I65)+(J72*J65)</f>
        <v>0</v>
      </c>
      <c r="M72" s="57" t="s">
        <v>31</v>
      </c>
      <c r="N72" s="63" t="b">
        <v>0</v>
      </c>
    </row>
    <row r="73" ht="13.5" customHeight="1">
      <c r="A73" s="68"/>
      <c r="B73" s="65" t="s">
        <v>42</v>
      </c>
      <c r="C73" s="53" t="s">
        <v>34</v>
      </c>
      <c r="D73" s="54"/>
      <c r="E73" s="66"/>
      <c r="F73" s="66"/>
      <c r="G73" s="76"/>
      <c r="H73" s="76"/>
      <c r="I73" s="76"/>
      <c r="J73" s="76"/>
      <c r="K73" s="67" t="s">
        <v>35</v>
      </c>
      <c r="L73" s="62">
        <f>(E73*E65)+(F73*F65)+(G73*G65)+(H73*H65)+(I73*I65)+(J73*J65)</f>
        <v>0</v>
      </c>
      <c r="M73" s="57" t="s">
        <v>36</v>
      </c>
      <c r="N73" s="63" t="b">
        <v>0</v>
      </c>
    </row>
    <row r="74" ht="13.5" customHeight="1">
      <c r="A74" s="46" t="s">
        <v>43</v>
      </c>
      <c r="B74" s="69" t="str">
        <f>IFS(L74=0,"",B74&lt;&gt;"",B74,TRUE,NOW())</f>
        <v/>
      </c>
      <c r="C74" s="70" t="s">
        <v>37</v>
      </c>
      <c r="D74" s="33"/>
      <c r="E74" s="71"/>
      <c r="F74" s="71"/>
      <c r="G74" s="71"/>
      <c r="H74" s="71"/>
      <c r="I74" s="71"/>
      <c r="J74" s="71"/>
      <c r="K74" s="72" t="s">
        <v>38</v>
      </c>
      <c r="L74" s="73">
        <f>L73-L72</f>
        <v>0</v>
      </c>
      <c r="M74" s="74" t="s">
        <v>39</v>
      </c>
      <c r="N74" s="75" t="b">
        <v>0</v>
      </c>
    </row>
    <row r="75" ht="15.0" customHeight="1">
      <c r="A75" s="64"/>
      <c r="B75" s="52" t="s">
        <v>63</v>
      </c>
      <c r="C75" s="53" t="s">
        <v>27</v>
      </c>
      <c r="D75" s="54"/>
      <c r="E75" s="55">
        <f t="shared" ref="E75:J75" si="19">E73-E76</f>
        <v>0</v>
      </c>
      <c r="F75" s="55">
        <f t="shared" si="19"/>
        <v>0</v>
      </c>
      <c r="G75" s="55">
        <f t="shared" si="19"/>
        <v>0</v>
      </c>
      <c r="H75" s="55">
        <f t="shared" si="19"/>
        <v>0</v>
      </c>
      <c r="I75" s="55">
        <f t="shared" si="19"/>
        <v>0</v>
      </c>
      <c r="J75" s="55">
        <f t="shared" si="19"/>
        <v>0</v>
      </c>
      <c r="K75" s="56"/>
      <c r="L75" s="30"/>
      <c r="M75" s="57" t="s">
        <v>28</v>
      </c>
      <c r="N75" s="58" t="b">
        <v>0</v>
      </c>
    </row>
    <row r="76" ht="13.5" customHeight="1">
      <c r="A76" s="46" t="s">
        <v>45</v>
      </c>
      <c r="B76" s="59"/>
      <c r="C76" s="53" t="s">
        <v>30</v>
      </c>
      <c r="D76" s="54"/>
      <c r="E76" s="60"/>
      <c r="F76" s="60"/>
      <c r="G76" s="60"/>
      <c r="H76" s="60"/>
      <c r="I76" s="60"/>
      <c r="J76" s="60"/>
      <c r="K76" s="61" t="s">
        <v>30</v>
      </c>
      <c r="L76" s="62">
        <f>(E76*E65)+(F76*F65)+(G76*G65)+(H76*H65)+(I76*I65)+(J76*J65)</f>
        <v>0</v>
      </c>
      <c r="M76" s="57" t="s">
        <v>31</v>
      </c>
      <c r="N76" s="63" t="b">
        <v>0</v>
      </c>
    </row>
    <row r="77" ht="13.5" customHeight="1">
      <c r="A77" s="77"/>
      <c r="B77" s="65" t="s">
        <v>47</v>
      </c>
      <c r="C77" s="53" t="s">
        <v>34</v>
      </c>
      <c r="D77" s="54"/>
      <c r="E77" s="66"/>
      <c r="F77" s="66"/>
      <c r="G77" s="66"/>
      <c r="H77" s="66"/>
      <c r="I77" s="66"/>
      <c r="J77" s="66"/>
      <c r="K77" s="67" t="s">
        <v>35</v>
      </c>
      <c r="L77" s="62">
        <f>(E77*E65)+(F77*F65)+(G77*G65)+(H77*H65)+(I77*I65)+(J77*J65)</f>
        <v>0</v>
      </c>
      <c r="M77" s="57" t="s">
        <v>36</v>
      </c>
      <c r="N77" s="63" t="b">
        <v>0</v>
      </c>
    </row>
    <row r="78" ht="13.5" customHeight="1">
      <c r="A78" s="68"/>
      <c r="B78" s="69" t="str">
        <f>IFS(L78=0,"",B78&lt;&gt;"",B78,TRUE,NOW())</f>
        <v/>
      </c>
      <c r="C78" s="70" t="s">
        <v>37</v>
      </c>
      <c r="D78" s="33"/>
      <c r="E78" s="71"/>
      <c r="F78" s="71"/>
      <c r="G78" s="71"/>
      <c r="H78" s="71"/>
      <c r="I78" s="71"/>
      <c r="J78" s="71"/>
      <c r="K78" s="72" t="s">
        <v>38</v>
      </c>
      <c r="L78" s="73">
        <f>L77-L76</f>
        <v>0</v>
      </c>
      <c r="M78" s="74" t="s">
        <v>39</v>
      </c>
      <c r="N78" s="75" t="b">
        <v>0</v>
      </c>
    </row>
    <row r="79" ht="13.5" customHeight="1">
      <c r="A79" s="78" t="s">
        <v>48</v>
      </c>
      <c r="B79" s="52" t="s">
        <v>63</v>
      </c>
      <c r="C79" s="53" t="s">
        <v>27</v>
      </c>
      <c r="D79" s="54"/>
      <c r="E79" s="55">
        <f t="shared" ref="E79:J79" si="20">E77-E80</f>
        <v>0</v>
      </c>
      <c r="F79" s="55">
        <f t="shared" si="20"/>
        <v>0</v>
      </c>
      <c r="G79" s="55">
        <f t="shared" si="20"/>
        <v>0</v>
      </c>
      <c r="H79" s="55">
        <f t="shared" si="20"/>
        <v>0</v>
      </c>
      <c r="I79" s="55">
        <f t="shared" si="20"/>
        <v>0</v>
      </c>
      <c r="J79" s="55">
        <f t="shared" si="20"/>
        <v>0</v>
      </c>
      <c r="K79" s="56"/>
      <c r="L79" s="30"/>
      <c r="M79" s="57" t="s">
        <v>28</v>
      </c>
      <c r="N79" s="58" t="b">
        <v>0</v>
      </c>
    </row>
    <row r="80" ht="15.0" customHeight="1">
      <c r="A80" s="87"/>
      <c r="B80" s="59"/>
      <c r="C80" s="53" t="s">
        <v>30</v>
      </c>
      <c r="D80" s="54"/>
      <c r="E80" s="60"/>
      <c r="F80" s="60"/>
      <c r="G80" s="60"/>
      <c r="H80" s="60"/>
      <c r="I80" s="60"/>
      <c r="J80" s="60"/>
      <c r="K80" s="61" t="s">
        <v>30</v>
      </c>
      <c r="L80" s="62">
        <f>(E80*E65)+(F80*F65)+(G80*G65)+(H80*H65)+(I80*I65)+(J80*J65)</f>
        <v>0</v>
      </c>
      <c r="M80" s="57" t="s">
        <v>31</v>
      </c>
      <c r="N80" s="63" t="b">
        <v>0</v>
      </c>
    </row>
    <row r="81" ht="13.5" customHeight="1">
      <c r="A81" s="68"/>
      <c r="B81" s="65" t="s">
        <v>49</v>
      </c>
      <c r="C81" s="53" t="s">
        <v>34</v>
      </c>
      <c r="D81" s="54"/>
      <c r="E81" s="66"/>
      <c r="F81" s="66"/>
      <c r="G81" s="66"/>
      <c r="H81" s="66"/>
      <c r="I81" s="66"/>
      <c r="J81" s="66"/>
      <c r="K81" s="67" t="s">
        <v>35</v>
      </c>
      <c r="L81" s="62">
        <f>(E81*E65)+(F81*F65)+(G81*G65)+(H81*H65)+(I81*I65)+(J81*J65)</f>
        <v>0</v>
      </c>
      <c r="M81" s="57" t="s">
        <v>36</v>
      </c>
      <c r="N81" s="63" t="b">
        <v>0</v>
      </c>
    </row>
    <row r="82" ht="13.5" customHeight="1">
      <c r="A82" s="80"/>
      <c r="B82" s="69" t="str">
        <f>IFS(L82=0,"",B82&lt;&gt;"",B82,TRUE,NOW())</f>
        <v/>
      </c>
      <c r="C82" s="86" t="s">
        <v>37</v>
      </c>
      <c r="D82" s="59"/>
      <c r="E82" s="81"/>
      <c r="F82" s="81"/>
      <c r="G82" s="81"/>
      <c r="H82" s="82"/>
      <c r="I82" s="81"/>
      <c r="J82" s="81"/>
      <c r="K82" s="72" t="s">
        <v>38</v>
      </c>
      <c r="L82" s="73">
        <f>L81-L80</f>
        <v>0</v>
      </c>
      <c r="M82" s="74" t="s">
        <v>39</v>
      </c>
      <c r="N82" s="75" t="b">
        <v>0</v>
      </c>
    </row>
    <row r="83" ht="13.5" customHeight="1">
      <c r="A83" s="83" t="s">
        <v>65</v>
      </c>
      <c r="B83" s="42" t="s">
        <v>20</v>
      </c>
      <c r="C83" s="24"/>
      <c r="D83" s="33"/>
      <c r="E83" s="43">
        <f t="shared" ref="E83:J83" si="21">E6</f>
        <v>17</v>
      </c>
      <c r="F83" s="43">
        <f t="shared" si="21"/>
        <v>27</v>
      </c>
      <c r="G83" s="43">
        <f t="shared" si="21"/>
        <v>27</v>
      </c>
      <c r="H83" s="43">
        <f t="shared" si="21"/>
        <v>27</v>
      </c>
      <c r="I83" s="43">
        <f t="shared" si="21"/>
        <v>32</v>
      </c>
      <c r="J83" s="44">
        <f t="shared" si="21"/>
        <v>37</v>
      </c>
      <c r="K83" s="42" t="s">
        <v>21</v>
      </c>
      <c r="L83" s="25"/>
      <c r="M83" s="45" t="s">
        <v>22</v>
      </c>
      <c r="N83" s="25"/>
    </row>
    <row r="84" ht="13.5" customHeight="1">
      <c r="A84" s="46" t="s">
        <v>23</v>
      </c>
      <c r="B84" s="47" t="s">
        <v>24</v>
      </c>
      <c r="C84" s="32" t="s">
        <v>25</v>
      </c>
      <c r="D84" s="33"/>
      <c r="E84" s="48"/>
      <c r="F84" s="48"/>
      <c r="G84" s="48"/>
      <c r="H84" s="48"/>
      <c r="I84" s="48"/>
      <c r="J84" s="48"/>
      <c r="K84" s="49"/>
      <c r="L84" s="25"/>
      <c r="M84" s="50"/>
      <c r="N84" s="10"/>
    </row>
    <row r="85" ht="19.5" customHeight="1">
      <c r="A85" s="92"/>
      <c r="B85" s="52" t="s">
        <v>66</v>
      </c>
      <c r="C85" s="53" t="s">
        <v>27</v>
      </c>
      <c r="D85" s="54"/>
      <c r="E85" s="55">
        <f t="shared" ref="E85:J85" si="22">E84-E86</f>
        <v>0</v>
      </c>
      <c r="F85" s="55">
        <f t="shared" si="22"/>
        <v>0</v>
      </c>
      <c r="G85" s="55">
        <f t="shared" si="22"/>
        <v>0</v>
      </c>
      <c r="H85" s="55">
        <f t="shared" si="22"/>
        <v>0</v>
      </c>
      <c r="I85" s="55">
        <f t="shared" si="22"/>
        <v>-2</v>
      </c>
      <c r="J85" s="55">
        <f t="shared" si="22"/>
        <v>-2</v>
      </c>
      <c r="K85" s="56"/>
      <c r="L85" s="30"/>
      <c r="M85" s="57" t="s">
        <v>28</v>
      </c>
      <c r="N85" s="58" t="b">
        <v>0</v>
      </c>
    </row>
    <row r="86" ht="13.5" customHeight="1">
      <c r="A86" s="46" t="s">
        <v>29</v>
      </c>
      <c r="B86" s="59"/>
      <c r="C86" s="53" t="s">
        <v>30</v>
      </c>
      <c r="D86" s="54"/>
      <c r="E86" s="60"/>
      <c r="F86" s="60"/>
      <c r="G86" s="60"/>
      <c r="H86" s="60"/>
      <c r="I86" s="84">
        <v>2.0</v>
      </c>
      <c r="J86" s="84">
        <v>2.0</v>
      </c>
      <c r="K86" s="61" t="s">
        <v>30</v>
      </c>
      <c r="L86" s="62">
        <f>(E86*E83)+(F86*F83)+(G86*G83)+(H86*H83)+(I86*I83)+(J86*J83)</f>
        <v>138</v>
      </c>
      <c r="M86" s="57" t="s">
        <v>31</v>
      </c>
      <c r="N86" s="63" t="b">
        <v>0</v>
      </c>
    </row>
    <row r="87" ht="13.5" customHeight="1">
      <c r="A87" s="64" t="s">
        <v>183</v>
      </c>
      <c r="B87" s="65" t="s">
        <v>33</v>
      </c>
      <c r="C87" s="53" t="s">
        <v>34</v>
      </c>
      <c r="D87" s="54"/>
      <c r="E87" s="66"/>
      <c r="F87" s="76">
        <v>5.0</v>
      </c>
      <c r="G87" s="76">
        <v>5.0</v>
      </c>
      <c r="H87" s="76">
        <v>2.0</v>
      </c>
      <c r="I87" s="76">
        <v>2.0</v>
      </c>
      <c r="J87" s="76">
        <v>5.0</v>
      </c>
      <c r="K87" s="67" t="s">
        <v>35</v>
      </c>
      <c r="L87" s="62">
        <f>(E87*E83)+(F87*F83)+(G87*G83)+(H87*H83)+(I87*I83)+(J87*J83)</f>
        <v>573</v>
      </c>
      <c r="M87" s="57" t="s">
        <v>36</v>
      </c>
      <c r="N87" s="63" t="b">
        <v>0</v>
      </c>
    </row>
    <row r="88" ht="13.5" customHeight="1">
      <c r="A88" s="68"/>
      <c r="B88" s="69">
        <f>IFS(L88=0,"",B88&lt;&gt;"",B88,TRUE,NOW())</f>
        <v>0</v>
      </c>
      <c r="C88" s="70" t="s">
        <v>37</v>
      </c>
      <c r="D88" s="33"/>
      <c r="E88" s="71"/>
      <c r="F88" s="71"/>
      <c r="G88" s="71"/>
      <c r="H88" s="71"/>
      <c r="I88" s="71"/>
      <c r="J88" s="71"/>
      <c r="K88" s="72" t="s">
        <v>38</v>
      </c>
      <c r="L88" s="73">
        <f>L87-L86</f>
        <v>435</v>
      </c>
      <c r="M88" s="74" t="s">
        <v>39</v>
      </c>
      <c r="N88" s="75" t="b">
        <v>0</v>
      </c>
    </row>
    <row r="89" ht="13.5" customHeight="1">
      <c r="A89" s="46" t="s">
        <v>40</v>
      </c>
      <c r="B89" s="52" t="s">
        <v>66</v>
      </c>
      <c r="C89" s="53" t="s">
        <v>27</v>
      </c>
      <c r="D89" s="54"/>
      <c r="E89" s="55">
        <f t="shared" ref="E89:J89" si="23">E87-E90</f>
        <v>0</v>
      </c>
      <c r="F89" s="55">
        <f t="shared" si="23"/>
        <v>5</v>
      </c>
      <c r="G89" s="55">
        <f t="shared" si="23"/>
        <v>5</v>
      </c>
      <c r="H89" s="55">
        <f t="shared" si="23"/>
        <v>2</v>
      </c>
      <c r="I89" s="55">
        <f t="shared" si="23"/>
        <v>2</v>
      </c>
      <c r="J89" s="55">
        <f t="shared" si="23"/>
        <v>5</v>
      </c>
      <c r="K89" s="56"/>
      <c r="L89" s="30"/>
      <c r="M89" s="57" t="s">
        <v>28</v>
      </c>
      <c r="N89" s="58" t="b">
        <v>0</v>
      </c>
    </row>
    <row r="90" ht="15.0" customHeight="1">
      <c r="A90" s="64"/>
      <c r="B90" s="59"/>
      <c r="C90" s="53" t="s">
        <v>30</v>
      </c>
      <c r="D90" s="54"/>
      <c r="E90" s="60"/>
      <c r="F90" s="84"/>
      <c r="G90" s="60"/>
      <c r="H90" s="60"/>
      <c r="I90" s="84"/>
      <c r="J90" s="84"/>
      <c r="K90" s="61" t="s">
        <v>30</v>
      </c>
      <c r="L90" s="62">
        <f>(E90*E83)+(F90*F83)+(G90*G83)+(H90*H83)+(I90*I83)+(J90*J83)</f>
        <v>0</v>
      </c>
      <c r="M90" s="57" t="s">
        <v>31</v>
      </c>
      <c r="N90" s="63" t="b">
        <v>0</v>
      </c>
    </row>
    <row r="91" ht="13.5" customHeight="1">
      <c r="A91" s="68"/>
      <c r="B91" s="65" t="s">
        <v>42</v>
      </c>
      <c r="C91" s="53" t="s">
        <v>34</v>
      </c>
      <c r="D91" s="54"/>
      <c r="E91" s="66"/>
      <c r="F91" s="76"/>
      <c r="G91" s="76"/>
      <c r="H91" s="76"/>
      <c r="I91" s="76"/>
      <c r="J91" s="76"/>
      <c r="K91" s="67" t="s">
        <v>35</v>
      </c>
      <c r="L91" s="62">
        <f>(E91*E83)+(F91*F83)+(G91*G83)+(H91*H83)+(I91*I83)+(J91*J83)</f>
        <v>0</v>
      </c>
      <c r="M91" s="57" t="s">
        <v>36</v>
      </c>
      <c r="N91" s="63" t="b">
        <v>0</v>
      </c>
    </row>
    <row r="92" ht="13.5" customHeight="1">
      <c r="A92" s="46" t="s">
        <v>43</v>
      </c>
      <c r="B92" s="69" t="str">
        <f>IFS(L92=0,"",B92&lt;&gt;"",B92,TRUE,NOW())</f>
        <v/>
      </c>
      <c r="C92" s="70" t="s">
        <v>37</v>
      </c>
      <c r="D92" s="33"/>
      <c r="E92" s="71"/>
      <c r="F92" s="71"/>
      <c r="G92" s="71"/>
      <c r="H92" s="71"/>
      <c r="I92" s="71"/>
      <c r="J92" s="71"/>
      <c r="K92" s="72" t="s">
        <v>38</v>
      </c>
      <c r="L92" s="73">
        <f>L91-L90</f>
        <v>0</v>
      </c>
      <c r="M92" s="74" t="s">
        <v>39</v>
      </c>
      <c r="N92" s="75" t="b">
        <v>0</v>
      </c>
    </row>
    <row r="93" ht="13.5" customHeight="1">
      <c r="A93" s="64"/>
      <c r="B93" s="52" t="s">
        <v>66</v>
      </c>
      <c r="C93" s="53" t="s">
        <v>27</v>
      </c>
      <c r="D93" s="54"/>
      <c r="E93" s="55">
        <f t="shared" ref="E93:J93" si="24">E91-E94</f>
        <v>0</v>
      </c>
      <c r="F93" s="55">
        <f t="shared" si="24"/>
        <v>0</v>
      </c>
      <c r="G93" s="55">
        <f t="shared" si="24"/>
        <v>0</v>
      </c>
      <c r="H93" s="55">
        <f t="shared" si="24"/>
        <v>0</v>
      </c>
      <c r="I93" s="55">
        <f t="shared" si="24"/>
        <v>0</v>
      </c>
      <c r="J93" s="55">
        <f t="shared" si="24"/>
        <v>0</v>
      </c>
      <c r="K93" s="56"/>
      <c r="L93" s="30"/>
      <c r="M93" s="57" t="s">
        <v>28</v>
      </c>
      <c r="N93" s="58" t="b">
        <v>0</v>
      </c>
    </row>
    <row r="94" ht="13.5" customHeight="1">
      <c r="A94" s="46" t="s">
        <v>45</v>
      </c>
      <c r="B94" s="59"/>
      <c r="C94" s="53" t="s">
        <v>30</v>
      </c>
      <c r="D94" s="54"/>
      <c r="E94" s="60"/>
      <c r="F94" s="60"/>
      <c r="G94" s="60"/>
      <c r="H94" s="60"/>
      <c r="I94" s="60"/>
      <c r="J94" s="60"/>
      <c r="K94" s="61" t="s">
        <v>30</v>
      </c>
      <c r="L94" s="62">
        <f>(E94*E83)+(F94*F83)+(G94*G83)+(H94*H83)+(I94*I83)+(J94*J83)</f>
        <v>0</v>
      </c>
      <c r="M94" s="57" t="s">
        <v>31</v>
      </c>
      <c r="N94" s="63" t="b">
        <v>0</v>
      </c>
    </row>
    <row r="95" ht="13.5" customHeight="1">
      <c r="A95" s="77"/>
      <c r="B95" s="65" t="s">
        <v>47</v>
      </c>
      <c r="C95" s="53" t="s">
        <v>34</v>
      </c>
      <c r="D95" s="54"/>
      <c r="E95" s="66"/>
      <c r="F95" s="66"/>
      <c r="G95" s="66"/>
      <c r="H95" s="66"/>
      <c r="I95" s="66"/>
      <c r="J95" s="66"/>
      <c r="K95" s="67" t="s">
        <v>35</v>
      </c>
      <c r="L95" s="62">
        <f>(E95*E83)+(F95*F83)+(G95*G83)+(H95*H83)+(I95*I83)+(J95*J83)</f>
        <v>0</v>
      </c>
      <c r="M95" s="57" t="s">
        <v>36</v>
      </c>
      <c r="N95" s="63" t="b">
        <v>0</v>
      </c>
    </row>
    <row r="96" ht="13.5" customHeight="1">
      <c r="A96" s="68"/>
      <c r="B96" s="69" t="str">
        <f>IFS(L96=0,"",B96&lt;&gt;"",B96,TRUE,NOW())</f>
        <v/>
      </c>
      <c r="C96" s="70" t="s">
        <v>37</v>
      </c>
      <c r="D96" s="33"/>
      <c r="E96" s="71"/>
      <c r="F96" s="71"/>
      <c r="G96" s="71"/>
      <c r="H96" s="71"/>
      <c r="I96" s="71"/>
      <c r="J96" s="71"/>
      <c r="K96" s="72" t="s">
        <v>38</v>
      </c>
      <c r="L96" s="73">
        <f>L95-L94</f>
        <v>0</v>
      </c>
      <c r="M96" s="74" t="s">
        <v>39</v>
      </c>
      <c r="N96" s="75" t="b">
        <v>0</v>
      </c>
    </row>
    <row r="97" ht="18.0" customHeight="1">
      <c r="A97" s="78" t="s">
        <v>48</v>
      </c>
      <c r="B97" s="52" t="s">
        <v>66</v>
      </c>
      <c r="C97" s="53" t="s">
        <v>27</v>
      </c>
      <c r="D97" s="54"/>
      <c r="E97" s="55">
        <f t="shared" ref="E97:J97" si="25">E95-E98</f>
        <v>0</v>
      </c>
      <c r="F97" s="55">
        <f t="shared" si="25"/>
        <v>0</v>
      </c>
      <c r="G97" s="55">
        <f t="shared" si="25"/>
        <v>0</v>
      </c>
      <c r="H97" s="55">
        <f t="shared" si="25"/>
        <v>0</v>
      </c>
      <c r="I97" s="55">
        <f t="shared" si="25"/>
        <v>0</v>
      </c>
      <c r="J97" s="55">
        <f t="shared" si="25"/>
        <v>0</v>
      </c>
      <c r="K97" s="56"/>
      <c r="L97" s="30"/>
      <c r="M97" s="57" t="s">
        <v>28</v>
      </c>
      <c r="N97" s="58" t="b">
        <v>0</v>
      </c>
    </row>
    <row r="98" ht="13.5" customHeight="1">
      <c r="A98" s="87"/>
      <c r="B98" s="59"/>
      <c r="C98" s="53" t="s">
        <v>30</v>
      </c>
      <c r="D98" s="54"/>
      <c r="E98" s="60"/>
      <c r="F98" s="60"/>
      <c r="G98" s="60"/>
      <c r="H98" s="60"/>
      <c r="I98" s="60"/>
      <c r="J98" s="60"/>
      <c r="K98" s="61" t="s">
        <v>30</v>
      </c>
      <c r="L98" s="62">
        <f>(E98*E83)+(F98*F83)+(G98*G83)+(H98*H83)+(I98*I83)+(J98*J83)</f>
        <v>0</v>
      </c>
      <c r="M98" s="57" t="s">
        <v>31</v>
      </c>
      <c r="N98" s="63" t="b">
        <v>0</v>
      </c>
    </row>
    <row r="99" ht="13.5" customHeight="1">
      <c r="A99" s="68"/>
      <c r="B99" s="65" t="s">
        <v>49</v>
      </c>
      <c r="C99" s="53" t="s">
        <v>34</v>
      </c>
      <c r="D99" s="54"/>
      <c r="E99" s="66"/>
      <c r="F99" s="66"/>
      <c r="G99" s="66"/>
      <c r="H99" s="66"/>
      <c r="I99" s="66"/>
      <c r="J99" s="66"/>
      <c r="K99" s="67" t="s">
        <v>35</v>
      </c>
      <c r="L99" s="62">
        <f>(E99*E83)+(F99*F83)+(G99*G83)+(H99*H83)+(I99*I83)+(J99*J83)</f>
        <v>0</v>
      </c>
      <c r="M99" s="57" t="s">
        <v>36</v>
      </c>
      <c r="N99" s="63" t="b">
        <v>0</v>
      </c>
    </row>
    <row r="100" ht="13.5" customHeight="1">
      <c r="A100" s="80"/>
      <c r="B100" s="69" t="str">
        <f>IFS(L100=0,"",B100&lt;&gt;"",B100,TRUE,NOW())</f>
        <v/>
      </c>
      <c r="C100" s="86" t="s">
        <v>37</v>
      </c>
      <c r="D100" s="59"/>
      <c r="E100" s="81"/>
      <c r="F100" s="81"/>
      <c r="G100" s="81"/>
      <c r="H100" s="82"/>
      <c r="I100" s="81"/>
      <c r="J100" s="81"/>
      <c r="K100" s="72" t="s">
        <v>38</v>
      </c>
      <c r="L100" s="73">
        <f>L99-L98</f>
        <v>0</v>
      </c>
      <c r="M100" s="74" t="s">
        <v>39</v>
      </c>
      <c r="N100" s="75" t="b">
        <v>0</v>
      </c>
    </row>
    <row r="101" ht="13.5" customHeight="1">
      <c r="A101" s="83" t="s">
        <v>68</v>
      </c>
      <c r="B101" s="42" t="s">
        <v>20</v>
      </c>
      <c r="C101" s="24"/>
      <c r="D101" s="33"/>
      <c r="E101" s="43">
        <f t="shared" ref="E101:J101" si="26">E6</f>
        <v>17</v>
      </c>
      <c r="F101" s="43">
        <f t="shared" si="26"/>
        <v>27</v>
      </c>
      <c r="G101" s="43">
        <f t="shared" si="26"/>
        <v>27</v>
      </c>
      <c r="H101" s="43">
        <f t="shared" si="26"/>
        <v>27</v>
      </c>
      <c r="I101" s="43">
        <f t="shared" si="26"/>
        <v>32</v>
      </c>
      <c r="J101" s="44">
        <f t="shared" si="26"/>
        <v>37</v>
      </c>
      <c r="K101" s="42" t="s">
        <v>21</v>
      </c>
      <c r="L101" s="25"/>
      <c r="M101" s="45" t="s">
        <v>22</v>
      </c>
      <c r="N101" s="25"/>
    </row>
    <row r="102" ht="19.5" customHeight="1">
      <c r="A102" s="46" t="s">
        <v>23</v>
      </c>
      <c r="B102" s="47" t="s">
        <v>24</v>
      </c>
      <c r="C102" s="32" t="s">
        <v>25</v>
      </c>
      <c r="D102" s="33"/>
      <c r="E102" s="48"/>
      <c r="F102" s="48"/>
      <c r="G102" s="48"/>
      <c r="H102" s="48"/>
      <c r="I102" s="48"/>
      <c r="J102" s="48"/>
      <c r="K102" s="49"/>
      <c r="L102" s="25"/>
      <c r="M102" s="50"/>
      <c r="N102" s="10"/>
    </row>
    <row r="103" ht="13.5" customHeight="1">
      <c r="A103" s="92"/>
      <c r="B103" s="52" t="s">
        <v>69</v>
      </c>
      <c r="C103" s="53" t="s">
        <v>27</v>
      </c>
      <c r="D103" s="54"/>
      <c r="E103" s="55">
        <f t="shared" ref="E103:J103" si="27">E102-E104</f>
        <v>0</v>
      </c>
      <c r="F103" s="55">
        <f t="shared" si="27"/>
        <v>0</v>
      </c>
      <c r="G103" s="55">
        <f t="shared" si="27"/>
        <v>0</v>
      </c>
      <c r="H103" s="55">
        <f t="shared" si="27"/>
        <v>0</v>
      </c>
      <c r="I103" s="55">
        <f t="shared" si="27"/>
        <v>0</v>
      </c>
      <c r="J103" s="55">
        <f t="shared" si="27"/>
        <v>0</v>
      </c>
      <c r="K103" s="56"/>
      <c r="L103" s="30"/>
      <c r="M103" s="57" t="s">
        <v>28</v>
      </c>
      <c r="N103" s="58" t="b">
        <v>0</v>
      </c>
    </row>
    <row r="104" ht="13.5" customHeight="1">
      <c r="A104" s="46" t="s">
        <v>29</v>
      </c>
      <c r="B104" s="59"/>
      <c r="C104" s="53" t="s">
        <v>30</v>
      </c>
      <c r="D104" s="54"/>
      <c r="E104" s="60"/>
      <c r="F104" s="60"/>
      <c r="G104" s="60"/>
      <c r="H104" s="60"/>
      <c r="I104" s="60"/>
      <c r="J104" s="60"/>
      <c r="K104" s="61" t="s">
        <v>30</v>
      </c>
      <c r="L104" s="62">
        <f>(E104*E101)+(F104*F101)+(G104*G101)+(H104*H101)+(I104*I101)+(J104*J101)</f>
        <v>0</v>
      </c>
      <c r="M104" s="57" t="s">
        <v>31</v>
      </c>
      <c r="N104" s="63" t="b">
        <v>0</v>
      </c>
    </row>
    <row r="105" ht="13.5" customHeight="1">
      <c r="A105" s="64" t="s">
        <v>175</v>
      </c>
      <c r="B105" s="65" t="s">
        <v>33</v>
      </c>
      <c r="C105" s="53" t="s">
        <v>34</v>
      </c>
      <c r="D105" s="54"/>
      <c r="E105" s="66"/>
      <c r="F105" s="66"/>
      <c r="G105" s="66"/>
      <c r="H105" s="66"/>
      <c r="I105" s="66"/>
      <c r="J105" s="66"/>
      <c r="K105" s="67" t="s">
        <v>35</v>
      </c>
      <c r="L105" s="62">
        <f>(E105*E101)+(F105*F101)+(G105*G101)+(H105*H101)+(I105*I101)+(J105*J101)</f>
        <v>0</v>
      </c>
      <c r="M105" s="57" t="s">
        <v>36</v>
      </c>
      <c r="N105" s="63" t="b">
        <v>0</v>
      </c>
    </row>
    <row r="106" ht="13.5" customHeight="1">
      <c r="A106" s="68"/>
      <c r="B106" s="69" t="str">
        <f>IFS(L106=0,"",B106&lt;&gt;"",B106,TRUE,NOW())</f>
        <v/>
      </c>
      <c r="C106" s="70" t="s">
        <v>37</v>
      </c>
      <c r="D106" s="33"/>
      <c r="E106" s="71"/>
      <c r="F106" s="71"/>
      <c r="G106" s="71"/>
      <c r="H106" s="71"/>
      <c r="I106" s="71"/>
      <c r="J106" s="71"/>
      <c r="K106" s="72" t="s">
        <v>38</v>
      </c>
      <c r="L106" s="73">
        <f>L105-L104</f>
        <v>0</v>
      </c>
      <c r="M106" s="74" t="s">
        <v>39</v>
      </c>
      <c r="N106" s="75" t="b">
        <v>0</v>
      </c>
    </row>
    <row r="107" ht="18.75" customHeight="1">
      <c r="A107" s="46" t="s">
        <v>40</v>
      </c>
      <c r="B107" s="52" t="s">
        <v>69</v>
      </c>
      <c r="C107" s="53" t="s">
        <v>27</v>
      </c>
      <c r="D107" s="54"/>
      <c r="E107" s="55">
        <f t="shared" ref="E107:J107" si="28">E105-E108</f>
        <v>0</v>
      </c>
      <c r="F107" s="55">
        <f t="shared" si="28"/>
        <v>0</v>
      </c>
      <c r="G107" s="55">
        <f t="shared" si="28"/>
        <v>0</v>
      </c>
      <c r="H107" s="55">
        <f t="shared" si="28"/>
        <v>0</v>
      </c>
      <c r="I107" s="55">
        <f t="shared" si="28"/>
        <v>0</v>
      </c>
      <c r="J107" s="55">
        <f t="shared" si="28"/>
        <v>0</v>
      </c>
      <c r="K107" s="56"/>
      <c r="L107" s="30"/>
      <c r="M107" s="57" t="s">
        <v>28</v>
      </c>
      <c r="N107" s="58" t="b">
        <v>0</v>
      </c>
    </row>
    <row r="108" ht="13.5" customHeight="1">
      <c r="A108" s="64"/>
      <c r="B108" s="59"/>
      <c r="C108" s="53" t="s">
        <v>30</v>
      </c>
      <c r="D108" s="54"/>
      <c r="E108" s="60"/>
      <c r="F108" s="84"/>
      <c r="G108" s="60"/>
      <c r="H108" s="60"/>
      <c r="I108" s="60"/>
      <c r="J108" s="84"/>
      <c r="K108" s="61" t="s">
        <v>30</v>
      </c>
      <c r="L108" s="62">
        <f>(E108*E101)+(F108*F101)+(G108*G101)+(H108*H101)+(I108*I101)+(J108*J101)</f>
        <v>0</v>
      </c>
      <c r="M108" s="57" t="s">
        <v>31</v>
      </c>
      <c r="N108" s="63" t="b">
        <v>0</v>
      </c>
    </row>
    <row r="109" ht="13.5" customHeight="1">
      <c r="A109" s="68"/>
      <c r="B109" s="65" t="s">
        <v>42</v>
      </c>
      <c r="C109" s="53" t="s">
        <v>34</v>
      </c>
      <c r="D109" s="54"/>
      <c r="E109" s="66"/>
      <c r="F109" s="76"/>
      <c r="G109" s="76"/>
      <c r="H109" s="76"/>
      <c r="I109" s="66"/>
      <c r="J109" s="76"/>
      <c r="K109" s="67" t="s">
        <v>35</v>
      </c>
      <c r="L109" s="62">
        <f>(E109*E101)+(F109*F101)+(G109*G101)+(H109*H101)+(I109*I101)+(J109*J101)</f>
        <v>0</v>
      </c>
      <c r="M109" s="57" t="s">
        <v>36</v>
      </c>
      <c r="N109" s="63" t="b">
        <v>0</v>
      </c>
    </row>
    <row r="110" ht="13.5" customHeight="1">
      <c r="A110" s="46" t="s">
        <v>43</v>
      </c>
      <c r="B110" s="69" t="str">
        <f>IFS(L110=0,"",B110&lt;&gt;"",B110,TRUE,NOW())</f>
        <v/>
      </c>
      <c r="C110" s="70" t="s">
        <v>37</v>
      </c>
      <c r="D110" s="33"/>
      <c r="E110" s="71"/>
      <c r="F110" s="71"/>
      <c r="G110" s="71"/>
      <c r="H110" s="71"/>
      <c r="I110" s="71"/>
      <c r="J110" s="71"/>
      <c r="K110" s="72" t="s">
        <v>38</v>
      </c>
      <c r="L110" s="73">
        <f>L109-L108</f>
        <v>0</v>
      </c>
      <c r="M110" s="74" t="s">
        <v>39</v>
      </c>
      <c r="N110" s="75" t="b">
        <v>0</v>
      </c>
    </row>
    <row r="111" ht="13.5" customHeight="1">
      <c r="A111" s="64"/>
      <c r="B111" s="52" t="s">
        <v>69</v>
      </c>
      <c r="C111" s="53" t="s">
        <v>27</v>
      </c>
      <c r="D111" s="54"/>
      <c r="E111" s="55">
        <f t="shared" ref="E111:J111" si="29">E109-E112</f>
        <v>0</v>
      </c>
      <c r="F111" s="55">
        <f t="shared" si="29"/>
        <v>0</v>
      </c>
      <c r="G111" s="55">
        <f t="shared" si="29"/>
        <v>0</v>
      </c>
      <c r="H111" s="55">
        <f t="shared" si="29"/>
        <v>0</v>
      </c>
      <c r="I111" s="55">
        <f t="shared" si="29"/>
        <v>0</v>
      </c>
      <c r="J111" s="55">
        <f t="shared" si="29"/>
        <v>0</v>
      </c>
      <c r="K111" s="56"/>
      <c r="L111" s="30"/>
      <c r="M111" s="57" t="s">
        <v>28</v>
      </c>
      <c r="N111" s="58" t="b">
        <v>0</v>
      </c>
    </row>
    <row r="112" ht="15.0" customHeight="1">
      <c r="A112" s="46" t="s">
        <v>45</v>
      </c>
      <c r="B112" s="59"/>
      <c r="C112" s="53" t="s">
        <v>30</v>
      </c>
      <c r="D112" s="54"/>
      <c r="E112" s="60"/>
      <c r="F112" s="60"/>
      <c r="G112" s="60"/>
      <c r="H112" s="60"/>
      <c r="I112" s="60"/>
      <c r="J112" s="60"/>
      <c r="K112" s="61" t="s">
        <v>30</v>
      </c>
      <c r="L112" s="62">
        <f>(E112*E101)+(F112*F101)+(G112*G101)+(H112*H101)+(I112*I101)+(J112*J101)</f>
        <v>0</v>
      </c>
      <c r="M112" s="57" t="s">
        <v>31</v>
      </c>
      <c r="N112" s="63" t="b">
        <v>0</v>
      </c>
    </row>
    <row r="113" ht="13.5" customHeight="1">
      <c r="A113" s="77"/>
      <c r="B113" s="65" t="s">
        <v>47</v>
      </c>
      <c r="C113" s="53" t="s">
        <v>34</v>
      </c>
      <c r="D113" s="54"/>
      <c r="E113" s="66"/>
      <c r="F113" s="66"/>
      <c r="G113" s="66"/>
      <c r="H113" s="66"/>
      <c r="I113" s="66"/>
      <c r="J113" s="66"/>
      <c r="K113" s="67" t="s">
        <v>35</v>
      </c>
      <c r="L113" s="62">
        <f>(E113*E101)+(F113*F101)+(G113*G101)+(H113*H101)+(I113*I101)+(J113*J101)</f>
        <v>0</v>
      </c>
      <c r="M113" s="57" t="s">
        <v>36</v>
      </c>
      <c r="N113" s="63" t="b">
        <v>0</v>
      </c>
    </row>
    <row r="114" ht="13.5" customHeight="1">
      <c r="A114" s="68"/>
      <c r="B114" s="69" t="str">
        <f>IFS(L114=0,"",B114&lt;&gt;"",B114,TRUE,NOW())</f>
        <v/>
      </c>
      <c r="C114" s="70" t="s">
        <v>37</v>
      </c>
      <c r="D114" s="33"/>
      <c r="E114" s="71"/>
      <c r="F114" s="71"/>
      <c r="G114" s="71"/>
      <c r="H114" s="71"/>
      <c r="I114" s="71"/>
      <c r="J114" s="71"/>
      <c r="K114" s="72" t="s">
        <v>38</v>
      </c>
      <c r="L114" s="73">
        <f>L113-L112</f>
        <v>0</v>
      </c>
      <c r="M114" s="74" t="s">
        <v>39</v>
      </c>
      <c r="N114" s="75" t="b">
        <v>0</v>
      </c>
    </row>
    <row r="115" ht="13.5" customHeight="1">
      <c r="A115" s="78" t="s">
        <v>48</v>
      </c>
      <c r="B115" s="52" t="s">
        <v>69</v>
      </c>
      <c r="C115" s="53" t="s">
        <v>27</v>
      </c>
      <c r="D115" s="54"/>
      <c r="E115" s="55">
        <f t="shared" ref="E115:J115" si="30">E113-E116</f>
        <v>0</v>
      </c>
      <c r="F115" s="55">
        <f t="shared" si="30"/>
        <v>0</v>
      </c>
      <c r="G115" s="55">
        <f t="shared" si="30"/>
        <v>0</v>
      </c>
      <c r="H115" s="55">
        <f t="shared" si="30"/>
        <v>0</v>
      </c>
      <c r="I115" s="55">
        <f t="shared" si="30"/>
        <v>0</v>
      </c>
      <c r="J115" s="55">
        <f t="shared" si="30"/>
        <v>0</v>
      </c>
      <c r="K115" s="56"/>
      <c r="L115" s="30"/>
      <c r="M115" s="57" t="s">
        <v>28</v>
      </c>
      <c r="N115" s="58" t="b">
        <v>0</v>
      </c>
    </row>
    <row r="116" ht="13.5" customHeight="1">
      <c r="A116" s="87"/>
      <c r="B116" s="59"/>
      <c r="C116" s="53" t="s">
        <v>30</v>
      </c>
      <c r="D116" s="54"/>
      <c r="E116" s="60"/>
      <c r="F116" s="60"/>
      <c r="G116" s="60"/>
      <c r="H116" s="60"/>
      <c r="I116" s="60"/>
      <c r="J116" s="60"/>
      <c r="K116" s="61" t="s">
        <v>30</v>
      </c>
      <c r="L116" s="62">
        <f>(E116*E101)+(F116*F101)+(G116*G101)+(H116*H101)+(I116*I101)+(J116*J101)</f>
        <v>0</v>
      </c>
      <c r="M116" s="57" t="s">
        <v>31</v>
      </c>
      <c r="N116" s="63" t="b">
        <v>0</v>
      </c>
    </row>
    <row r="117" ht="13.5" customHeight="1">
      <c r="A117" s="68"/>
      <c r="B117" s="65" t="s">
        <v>49</v>
      </c>
      <c r="C117" s="53" t="s">
        <v>34</v>
      </c>
      <c r="D117" s="54"/>
      <c r="E117" s="66"/>
      <c r="F117" s="66"/>
      <c r="G117" s="66"/>
      <c r="H117" s="66"/>
      <c r="I117" s="66"/>
      <c r="J117" s="66"/>
      <c r="K117" s="67" t="s">
        <v>35</v>
      </c>
      <c r="L117" s="62">
        <f>(E117*E101)+(F117*F101)+(G117*G101)+(H117*H101)+(I117*I101)+(J117*J101)</f>
        <v>0</v>
      </c>
      <c r="M117" s="57" t="s">
        <v>36</v>
      </c>
      <c r="N117" s="63" t="b">
        <v>0</v>
      </c>
    </row>
    <row r="118" ht="13.5" customHeight="1">
      <c r="A118" s="80"/>
      <c r="B118" s="69" t="str">
        <f>IFS(L118=0,"",B118&lt;&gt;"",B118,TRUE,NOW())</f>
        <v/>
      </c>
      <c r="C118" s="53" t="s">
        <v>37</v>
      </c>
      <c r="D118" s="54"/>
      <c r="E118" s="81"/>
      <c r="F118" s="81"/>
      <c r="G118" s="81"/>
      <c r="H118" s="82"/>
      <c r="I118" s="81"/>
      <c r="J118" s="81"/>
      <c r="K118" s="72" t="s">
        <v>38</v>
      </c>
      <c r="L118" s="73">
        <f>L117-L116</f>
        <v>0</v>
      </c>
      <c r="M118" s="74" t="s">
        <v>39</v>
      </c>
      <c r="N118" s="75" t="b">
        <v>0</v>
      </c>
    </row>
    <row r="119" ht="15.0" customHeight="1">
      <c r="A119" s="83" t="s">
        <v>71</v>
      </c>
      <c r="B119" s="42" t="s">
        <v>20</v>
      </c>
      <c r="C119" s="24"/>
      <c r="D119" s="33"/>
      <c r="E119" s="43">
        <f t="shared" ref="E119:J119" si="31">E6</f>
        <v>17</v>
      </c>
      <c r="F119" s="43">
        <f t="shared" si="31"/>
        <v>27</v>
      </c>
      <c r="G119" s="43">
        <f t="shared" si="31"/>
        <v>27</v>
      </c>
      <c r="H119" s="43">
        <f t="shared" si="31"/>
        <v>27</v>
      </c>
      <c r="I119" s="43">
        <f t="shared" si="31"/>
        <v>32</v>
      </c>
      <c r="J119" s="44">
        <f t="shared" si="31"/>
        <v>37</v>
      </c>
      <c r="K119" s="42" t="s">
        <v>21</v>
      </c>
      <c r="L119" s="25"/>
      <c r="M119" s="45" t="s">
        <v>22</v>
      </c>
      <c r="N119" s="25"/>
    </row>
    <row r="120" ht="13.5" customHeight="1">
      <c r="A120" s="46" t="s">
        <v>23</v>
      </c>
      <c r="B120" s="47" t="s">
        <v>24</v>
      </c>
      <c r="C120" s="32" t="s">
        <v>25</v>
      </c>
      <c r="D120" s="33"/>
      <c r="E120" s="48"/>
      <c r="F120" s="48"/>
      <c r="G120" s="48"/>
      <c r="H120" s="48"/>
      <c r="I120" s="48"/>
      <c r="J120" s="48"/>
      <c r="K120" s="49"/>
      <c r="L120" s="25"/>
      <c r="M120" s="50"/>
      <c r="N120" s="10"/>
    </row>
    <row r="121" ht="13.5" customHeight="1">
      <c r="A121" s="92"/>
      <c r="B121" s="52" t="s">
        <v>72</v>
      </c>
      <c r="C121" s="53" t="s">
        <v>27</v>
      </c>
      <c r="D121" s="54"/>
      <c r="E121" s="55">
        <f t="shared" ref="E121:J121" si="32">E120-E122</f>
        <v>0</v>
      </c>
      <c r="F121" s="55">
        <f t="shared" si="32"/>
        <v>0</v>
      </c>
      <c r="G121" s="55">
        <f t="shared" si="32"/>
        <v>0</v>
      </c>
      <c r="H121" s="55">
        <f t="shared" si="32"/>
        <v>0</v>
      </c>
      <c r="I121" s="55">
        <f t="shared" si="32"/>
        <v>0</v>
      </c>
      <c r="J121" s="55">
        <f t="shared" si="32"/>
        <v>0</v>
      </c>
      <c r="K121" s="56"/>
      <c r="L121" s="30"/>
      <c r="M121" s="57" t="s">
        <v>28</v>
      </c>
      <c r="N121" s="58" t="b">
        <v>0</v>
      </c>
    </row>
    <row r="122" ht="13.5" customHeight="1">
      <c r="A122" s="46" t="s">
        <v>29</v>
      </c>
      <c r="B122" s="59"/>
      <c r="C122" s="53" t="s">
        <v>30</v>
      </c>
      <c r="D122" s="54"/>
      <c r="E122" s="60"/>
      <c r="F122" s="60"/>
      <c r="G122" s="60"/>
      <c r="H122" s="60"/>
      <c r="I122" s="60"/>
      <c r="J122" s="60"/>
      <c r="K122" s="61" t="s">
        <v>30</v>
      </c>
      <c r="L122" s="62">
        <f>(E122*E119)+(F122*F119)+(G122*G119)+(H122*H119)+(I122*I119)+(J122*J119)</f>
        <v>0</v>
      </c>
      <c r="M122" s="57" t="s">
        <v>31</v>
      </c>
      <c r="N122" s="63" t="b">
        <v>0</v>
      </c>
    </row>
    <row r="123" ht="13.5" customHeight="1">
      <c r="A123" s="64" t="s">
        <v>64</v>
      </c>
      <c r="B123" s="65" t="s">
        <v>33</v>
      </c>
      <c r="C123" s="53" t="s">
        <v>34</v>
      </c>
      <c r="D123" s="54"/>
      <c r="E123" s="66"/>
      <c r="F123" s="66"/>
      <c r="G123" s="66"/>
      <c r="H123" s="66"/>
      <c r="I123" s="66"/>
      <c r="J123" s="66"/>
      <c r="K123" s="67" t="s">
        <v>35</v>
      </c>
      <c r="L123" s="62">
        <f>(E123*E119)+(F123*F119)+(G123*G119)+(H123*H119)+(I123*I119)+(J123*J119)</f>
        <v>0</v>
      </c>
      <c r="M123" s="57" t="s">
        <v>36</v>
      </c>
      <c r="N123" s="63" t="b">
        <v>0</v>
      </c>
    </row>
    <row r="124" ht="15.0" customHeight="1">
      <c r="A124" s="68"/>
      <c r="B124" s="69" t="str">
        <f>IFS(L124=0,"",B124&lt;&gt;"",B124,TRUE,NOW())</f>
        <v/>
      </c>
      <c r="C124" s="70" t="s">
        <v>37</v>
      </c>
      <c r="D124" s="33"/>
      <c r="E124" s="71"/>
      <c r="F124" s="71"/>
      <c r="G124" s="71"/>
      <c r="H124" s="71"/>
      <c r="I124" s="71"/>
      <c r="J124" s="71"/>
      <c r="K124" s="72" t="s">
        <v>38</v>
      </c>
      <c r="L124" s="73">
        <f>L123-L122</f>
        <v>0</v>
      </c>
      <c r="M124" s="74" t="s">
        <v>39</v>
      </c>
      <c r="N124" s="75" t="b">
        <v>0</v>
      </c>
    </row>
    <row r="125" ht="13.5" customHeight="1">
      <c r="A125" s="46" t="s">
        <v>40</v>
      </c>
      <c r="B125" s="52" t="s">
        <v>72</v>
      </c>
      <c r="C125" s="53" t="s">
        <v>27</v>
      </c>
      <c r="D125" s="54"/>
      <c r="E125" s="55">
        <f t="shared" ref="E125:J125" si="33">E123-E126</f>
        <v>0</v>
      </c>
      <c r="F125" s="55">
        <f t="shared" si="33"/>
        <v>0</v>
      </c>
      <c r="G125" s="55">
        <f t="shared" si="33"/>
        <v>0</v>
      </c>
      <c r="H125" s="55">
        <f t="shared" si="33"/>
        <v>0</v>
      </c>
      <c r="I125" s="55">
        <f t="shared" si="33"/>
        <v>0</v>
      </c>
      <c r="J125" s="55">
        <f t="shared" si="33"/>
        <v>0</v>
      </c>
      <c r="K125" s="56"/>
      <c r="L125" s="30"/>
      <c r="M125" s="57" t="s">
        <v>28</v>
      </c>
      <c r="N125" s="58" t="b">
        <v>0</v>
      </c>
    </row>
    <row r="126" ht="13.5" customHeight="1">
      <c r="A126" s="64"/>
      <c r="B126" s="59"/>
      <c r="C126" s="53" t="s">
        <v>30</v>
      </c>
      <c r="D126" s="54"/>
      <c r="E126" s="60"/>
      <c r="F126" s="60"/>
      <c r="G126" s="84"/>
      <c r="H126" s="60"/>
      <c r="I126" s="60"/>
      <c r="J126" s="84"/>
      <c r="K126" s="61" t="s">
        <v>30</v>
      </c>
      <c r="L126" s="62">
        <f>(E126*E119)+(F126*F119)+(G126*G119)+(H126*H119)+(I126*I119)+(J126*J119)</f>
        <v>0</v>
      </c>
      <c r="M126" s="57" t="s">
        <v>31</v>
      </c>
      <c r="N126" s="63" t="b">
        <v>0</v>
      </c>
    </row>
    <row r="127" ht="13.5" customHeight="1">
      <c r="A127" s="68"/>
      <c r="B127" s="65" t="s">
        <v>42</v>
      </c>
      <c r="C127" s="53" t="s">
        <v>34</v>
      </c>
      <c r="D127" s="54"/>
      <c r="E127" s="66"/>
      <c r="F127" s="76"/>
      <c r="G127" s="76"/>
      <c r="H127" s="66"/>
      <c r="I127" s="66"/>
      <c r="J127" s="76"/>
      <c r="K127" s="67" t="s">
        <v>35</v>
      </c>
      <c r="L127" s="62">
        <f>(E127*E119)+(F127*F119)+(G127*G119)+(H127*H119)+(I127*I119)+(J127*J119)</f>
        <v>0</v>
      </c>
      <c r="M127" s="57" t="s">
        <v>36</v>
      </c>
      <c r="N127" s="63" t="b">
        <v>0</v>
      </c>
    </row>
    <row r="128" ht="13.5" customHeight="1">
      <c r="A128" s="46" t="s">
        <v>43</v>
      </c>
      <c r="B128" s="69" t="str">
        <f>IFS(L128=0,"",B128&lt;&gt;"",B128,TRUE,NOW())</f>
        <v/>
      </c>
      <c r="C128" s="70" t="s">
        <v>37</v>
      </c>
      <c r="D128" s="33"/>
      <c r="E128" s="71"/>
      <c r="F128" s="71"/>
      <c r="G128" s="71"/>
      <c r="H128" s="71"/>
      <c r="I128" s="71"/>
      <c r="J128" s="71"/>
      <c r="K128" s="72" t="s">
        <v>38</v>
      </c>
      <c r="L128" s="73">
        <f>L127-L126</f>
        <v>0</v>
      </c>
      <c r="M128" s="74" t="s">
        <v>39</v>
      </c>
      <c r="N128" s="75" t="b">
        <v>0</v>
      </c>
    </row>
    <row r="129" ht="18.0" customHeight="1">
      <c r="A129" s="64"/>
      <c r="B129" s="52" t="s">
        <v>72</v>
      </c>
      <c r="C129" s="53" t="s">
        <v>27</v>
      </c>
      <c r="D129" s="54"/>
      <c r="E129" s="55">
        <f t="shared" ref="E129:J129" si="34">E127-E130</f>
        <v>0</v>
      </c>
      <c r="F129" s="55">
        <f t="shared" si="34"/>
        <v>0</v>
      </c>
      <c r="G129" s="55">
        <f t="shared" si="34"/>
        <v>0</v>
      </c>
      <c r="H129" s="55">
        <f t="shared" si="34"/>
        <v>0</v>
      </c>
      <c r="I129" s="55">
        <f t="shared" si="34"/>
        <v>0</v>
      </c>
      <c r="J129" s="55">
        <f t="shared" si="34"/>
        <v>0</v>
      </c>
      <c r="K129" s="56"/>
      <c r="L129" s="30"/>
      <c r="M129" s="57" t="s">
        <v>28</v>
      </c>
      <c r="N129" s="58" t="b">
        <v>0</v>
      </c>
    </row>
    <row r="130" ht="13.5" customHeight="1">
      <c r="A130" s="46" t="s">
        <v>45</v>
      </c>
      <c r="B130" s="59"/>
      <c r="C130" s="53" t="s">
        <v>30</v>
      </c>
      <c r="D130" s="54"/>
      <c r="E130" s="60"/>
      <c r="F130" s="60"/>
      <c r="G130" s="60"/>
      <c r="H130" s="60"/>
      <c r="I130" s="60"/>
      <c r="J130" s="60"/>
      <c r="K130" s="61" t="s">
        <v>30</v>
      </c>
      <c r="L130" s="62">
        <f>(E130*E119)+(F130*F119)+(G130*G119)+(H130*H119)+(I130*I119)+(J130*J119)</f>
        <v>0</v>
      </c>
      <c r="M130" s="57" t="s">
        <v>31</v>
      </c>
      <c r="N130" s="63" t="b">
        <v>0</v>
      </c>
    </row>
    <row r="131" ht="13.5" customHeight="1">
      <c r="A131" s="77"/>
      <c r="B131" s="65" t="s">
        <v>47</v>
      </c>
      <c r="C131" s="53" t="s">
        <v>34</v>
      </c>
      <c r="D131" s="54"/>
      <c r="E131" s="66"/>
      <c r="F131" s="66"/>
      <c r="G131" s="66"/>
      <c r="H131" s="66"/>
      <c r="I131" s="66"/>
      <c r="J131" s="66"/>
      <c r="K131" s="67" t="s">
        <v>35</v>
      </c>
      <c r="L131" s="62">
        <f>(E131*E119)+(F131*F119)+(G131*G119)+(H131*H119)+(I131*I119)+(J131*J119)</f>
        <v>0</v>
      </c>
      <c r="M131" s="57" t="s">
        <v>36</v>
      </c>
      <c r="N131" s="63" t="b">
        <v>0</v>
      </c>
    </row>
    <row r="132" ht="13.5" customHeight="1">
      <c r="A132" s="68"/>
      <c r="B132" s="69" t="str">
        <f>IFS(L132=0,"",B132&lt;&gt;"",B132,TRUE,NOW())</f>
        <v/>
      </c>
      <c r="C132" s="70" t="s">
        <v>37</v>
      </c>
      <c r="D132" s="33"/>
      <c r="E132" s="71"/>
      <c r="F132" s="71"/>
      <c r="G132" s="71"/>
      <c r="H132" s="71"/>
      <c r="I132" s="71"/>
      <c r="J132" s="71"/>
      <c r="K132" s="72" t="s">
        <v>38</v>
      </c>
      <c r="L132" s="73">
        <f>L131-L130</f>
        <v>0</v>
      </c>
      <c r="M132" s="74" t="s">
        <v>39</v>
      </c>
      <c r="N132" s="75" t="b">
        <v>0</v>
      </c>
    </row>
    <row r="133" ht="13.5" customHeight="1">
      <c r="A133" s="78" t="s">
        <v>48</v>
      </c>
      <c r="B133" s="52" t="s">
        <v>72</v>
      </c>
      <c r="C133" s="53" t="s">
        <v>27</v>
      </c>
      <c r="D133" s="54"/>
      <c r="E133" s="55">
        <f t="shared" ref="E133:J133" si="35">E131-E134</f>
        <v>0</v>
      </c>
      <c r="F133" s="55">
        <f t="shared" si="35"/>
        <v>0</v>
      </c>
      <c r="G133" s="55">
        <f t="shared" si="35"/>
        <v>0</v>
      </c>
      <c r="H133" s="55">
        <f t="shared" si="35"/>
        <v>0</v>
      </c>
      <c r="I133" s="55">
        <f t="shared" si="35"/>
        <v>0</v>
      </c>
      <c r="J133" s="55">
        <f t="shared" si="35"/>
        <v>0</v>
      </c>
      <c r="K133" s="56"/>
      <c r="L133" s="30"/>
      <c r="M133" s="57" t="s">
        <v>28</v>
      </c>
      <c r="N133" s="58" t="b">
        <v>0</v>
      </c>
    </row>
    <row r="134" ht="18.75" customHeight="1">
      <c r="A134" s="87"/>
      <c r="B134" s="59"/>
      <c r="C134" s="53" t="s">
        <v>30</v>
      </c>
      <c r="D134" s="54"/>
      <c r="E134" s="60"/>
      <c r="F134" s="60"/>
      <c r="G134" s="60"/>
      <c r="H134" s="60"/>
      <c r="I134" s="60"/>
      <c r="J134" s="60"/>
      <c r="K134" s="61" t="s">
        <v>30</v>
      </c>
      <c r="L134" s="62">
        <f>(E134*E119)+(F134*F119)+(G134*G119)+(H134*H119)+(I134*I119)+(J134*J119)</f>
        <v>0</v>
      </c>
      <c r="M134" s="57" t="s">
        <v>31</v>
      </c>
      <c r="N134" s="63" t="b">
        <v>0</v>
      </c>
    </row>
    <row r="135" ht="13.5" customHeight="1">
      <c r="A135" s="68"/>
      <c r="B135" s="65" t="s">
        <v>49</v>
      </c>
      <c r="C135" s="53" t="s">
        <v>34</v>
      </c>
      <c r="D135" s="54"/>
      <c r="E135" s="66"/>
      <c r="F135" s="66"/>
      <c r="G135" s="66"/>
      <c r="H135" s="66"/>
      <c r="I135" s="66"/>
      <c r="J135" s="66"/>
      <c r="K135" s="67" t="s">
        <v>35</v>
      </c>
      <c r="L135" s="62">
        <f>(E135*E119)+(F135*F119)+(G135*G119)+(H135*H119)+(I135*I119)+(J135*J119)</f>
        <v>0</v>
      </c>
      <c r="M135" s="57" t="s">
        <v>36</v>
      </c>
      <c r="N135" s="63" t="b">
        <v>0</v>
      </c>
    </row>
    <row r="136" ht="13.5" customHeight="1">
      <c r="A136" s="80"/>
      <c r="B136" s="69" t="str">
        <f>IFS(L136=0,"",B136&lt;&gt;"",B136,TRUE,NOW())</f>
        <v/>
      </c>
      <c r="C136" s="53" t="s">
        <v>37</v>
      </c>
      <c r="D136" s="54"/>
      <c r="E136" s="81"/>
      <c r="F136" s="81"/>
      <c r="G136" s="81"/>
      <c r="H136" s="82"/>
      <c r="I136" s="81"/>
      <c r="J136" s="81"/>
      <c r="K136" s="72" t="s">
        <v>38</v>
      </c>
      <c r="L136" s="73">
        <f>L135-L134</f>
        <v>0</v>
      </c>
      <c r="M136" s="74" t="s">
        <v>39</v>
      </c>
      <c r="N136" s="75" t="b">
        <v>0</v>
      </c>
    </row>
    <row r="137" ht="13.5" customHeight="1">
      <c r="A137" s="83" t="s">
        <v>74</v>
      </c>
      <c r="B137" s="42" t="s">
        <v>20</v>
      </c>
      <c r="C137" s="24"/>
      <c r="D137" s="33"/>
      <c r="E137" s="43">
        <f t="shared" ref="E137:J137" si="36">E6</f>
        <v>17</v>
      </c>
      <c r="F137" s="43">
        <f t="shared" si="36"/>
        <v>27</v>
      </c>
      <c r="G137" s="43">
        <f t="shared" si="36"/>
        <v>27</v>
      </c>
      <c r="H137" s="43">
        <f t="shared" si="36"/>
        <v>27</v>
      </c>
      <c r="I137" s="43">
        <f t="shared" si="36"/>
        <v>32</v>
      </c>
      <c r="J137" s="44">
        <f t="shared" si="36"/>
        <v>37</v>
      </c>
      <c r="K137" s="42" t="s">
        <v>21</v>
      </c>
      <c r="L137" s="25"/>
      <c r="M137" s="45" t="s">
        <v>22</v>
      </c>
      <c r="N137" s="25"/>
    </row>
    <row r="138" ht="13.5" customHeight="1">
      <c r="A138" s="46" t="s">
        <v>23</v>
      </c>
      <c r="B138" s="47" t="s">
        <v>24</v>
      </c>
      <c r="C138" s="32" t="s">
        <v>25</v>
      </c>
      <c r="D138" s="33"/>
      <c r="E138" s="48"/>
      <c r="F138" s="48"/>
      <c r="G138" s="48"/>
      <c r="H138" s="48"/>
      <c r="I138" s="48"/>
      <c r="J138" s="48"/>
      <c r="K138" s="49"/>
      <c r="L138" s="25"/>
      <c r="M138" s="50"/>
      <c r="N138" s="10"/>
    </row>
    <row r="139" ht="13.5" customHeight="1">
      <c r="A139" s="92"/>
      <c r="B139" s="52" t="s">
        <v>75</v>
      </c>
      <c r="C139" s="53" t="s">
        <v>27</v>
      </c>
      <c r="D139" s="54"/>
      <c r="E139" s="55">
        <f t="shared" ref="E139:J139" si="37">E138-E140</f>
        <v>0</v>
      </c>
      <c r="F139" s="55">
        <f t="shared" si="37"/>
        <v>0</v>
      </c>
      <c r="G139" s="55">
        <f t="shared" si="37"/>
        <v>0</v>
      </c>
      <c r="H139" s="55">
        <f t="shared" si="37"/>
        <v>0</v>
      </c>
      <c r="I139" s="55">
        <f t="shared" si="37"/>
        <v>0</v>
      </c>
      <c r="J139" s="55">
        <f t="shared" si="37"/>
        <v>0</v>
      </c>
      <c r="K139" s="56"/>
      <c r="L139" s="30"/>
      <c r="M139" s="57" t="s">
        <v>28</v>
      </c>
      <c r="N139" s="58" t="b">
        <v>0</v>
      </c>
    </row>
    <row r="140" ht="13.5" customHeight="1">
      <c r="A140" s="46" t="s">
        <v>29</v>
      </c>
      <c r="B140" s="59"/>
      <c r="C140" s="53" t="s">
        <v>30</v>
      </c>
      <c r="D140" s="54"/>
      <c r="E140" s="60"/>
      <c r="F140" s="60"/>
      <c r="G140" s="60"/>
      <c r="H140" s="60"/>
      <c r="I140" s="60"/>
      <c r="J140" s="60"/>
      <c r="K140" s="61" t="s">
        <v>30</v>
      </c>
      <c r="L140" s="62">
        <f>(E140*E137)+(F140*F137)+(G140*G137)+(H140*H137)+(I140*I137)+(J140*J137)</f>
        <v>0</v>
      </c>
      <c r="M140" s="57" t="s">
        <v>31</v>
      </c>
      <c r="N140" s="63" t="b">
        <v>0</v>
      </c>
    </row>
    <row r="141" ht="15.0" customHeight="1">
      <c r="A141" s="64" t="s">
        <v>184</v>
      </c>
      <c r="B141" s="65" t="s">
        <v>33</v>
      </c>
      <c r="C141" s="53" t="s">
        <v>34</v>
      </c>
      <c r="D141" s="54"/>
      <c r="E141" s="66"/>
      <c r="F141" s="66"/>
      <c r="G141" s="66"/>
      <c r="H141" s="66"/>
      <c r="I141" s="66"/>
      <c r="J141" s="66"/>
      <c r="K141" s="67" t="s">
        <v>35</v>
      </c>
      <c r="L141" s="62">
        <f>(E141*E137)+(F141*F137)+(G141*G137)+(H141*H137)+(I141*I137)+(J141*J137)</f>
        <v>0</v>
      </c>
      <c r="M141" s="57" t="s">
        <v>36</v>
      </c>
      <c r="N141" s="63" t="b">
        <v>0</v>
      </c>
    </row>
    <row r="142" ht="13.5" customHeight="1">
      <c r="A142" s="68"/>
      <c r="B142" s="69" t="str">
        <f>IFS(L142=0,"",B142&lt;&gt;"",B142,TRUE,NOW())</f>
        <v/>
      </c>
      <c r="C142" s="70" t="s">
        <v>37</v>
      </c>
      <c r="D142" s="33"/>
      <c r="E142" s="71"/>
      <c r="F142" s="71"/>
      <c r="G142" s="71"/>
      <c r="H142" s="71"/>
      <c r="I142" s="71"/>
      <c r="J142" s="71"/>
      <c r="K142" s="72" t="s">
        <v>38</v>
      </c>
      <c r="L142" s="73">
        <f>L141-L140</f>
        <v>0</v>
      </c>
      <c r="M142" s="74" t="s">
        <v>39</v>
      </c>
      <c r="N142" s="75" t="b">
        <v>0</v>
      </c>
    </row>
    <row r="143" ht="13.5" customHeight="1">
      <c r="A143" s="46" t="s">
        <v>40</v>
      </c>
      <c r="B143" s="52" t="s">
        <v>75</v>
      </c>
      <c r="C143" s="53" t="s">
        <v>27</v>
      </c>
      <c r="D143" s="54"/>
      <c r="E143" s="55">
        <f t="shared" ref="E143:J143" si="38">E141-E144</f>
        <v>0</v>
      </c>
      <c r="F143" s="55">
        <f t="shared" si="38"/>
        <v>0</v>
      </c>
      <c r="G143" s="55">
        <f t="shared" si="38"/>
        <v>0</v>
      </c>
      <c r="H143" s="55">
        <f t="shared" si="38"/>
        <v>0</v>
      </c>
      <c r="I143" s="55">
        <f t="shared" si="38"/>
        <v>0</v>
      </c>
      <c r="J143" s="55">
        <f t="shared" si="38"/>
        <v>0</v>
      </c>
      <c r="K143" s="56"/>
      <c r="L143" s="30"/>
      <c r="M143" s="57" t="s">
        <v>28</v>
      </c>
      <c r="N143" s="58" t="b">
        <v>0</v>
      </c>
    </row>
    <row r="144" ht="13.5" customHeight="1">
      <c r="A144" s="64"/>
      <c r="B144" s="59"/>
      <c r="C144" s="53" t="s">
        <v>30</v>
      </c>
      <c r="D144" s="54"/>
      <c r="E144" s="60"/>
      <c r="F144" s="84"/>
      <c r="G144" s="60"/>
      <c r="H144" s="60"/>
      <c r="I144" s="84"/>
      <c r="J144" s="60"/>
      <c r="K144" s="61" t="s">
        <v>30</v>
      </c>
      <c r="L144" s="62">
        <f>(E144*E137)+(F144*F137)+(G144*G137)+(H144*H137)+(I144*I137)+(J144*J137)</f>
        <v>0</v>
      </c>
      <c r="M144" s="57" t="s">
        <v>31</v>
      </c>
      <c r="N144" s="63" t="b">
        <v>0</v>
      </c>
    </row>
    <row r="145" ht="13.5" customHeight="1">
      <c r="A145" s="68"/>
      <c r="B145" s="65" t="s">
        <v>42</v>
      </c>
      <c r="C145" s="53" t="s">
        <v>34</v>
      </c>
      <c r="D145" s="54"/>
      <c r="E145" s="66"/>
      <c r="F145" s="76"/>
      <c r="G145" s="76"/>
      <c r="H145" s="66"/>
      <c r="I145" s="76"/>
      <c r="J145" s="76"/>
      <c r="K145" s="67" t="s">
        <v>35</v>
      </c>
      <c r="L145" s="62">
        <f>(E145*E137)+(F145*F137)+(G145*G137)+(H145*H137)+(I145*I137)+(J145*J137)</f>
        <v>0</v>
      </c>
      <c r="M145" s="57" t="s">
        <v>36</v>
      </c>
      <c r="N145" s="63" t="b">
        <v>0</v>
      </c>
    </row>
    <row r="146" ht="15.0" customHeight="1">
      <c r="A146" s="46" t="s">
        <v>43</v>
      </c>
      <c r="B146" s="69" t="str">
        <f>IFS(L146=0,"",B146&lt;&gt;"",B146,TRUE,NOW())</f>
        <v/>
      </c>
      <c r="C146" s="70" t="s">
        <v>37</v>
      </c>
      <c r="D146" s="33"/>
      <c r="E146" s="71"/>
      <c r="F146" s="71"/>
      <c r="G146" s="71"/>
      <c r="H146" s="71"/>
      <c r="I146" s="71"/>
      <c r="J146" s="71"/>
      <c r="K146" s="72" t="s">
        <v>38</v>
      </c>
      <c r="L146" s="73">
        <f>L145-L144</f>
        <v>0</v>
      </c>
      <c r="M146" s="74" t="s">
        <v>39</v>
      </c>
      <c r="N146" s="75" t="b">
        <v>0</v>
      </c>
    </row>
    <row r="147" ht="13.5" customHeight="1">
      <c r="A147" s="64"/>
      <c r="B147" s="52" t="s">
        <v>75</v>
      </c>
      <c r="C147" s="53" t="s">
        <v>27</v>
      </c>
      <c r="D147" s="54"/>
      <c r="E147" s="55">
        <f t="shared" ref="E147:J147" si="39">E145-E148</f>
        <v>0</v>
      </c>
      <c r="F147" s="55">
        <f t="shared" si="39"/>
        <v>0</v>
      </c>
      <c r="G147" s="55">
        <f t="shared" si="39"/>
        <v>0</v>
      </c>
      <c r="H147" s="55">
        <f t="shared" si="39"/>
        <v>0</v>
      </c>
      <c r="I147" s="55">
        <f t="shared" si="39"/>
        <v>0</v>
      </c>
      <c r="J147" s="55">
        <f t="shared" si="39"/>
        <v>0</v>
      </c>
      <c r="K147" s="56"/>
      <c r="L147" s="30"/>
      <c r="M147" s="57" t="s">
        <v>28</v>
      </c>
      <c r="N147" s="58" t="b">
        <v>0</v>
      </c>
    </row>
    <row r="148" ht="13.5" customHeight="1">
      <c r="A148" s="46" t="s">
        <v>45</v>
      </c>
      <c r="B148" s="59"/>
      <c r="C148" s="53" t="s">
        <v>30</v>
      </c>
      <c r="D148" s="54"/>
      <c r="E148" s="60"/>
      <c r="F148" s="60"/>
      <c r="G148" s="60"/>
      <c r="H148" s="60"/>
      <c r="I148" s="60"/>
      <c r="J148" s="60"/>
      <c r="K148" s="61" t="s">
        <v>30</v>
      </c>
      <c r="L148" s="62">
        <f>(E148*E137)+(F148*F137)+(G148*G137)+(H148*H137)+(I148*I137)+(J148*J137)</f>
        <v>0</v>
      </c>
      <c r="M148" s="57" t="s">
        <v>31</v>
      </c>
      <c r="N148" s="63" t="b">
        <v>0</v>
      </c>
    </row>
    <row r="149" ht="13.5" customHeight="1">
      <c r="A149" s="77"/>
      <c r="B149" s="65" t="s">
        <v>47</v>
      </c>
      <c r="C149" s="53" t="s">
        <v>34</v>
      </c>
      <c r="D149" s="54"/>
      <c r="E149" s="66"/>
      <c r="F149" s="66"/>
      <c r="G149" s="66"/>
      <c r="H149" s="66"/>
      <c r="I149" s="66"/>
      <c r="J149" s="66"/>
      <c r="K149" s="67" t="s">
        <v>35</v>
      </c>
      <c r="L149" s="62">
        <f>(E149*E137)+(F149*F137)+(G149*G137)+(H149*H137)+(I149*I137)+(J149*J137)</f>
        <v>0</v>
      </c>
      <c r="M149" s="57" t="s">
        <v>36</v>
      </c>
      <c r="N149" s="63" t="b">
        <v>0</v>
      </c>
    </row>
    <row r="150" ht="13.5" customHeight="1">
      <c r="A150" s="68"/>
      <c r="B150" s="69" t="str">
        <f>IFS(L150=0,"",B150&lt;&gt;"",B150,TRUE,NOW())</f>
        <v/>
      </c>
      <c r="C150" s="70" t="s">
        <v>37</v>
      </c>
      <c r="D150" s="33"/>
      <c r="E150" s="71"/>
      <c r="F150" s="71"/>
      <c r="G150" s="71"/>
      <c r="H150" s="71"/>
      <c r="I150" s="71"/>
      <c r="J150" s="71"/>
      <c r="K150" s="72" t="s">
        <v>38</v>
      </c>
      <c r="L150" s="73">
        <f>L149-L148</f>
        <v>0</v>
      </c>
      <c r="M150" s="74" t="s">
        <v>39</v>
      </c>
      <c r="N150" s="75" t="b">
        <v>0</v>
      </c>
    </row>
    <row r="151" ht="15.0" customHeight="1">
      <c r="A151" s="78" t="s">
        <v>48</v>
      </c>
      <c r="B151" s="52" t="s">
        <v>75</v>
      </c>
      <c r="C151" s="53" t="s">
        <v>27</v>
      </c>
      <c r="D151" s="54"/>
      <c r="E151" s="55">
        <f t="shared" ref="E151:J151" si="40">E149-E152</f>
        <v>0</v>
      </c>
      <c r="F151" s="55">
        <f t="shared" si="40"/>
        <v>0</v>
      </c>
      <c r="G151" s="55">
        <f t="shared" si="40"/>
        <v>0</v>
      </c>
      <c r="H151" s="55">
        <f t="shared" si="40"/>
        <v>0</v>
      </c>
      <c r="I151" s="55">
        <f t="shared" si="40"/>
        <v>0</v>
      </c>
      <c r="J151" s="55">
        <f t="shared" si="40"/>
        <v>0</v>
      </c>
      <c r="K151" s="56"/>
      <c r="L151" s="30"/>
      <c r="M151" s="57" t="s">
        <v>28</v>
      </c>
      <c r="N151" s="58" t="b">
        <v>0</v>
      </c>
    </row>
    <row r="152" ht="13.5" customHeight="1">
      <c r="A152" s="87"/>
      <c r="B152" s="59"/>
      <c r="C152" s="53" t="s">
        <v>30</v>
      </c>
      <c r="D152" s="54"/>
      <c r="E152" s="60"/>
      <c r="F152" s="60"/>
      <c r="G152" s="60"/>
      <c r="H152" s="60"/>
      <c r="I152" s="60"/>
      <c r="J152" s="60"/>
      <c r="K152" s="61" t="s">
        <v>30</v>
      </c>
      <c r="L152" s="62">
        <f>(E152*E137)+(F152*F137)+(G152*G137)+(H152*H137)+(I152*I137)+(J152*J137)</f>
        <v>0</v>
      </c>
      <c r="M152" s="57" t="s">
        <v>31</v>
      </c>
      <c r="N152" s="63" t="b">
        <v>0</v>
      </c>
    </row>
    <row r="153" ht="13.5" customHeight="1">
      <c r="A153" s="68"/>
      <c r="B153" s="65" t="s">
        <v>49</v>
      </c>
      <c r="C153" s="53" t="s">
        <v>34</v>
      </c>
      <c r="D153" s="54"/>
      <c r="E153" s="66"/>
      <c r="F153" s="66"/>
      <c r="G153" s="66"/>
      <c r="H153" s="66"/>
      <c r="I153" s="66"/>
      <c r="J153" s="66"/>
      <c r="K153" s="67" t="s">
        <v>35</v>
      </c>
      <c r="L153" s="62">
        <f>(E153*E137)+(F153*F137)+(G153*G137)+(H153*H137)+(I153*I137)+(J153*J137)</f>
        <v>0</v>
      </c>
      <c r="M153" s="57" t="s">
        <v>36</v>
      </c>
      <c r="N153" s="63" t="b">
        <v>0</v>
      </c>
    </row>
    <row r="154" ht="13.5" customHeight="1">
      <c r="A154" s="80"/>
      <c r="B154" s="69" t="str">
        <f>IFS(L154=0,"",B154&lt;&gt;"",B154,TRUE,NOW())</f>
        <v/>
      </c>
      <c r="C154" s="53" t="s">
        <v>37</v>
      </c>
      <c r="D154" s="54"/>
      <c r="E154" s="81"/>
      <c r="F154" s="81"/>
      <c r="G154" s="81"/>
      <c r="H154" s="82"/>
      <c r="I154" s="81"/>
      <c r="J154" s="81"/>
      <c r="K154" s="72" t="s">
        <v>38</v>
      </c>
      <c r="L154" s="73">
        <f>L153-L152</f>
        <v>0</v>
      </c>
      <c r="M154" s="74" t="s">
        <v>39</v>
      </c>
      <c r="N154" s="75" t="b">
        <v>0</v>
      </c>
    </row>
    <row r="155" ht="13.5" customHeight="1">
      <c r="A155" s="83" t="s">
        <v>77</v>
      </c>
      <c r="B155" s="42" t="s">
        <v>20</v>
      </c>
      <c r="C155" s="24"/>
      <c r="D155" s="33"/>
      <c r="E155" s="43">
        <f t="shared" ref="E155:J155" si="41">E6</f>
        <v>17</v>
      </c>
      <c r="F155" s="43">
        <f t="shared" si="41"/>
        <v>27</v>
      </c>
      <c r="G155" s="43">
        <f t="shared" si="41"/>
        <v>27</v>
      </c>
      <c r="H155" s="43">
        <f t="shared" si="41"/>
        <v>27</v>
      </c>
      <c r="I155" s="43">
        <f t="shared" si="41"/>
        <v>32</v>
      </c>
      <c r="J155" s="44">
        <f t="shared" si="41"/>
        <v>37</v>
      </c>
      <c r="K155" s="42" t="s">
        <v>21</v>
      </c>
      <c r="L155" s="25"/>
      <c r="M155" s="45" t="s">
        <v>22</v>
      </c>
      <c r="N155" s="25"/>
    </row>
    <row r="156" ht="18.75" customHeight="1">
      <c r="A156" s="46" t="s">
        <v>23</v>
      </c>
      <c r="B156" s="47" t="s">
        <v>24</v>
      </c>
      <c r="C156" s="32" t="s">
        <v>25</v>
      </c>
      <c r="D156" s="33"/>
      <c r="E156" s="48"/>
      <c r="F156" s="48"/>
      <c r="G156" s="48"/>
      <c r="H156" s="48"/>
      <c r="I156" s="48"/>
      <c r="J156" s="48"/>
      <c r="K156" s="49"/>
      <c r="L156" s="25"/>
      <c r="M156" s="50"/>
      <c r="N156" s="10"/>
    </row>
    <row r="157" ht="13.5" customHeight="1">
      <c r="A157" s="92"/>
      <c r="B157" s="52" t="s">
        <v>78</v>
      </c>
      <c r="C157" s="53" t="s">
        <v>27</v>
      </c>
      <c r="D157" s="54"/>
      <c r="E157" s="55">
        <f t="shared" ref="E157:J157" si="42">E156-E158</f>
        <v>0</v>
      </c>
      <c r="F157" s="55">
        <f t="shared" si="42"/>
        <v>0</v>
      </c>
      <c r="G157" s="55">
        <f t="shared" si="42"/>
        <v>0</v>
      </c>
      <c r="H157" s="55">
        <f t="shared" si="42"/>
        <v>0</v>
      </c>
      <c r="I157" s="55">
        <f t="shared" si="42"/>
        <v>0</v>
      </c>
      <c r="J157" s="55">
        <f t="shared" si="42"/>
        <v>0</v>
      </c>
      <c r="K157" s="56"/>
      <c r="L157" s="30"/>
      <c r="M157" s="57" t="s">
        <v>28</v>
      </c>
      <c r="N157" s="58" t="b">
        <v>0</v>
      </c>
    </row>
    <row r="158" ht="13.5" customHeight="1">
      <c r="A158" s="46" t="s">
        <v>29</v>
      </c>
      <c r="B158" s="59"/>
      <c r="C158" s="53" t="s">
        <v>30</v>
      </c>
      <c r="D158" s="54"/>
      <c r="E158" s="60"/>
      <c r="F158" s="60"/>
      <c r="G158" s="60"/>
      <c r="H158" s="60"/>
      <c r="I158" s="60"/>
      <c r="J158" s="60"/>
      <c r="K158" s="61" t="s">
        <v>30</v>
      </c>
      <c r="L158" s="62">
        <f>(E158*E155)+(F158*F155)+(G158*G155)+(H158*H155)+(I158*I155)+(J158*J155)</f>
        <v>0</v>
      </c>
      <c r="M158" s="57" t="s">
        <v>31</v>
      </c>
      <c r="N158" s="63" t="b">
        <v>0</v>
      </c>
    </row>
    <row r="159" ht="13.5" customHeight="1">
      <c r="A159" s="64" t="s">
        <v>70</v>
      </c>
      <c r="B159" s="65" t="s">
        <v>33</v>
      </c>
      <c r="C159" s="53" t="s">
        <v>34</v>
      </c>
      <c r="D159" s="54"/>
      <c r="E159" s="66"/>
      <c r="F159" s="66"/>
      <c r="G159" s="66"/>
      <c r="H159" s="66"/>
      <c r="I159" s="66"/>
      <c r="J159" s="66"/>
      <c r="K159" s="67" t="s">
        <v>35</v>
      </c>
      <c r="L159" s="62">
        <f>(E159*E155)+(F159*F155)+(G159*G155)+(H159*H155)+(I159*I155)+(J159*J155)</f>
        <v>0</v>
      </c>
      <c r="M159" s="57" t="s">
        <v>36</v>
      </c>
      <c r="N159" s="63" t="b">
        <v>0</v>
      </c>
    </row>
    <row r="160" ht="13.5" customHeight="1">
      <c r="A160" s="68"/>
      <c r="B160" s="69" t="str">
        <f>IFS(L160=0,"",B160&lt;&gt;"",B160,TRUE,NOW())</f>
        <v/>
      </c>
      <c r="C160" s="70" t="s">
        <v>37</v>
      </c>
      <c r="D160" s="33"/>
      <c r="E160" s="71"/>
      <c r="F160" s="71"/>
      <c r="G160" s="71"/>
      <c r="H160" s="71"/>
      <c r="I160" s="71"/>
      <c r="J160" s="71"/>
      <c r="K160" s="72" t="s">
        <v>38</v>
      </c>
      <c r="L160" s="73">
        <f>L159-L158</f>
        <v>0</v>
      </c>
      <c r="M160" s="74" t="s">
        <v>39</v>
      </c>
      <c r="N160" s="75" t="b">
        <v>0</v>
      </c>
    </row>
    <row r="161" ht="13.5" customHeight="1">
      <c r="A161" s="46" t="s">
        <v>40</v>
      </c>
      <c r="B161" s="52" t="s">
        <v>78</v>
      </c>
      <c r="C161" s="53" t="s">
        <v>27</v>
      </c>
      <c r="D161" s="54"/>
      <c r="E161" s="55">
        <f t="shared" ref="E161:J161" si="43">E159-E162</f>
        <v>0</v>
      </c>
      <c r="F161" s="55">
        <f t="shared" si="43"/>
        <v>0</v>
      </c>
      <c r="G161" s="55">
        <f t="shared" si="43"/>
        <v>0</v>
      </c>
      <c r="H161" s="55">
        <f t="shared" si="43"/>
        <v>0</v>
      </c>
      <c r="I161" s="55">
        <f t="shared" si="43"/>
        <v>0</v>
      </c>
      <c r="J161" s="55">
        <f t="shared" si="43"/>
        <v>0</v>
      </c>
      <c r="K161" s="56"/>
      <c r="L161" s="30"/>
      <c r="M161" s="57" t="s">
        <v>28</v>
      </c>
      <c r="N161" s="58" t="b">
        <v>0</v>
      </c>
    </row>
    <row r="162" ht="13.5" customHeight="1">
      <c r="A162" s="64"/>
      <c r="B162" s="59"/>
      <c r="C162" s="53" t="s">
        <v>30</v>
      </c>
      <c r="D162" s="54"/>
      <c r="E162" s="60"/>
      <c r="F162" s="60"/>
      <c r="G162" s="60"/>
      <c r="H162" s="60"/>
      <c r="I162" s="84"/>
      <c r="J162" s="60"/>
      <c r="K162" s="61" t="s">
        <v>30</v>
      </c>
      <c r="L162" s="62">
        <f>(E162*E155)+(F162*F155)+(G162*G155)+(H162*H155)+(I162*I155)+(J162*J155)</f>
        <v>0</v>
      </c>
      <c r="M162" s="57" t="s">
        <v>31</v>
      </c>
      <c r="N162" s="63" t="b">
        <v>0</v>
      </c>
    </row>
    <row r="163" ht="17.25" customHeight="1">
      <c r="A163" s="68"/>
      <c r="B163" s="65" t="s">
        <v>42</v>
      </c>
      <c r="C163" s="53" t="s">
        <v>34</v>
      </c>
      <c r="D163" s="54"/>
      <c r="E163" s="66"/>
      <c r="F163" s="76"/>
      <c r="G163" s="76"/>
      <c r="H163" s="76"/>
      <c r="I163" s="76"/>
      <c r="J163" s="76"/>
      <c r="K163" s="67" t="s">
        <v>35</v>
      </c>
      <c r="L163" s="62">
        <f>(E163*E155)+(F163*F155)+(G163*G155)+(H163*H155)+(I163*I155)+(J163*J155)</f>
        <v>0</v>
      </c>
      <c r="M163" s="57" t="s">
        <v>36</v>
      </c>
      <c r="N163" s="63" t="b">
        <v>0</v>
      </c>
    </row>
    <row r="164" ht="13.5" customHeight="1">
      <c r="A164" s="46" t="s">
        <v>43</v>
      </c>
      <c r="B164" s="69" t="str">
        <f>IFS(L164=0,"",B164&lt;&gt;"",B164,TRUE,NOW())</f>
        <v/>
      </c>
      <c r="C164" s="70" t="s">
        <v>37</v>
      </c>
      <c r="D164" s="33"/>
      <c r="E164" s="71"/>
      <c r="F164" s="71"/>
      <c r="G164" s="71"/>
      <c r="H164" s="71"/>
      <c r="I164" s="71"/>
      <c r="J164" s="71"/>
      <c r="K164" s="72" t="s">
        <v>38</v>
      </c>
      <c r="L164" s="73">
        <f>L163-L162</f>
        <v>0</v>
      </c>
      <c r="M164" s="74" t="s">
        <v>39</v>
      </c>
      <c r="N164" s="75" t="b">
        <v>0</v>
      </c>
    </row>
    <row r="165" ht="13.5" customHeight="1">
      <c r="A165" s="64"/>
      <c r="B165" s="52" t="s">
        <v>78</v>
      </c>
      <c r="C165" s="53" t="s">
        <v>27</v>
      </c>
      <c r="D165" s="54"/>
      <c r="E165" s="55">
        <f t="shared" ref="E165:J165" si="44">E163-E166</f>
        <v>0</v>
      </c>
      <c r="F165" s="55">
        <f t="shared" si="44"/>
        <v>0</v>
      </c>
      <c r="G165" s="55">
        <f t="shared" si="44"/>
        <v>0</v>
      </c>
      <c r="H165" s="55">
        <f t="shared" si="44"/>
        <v>0</v>
      </c>
      <c r="I165" s="55">
        <f t="shared" si="44"/>
        <v>0</v>
      </c>
      <c r="J165" s="55">
        <f t="shared" si="44"/>
        <v>0</v>
      </c>
      <c r="K165" s="56"/>
      <c r="L165" s="30"/>
      <c r="M165" s="57" t="s">
        <v>28</v>
      </c>
      <c r="N165" s="58" t="b">
        <v>0</v>
      </c>
    </row>
    <row r="166" ht="13.5" customHeight="1">
      <c r="A166" s="46" t="s">
        <v>45</v>
      </c>
      <c r="B166" s="59"/>
      <c r="C166" s="53" t="s">
        <v>30</v>
      </c>
      <c r="D166" s="54"/>
      <c r="E166" s="60"/>
      <c r="F166" s="60"/>
      <c r="G166" s="60"/>
      <c r="H166" s="60"/>
      <c r="I166" s="60"/>
      <c r="J166" s="60"/>
      <c r="K166" s="61" t="s">
        <v>30</v>
      </c>
      <c r="L166" s="62">
        <f>(E166*E155)+(F166*F155)+(G166*G155)+(H166*H155)+(I166*I155)+(J166*J155)</f>
        <v>0</v>
      </c>
      <c r="M166" s="57" t="s">
        <v>31</v>
      </c>
      <c r="N166" s="63" t="b">
        <v>0</v>
      </c>
    </row>
    <row r="167" ht="13.5" customHeight="1">
      <c r="A167" s="77"/>
      <c r="B167" s="65" t="s">
        <v>47</v>
      </c>
      <c r="C167" s="53" t="s">
        <v>34</v>
      </c>
      <c r="D167" s="54"/>
      <c r="E167" s="66"/>
      <c r="F167" s="66"/>
      <c r="G167" s="66"/>
      <c r="H167" s="66"/>
      <c r="I167" s="66"/>
      <c r="J167" s="66"/>
      <c r="K167" s="67" t="s">
        <v>35</v>
      </c>
      <c r="L167" s="62">
        <f>(E167*E155)+(F167*F155)+(G167*G155)+(H167*H155)+(I167*I155)+(J167*J155)</f>
        <v>0</v>
      </c>
      <c r="M167" s="57" t="s">
        <v>36</v>
      </c>
      <c r="N167" s="63" t="b">
        <v>0</v>
      </c>
    </row>
    <row r="168" ht="15.0" customHeight="1">
      <c r="A168" s="68"/>
      <c r="B168" s="69" t="str">
        <f>IFS(L168=0,"",B168&lt;&gt;"",B168,TRUE,NOW())</f>
        <v/>
      </c>
      <c r="C168" s="70" t="s">
        <v>37</v>
      </c>
      <c r="D168" s="33"/>
      <c r="E168" s="71"/>
      <c r="F168" s="71"/>
      <c r="G168" s="71"/>
      <c r="H168" s="71"/>
      <c r="I168" s="71"/>
      <c r="J168" s="71"/>
      <c r="K168" s="72" t="s">
        <v>38</v>
      </c>
      <c r="L168" s="73">
        <f>L167-L166</f>
        <v>0</v>
      </c>
      <c r="M168" s="74" t="s">
        <v>39</v>
      </c>
      <c r="N168" s="75" t="b">
        <v>0</v>
      </c>
    </row>
    <row r="169" ht="13.5" customHeight="1">
      <c r="A169" s="78" t="s">
        <v>48</v>
      </c>
      <c r="B169" s="52" t="s">
        <v>78</v>
      </c>
      <c r="C169" s="53" t="s">
        <v>27</v>
      </c>
      <c r="D169" s="54"/>
      <c r="E169" s="55">
        <f t="shared" ref="E169:J169" si="45">E167-E170</f>
        <v>0</v>
      </c>
      <c r="F169" s="55">
        <f t="shared" si="45"/>
        <v>0</v>
      </c>
      <c r="G169" s="55">
        <f t="shared" si="45"/>
        <v>0</v>
      </c>
      <c r="H169" s="55">
        <f t="shared" si="45"/>
        <v>0</v>
      </c>
      <c r="I169" s="55">
        <f t="shared" si="45"/>
        <v>0</v>
      </c>
      <c r="J169" s="55">
        <f t="shared" si="45"/>
        <v>0</v>
      </c>
      <c r="K169" s="56"/>
      <c r="L169" s="30"/>
      <c r="M169" s="57" t="s">
        <v>28</v>
      </c>
      <c r="N169" s="58" t="b">
        <v>0</v>
      </c>
    </row>
    <row r="170" ht="13.5" customHeight="1">
      <c r="A170" s="87"/>
      <c r="B170" s="59"/>
      <c r="C170" s="53" t="s">
        <v>30</v>
      </c>
      <c r="D170" s="54"/>
      <c r="E170" s="60"/>
      <c r="F170" s="60"/>
      <c r="G170" s="60"/>
      <c r="H170" s="60"/>
      <c r="I170" s="60"/>
      <c r="J170" s="60"/>
      <c r="K170" s="61" t="s">
        <v>30</v>
      </c>
      <c r="L170" s="62">
        <f>(E170*E155)+(F170*F155)+(G170*G155)+(H170*H155)+(I170*I155)+(J170*J155)</f>
        <v>0</v>
      </c>
      <c r="M170" s="57" t="s">
        <v>31</v>
      </c>
      <c r="N170" s="63" t="b">
        <v>0</v>
      </c>
    </row>
    <row r="171" ht="13.5" customHeight="1">
      <c r="A171" s="68"/>
      <c r="B171" s="65" t="s">
        <v>49</v>
      </c>
      <c r="C171" s="53" t="s">
        <v>34</v>
      </c>
      <c r="D171" s="54"/>
      <c r="E171" s="66"/>
      <c r="F171" s="66"/>
      <c r="G171" s="66"/>
      <c r="H171" s="66"/>
      <c r="I171" s="66"/>
      <c r="J171" s="66"/>
      <c r="K171" s="67" t="s">
        <v>35</v>
      </c>
      <c r="L171" s="62">
        <f>(E171*E155)+(F171*F155)+(G171*G155)+(H171*H155)+(I171*I155)+(J171*J155)</f>
        <v>0</v>
      </c>
      <c r="M171" s="57" t="s">
        <v>36</v>
      </c>
      <c r="N171" s="63" t="b">
        <v>0</v>
      </c>
    </row>
    <row r="172" ht="13.5" customHeight="1">
      <c r="A172" s="80"/>
      <c r="B172" s="69" t="str">
        <f>IFS(L172=0,"",B172&lt;&gt;"",B172,TRUE,NOW())</f>
        <v/>
      </c>
      <c r="C172" s="86" t="s">
        <v>37</v>
      </c>
      <c r="D172" s="59"/>
      <c r="E172" s="81"/>
      <c r="F172" s="81"/>
      <c r="G172" s="81"/>
      <c r="H172" s="82"/>
      <c r="I172" s="81"/>
      <c r="J172" s="81"/>
      <c r="K172" s="72" t="s">
        <v>38</v>
      </c>
      <c r="L172" s="73">
        <f>L171-L170</f>
        <v>0</v>
      </c>
      <c r="M172" s="74" t="s">
        <v>39</v>
      </c>
      <c r="N172" s="75" t="b">
        <v>0</v>
      </c>
    </row>
    <row r="173" ht="15.0" customHeight="1">
      <c r="A173" s="83" t="s">
        <v>80</v>
      </c>
      <c r="B173" s="42" t="s">
        <v>20</v>
      </c>
      <c r="C173" s="24"/>
      <c r="D173" s="33"/>
      <c r="E173" s="43">
        <f t="shared" ref="E173:J173" si="46">E6</f>
        <v>17</v>
      </c>
      <c r="F173" s="43">
        <f t="shared" si="46"/>
        <v>27</v>
      </c>
      <c r="G173" s="43">
        <f t="shared" si="46"/>
        <v>27</v>
      </c>
      <c r="H173" s="43">
        <f t="shared" si="46"/>
        <v>27</v>
      </c>
      <c r="I173" s="43">
        <f t="shared" si="46"/>
        <v>32</v>
      </c>
      <c r="J173" s="44">
        <f t="shared" si="46"/>
        <v>37</v>
      </c>
      <c r="K173" s="42" t="s">
        <v>21</v>
      </c>
      <c r="L173" s="25"/>
      <c r="M173" s="45" t="s">
        <v>22</v>
      </c>
      <c r="N173" s="25"/>
    </row>
    <row r="174" ht="13.5" customHeight="1">
      <c r="A174" s="46" t="s">
        <v>23</v>
      </c>
      <c r="B174" s="47" t="s">
        <v>24</v>
      </c>
      <c r="C174" s="32" t="s">
        <v>25</v>
      </c>
      <c r="D174" s="33"/>
      <c r="E174" s="48"/>
      <c r="F174" s="48"/>
      <c r="G174" s="48"/>
      <c r="H174" s="48"/>
      <c r="I174" s="48"/>
      <c r="J174" s="48"/>
      <c r="K174" s="49"/>
      <c r="L174" s="25"/>
      <c r="M174" s="50"/>
      <c r="N174" s="10"/>
    </row>
    <row r="175" ht="13.5" customHeight="1">
      <c r="A175" s="92"/>
      <c r="B175" s="52" t="s">
        <v>81</v>
      </c>
      <c r="C175" s="53" t="s">
        <v>27</v>
      </c>
      <c r="D175" s="54"/>
      <c r="E175" s="55">
        <f t="shared" ref="E175:J175" si="47">E174-E176</f>
        <v>0</v>
      </c>
      <c r="F175" s="55">
        <f t="shared" si="47"/>
        <v>0</v>
      </c>
      <c r="G175" s="55">
        <f t="shared" si="47"/>
        <v>0</v>
      </c>
      <c r="H175" s="55">
        <f t="shared" si="47"/>
        <v>0</v>
      </c>
      <c r="I175" s="55">
        <f t="shared" si="47"/>
        <v>0</v>
      </c>
      <c r="J175" s="55">
        <f t="shared" si="47"/>
        <v>0</v>
      </c>
      <c r="K175" s="56"/>
      <c r="L175" s="30"/>
      <c r="M175" s="57" t="s">
        <v>28</v>
      </c>
      <c r="N175" s="58" t="b">
        <v>0</v>
      </c>
    </row>
    <row r="176" ht="13.5" customHeight="1">
      <c r="A176" s="46" t="s">
        <v>29</v>
      </c>
      <c r="B176" s="59"/>
      <c r="C176" s="53" t="s">
        <v>30</v>
      </c>
      <c r="D176" s="54"/>
      <c r="E176" s="60"/>
      <c r="F176" s="60"/>
      <c r="G176" s="60"/>
      <c r="H176" s="60"/>
      <c r="I176" s="60"/>
      <c r="J176" s="60"/>
      <c r="K176" s="61" t="s">
        <v>30</v>
      </c>
      <c r="L176" s="62">
        <f>(E176*E173)+(F176*F173)+(G176*G173)+(H176*H173)+(I176*I173)+(J176*J173)</f>
        <v>0</v>
      </c>
      <c r="M176" s="57" t="s">
        <v>31</v>
      </c>
      <c r="N176" s="63" t="b">
        <v>0</v>
      </c>
    </row>
    <row r="177" ht="13.5" customHeight="1">
      <c r="A177" s="64" t="s">
        <v>185</v>
      </c>
      <c r="B177" s="65" t="s">
        <v>33</v>
      </c>
      <c r="C177" s="53" t="s">
        <v>34</v>
      </c>
      <c r="D177" s="54"/>
      <c r="E177" s="66"/>
      <c r="F177" s="66"/>
      <c r="G177" s="66"/>
      <c r="H177" s="66"/>
      <c r="I177" s="66"/>
      <c r="J177" s="66"/>
      <c r="K177" s="67" t="s">
        <v>35</v>
      </c>
      <c r="L177" s="62">
        <f>(E177*E173)+(F177*F173)+(G177*G173)+(H177*H173)+(I177*I173)+(J177*J173)</f>
        <v>0</v>
      </c>
      <c r="M177" s="57" t="s">
        <v>36</v>
      </c>
      <c r="N177" s="63" t="b">
        <v>0</v>
      </c>
    </row>
    <row r="178" ht="15.0" customHeight="1">
      <c r="A178" s="68"/>
      <c r="B178" s="69" t="str">
        <f>IFS(L178=0,"",B178&lt;&gt;"",B178,TRUE,NOW())</f>
        <v/>
      </c>
      <c r="C178" s="70" t="s">
        <v>37</v>
      </c>
      <c r="D178" s="33"/>
      <c r="E178" s="71"/>
      <c r="F178" s="71"/>
      <c r="G178" s="71"/>
      <c r="H178" s="71"/>
      <c r="I178" s="71"/>
      <c r="J178" s="71"/>
      <c r="K178" s="72" t="s">
        <v>38</v>
      </c>
      <c r="L178" s="73">
        <f>L177-L176</f>
        <v>0</v>
      </c>
      <c r="M178" s="74" t="s">
        <v>39</v>
      </c>
      <c r="N178" s="75" t="b">
        <v>0</v>
      </c>
    </row>
    <row r="179" ht="13.5" customHeight="1">
      <c r="A179" s="46" t="s">
        <v>40</v>
      </c>
      <c r="B179" s="52" t="s">
        <v>81</v>
      </c>
      <c r="C179" s="53" t="s">
        <v>27</v>
      </c>
      <c r="D179" s="54"/>
      <c r="E179" s="55">
        <f t="shared" ref="E179:J179" si="48">E177-E180</f>
        <v>0</v>
      </c>
      <c r="F179" s="55">
        <f t="shared" si="48"/>
        <v>0</v>
      </c>
      <c r="G179" s="55">
        <f t="shared" si="48"/>
        <v>0</v>
      </c>
      <c r="H179" s="55">
        <f t="shared" si="48"/>
        <v>0</v>
      </c>
      <c r="I179" s="55">
        <f t="shared" si="48"/>
        <v>0</v>
      </c>
      <c r="J179" s="55">
        <f t="shared" si="48"/>
        <v>0</v>
      </c>
      <c r="K179" s="56"/>
      <c r="L179" s="30"/>
      <c r="M179" s="57" t="s">
        <v>28</v>
      </c>
      <c r="N179" s="58" t="b">
        <v>0</v>
      </c>
    </row>
    <row r="180" ht="13.5" customHeight="1">
      <c r="A180" s="64"/>
      <c r="B180" s="59"/>
      <c r="C180" s="53" t="s">
        <v>30</v>
      </c>
      <c r="D180" s="54"/>
      <c r="E180" s="60"/>
      <c r="F180" s="60"/>
      <c r="G180" s="60"/>
      <c r="H180" s="60"/>
      <c r="I180" s="60"/>
      <c r="J180" s="60"/>
      <c r="K180" s="61" t="s">
        <v>30</v>
      </c>
      <c r="L180" s="62">
        <f>(E180*E173)+(F180*F173)+(G180*G173)+(H180*H173)+(I180*I173)+(J180*J173)</f>
        <v>0</v>
      </c>
      <c r="M180" s="57" t="s">
        <v>31</v>
      </c>
      <c r="N180" s="63" t="b">
        <v>0</v>
      </c>
    </row>
    <row r="181" ht="13.5" customHeight="1">
      <c r="A181" s="68"/>
      <c r="B181" s="65" t="s">
        <v>42</v>
      </c>
      <c r="C181" s="53" t="s">
        <v>34</v>
      </c>
      <c r="D181" s="54"/>
      <c r="E181" s="66"/>
      <c r="F181" s="76"/>
      <c r="G181" s="66"/>
      <c r="H181" s="66"/>
      <c r="I181" s="66"/>
      <c r="J181" s="76"/>
      <c r="K181" s="67" t="s">
        <v>35</v>
      </c>
      <c r="L181" s="62">
        <f>(E181*E173)+(F181*F173)+(G181*G173)+(H181*H173)+(I181*I173)+(J181*J173)</f>
        <v>0</v>
      </c>
      <c r="M181" s="57" t="s">
        <v>36</v>
      </c>
      <c r="N181" s="63" t="b">
        <v>0</v>
      </c>
    </row>
    <row r="182" ht="13.5" customHeight="1">
      <c r="A182" s="46" t="s">
        <v>43</v>
      </c>
      <c r="B182" s="69" t="str">
        <f>IFS(L182=0,"",B182&lt;&gt;"",B182,TRUE,NOW())</f>
        <v/>
      </c>
      <c r="C182" s="70" t="s">
        <v>37</v>
      </c>
      <c r="D182" s="33"/>
      <c r="E182" s="71"/>
      <c r="F182" s="71"/>
      <c r="G182" s="71"/>
      <c r="H182" s="71"/>
      <c r="I182" s="71"/>
      <c r="J182" s="71"/>
      <c r="K182" s="72" t="s">
        <v>38</v>
      </c>
      <c r="L182" s="73">
        <f>L181-L180</f>
        <v>0</v>
      </c>
      <c r="M182" s="74" t="s">
        <v>39</v>
      </c>
      <c r="N182" s="75" t="b">
        <v>0</v>
      </c>
    </row>
    <row r="183" ht="13.5" customHeight="1">
      <c r="A183" s="64"/>
      <c r="B183" s="52" t="s">
        <v>81</v>
      </c>
      <c r="C183" s="53" t="s">
        <v>27</v>
      </c>
      <c r="D183" s="54"/>
      <c r="E183" s="55">
        <f t="shared" ref="E183:J183" si="49">E181-E184</f>
        <v>0</v>
      </c>
      <c r="F183" s="55">
        <f t="shared" si="49"/>
        <v>0</v>
      </c>
      <c r="G183" s="55">
        <f t="shared" si="49"/>
        <v>0</v>
      </c>
      <c r="H183" s="55">
        <f t="shared" si="49"/>
        <v>0</v>
      </c>
      <c r="I183" s="55">
        <f t="shared" si="49"/>
        <v>0</v>
      </c>
      <c r="J183" s="55">
        <f t="shared" si="49"/>
        <v>0</v>
      </c>
      <c r="K183" s="56"/>
      <c r="L183" s="30"/>
      <c r="M183" s="57" t="s">
        <v>28</v>
      </c>
      <c r="N183" s="58" t="b">
        <v>0</v>
      </c>
    </row>
    <row r="184" ht="13.5" customHeight="1">
      <c r="A184" s="46" t="s">
        <v>45</v>
      </c>
      <c r="B184" s="59"/>
      <c r="C184" s="53" t="s">
        <v>30</v>
      </c>
      <c r="D184" s="54"/>
      <c r="E184" s="60"/>
      <c r="F184" s="60"/>
      <c r="G184" s="60"/>
      <c r="H184" s="60"/>
      <c r="I184" s="60"/>
      <c r="J184" s="60"/>
      <c r="K184" s="61" t="s">
        <v>30</v>
      </c>
      <c r="L184" s="62">
        <f>(E184*E173)+(F184*F173)+(G184*G173)+(H184*H173)+(I184*I173)+(J184*J173)</f>
        <v>0</v>
      </c>
      <c r="M184" s="57" t="s">
        <v>31</v>
      </c>
      <c r="N184" s="63" t="b">
        <v>0</v>
      </c>
    </row>
    <row r="185" ht="18.0" customHeight="1">
      <c r="A185" s="77"/>
      <c r="B185" s="65" t="s">
        <v>47</v>
      </c>
      <c r="C185" s="53" t="s">
        <v>34</v>
      </c>
      <c r="D185" s="54"/>
      <c r="E185" s="66"/>
      <c r="F185" s="66"/>
      <c r="G185" s="66"/>
      <c r="H185" s="66"/>
      <c r="I185" s="66"/>
      <c r="J185" s="66"/>
      <c r="K185" s="67" t="s">
        <v>35</v>
      </c>
      <c r="L185" s="62">
        <f>(E185*E173)+(F185*F173)+(G185*G173)+(H185*H173)+(I185*I173)+(J185*J173)</f>
        <v>0</v>
      </c>
      <c r="M185" s="57" t="s">
        <v>36</v>
      </c>
      <c r="N185" s="63" t="b">
        <v>0</v>
      </c>
    </row>
    <row r="186" ht="13.5" customHeight="1">
      <c r="A186" s="68"/>
      <c r="B186" s="69" t="str">
        <f>IFS(L186=0,"",B186&lt;&gt;"",B186,TRUE,NOW())</f>
        <v/>
      </c>
      <c r="C186" s="70" t="s">
        <v>37</v>
      </c>
      <c r="D186" s="33"/>
      <c r="E186" s="71"/>
      <c r="F186" s="71"/>
      <c r="G186" s="71"/>
      <c r="H186" s="71"/>
      <c r="I186" s="71"/>
      <c r="J186" s="71"/>
      <c r="K186" s="72" t="s">
        <v>38</v>
      </c>
      <c r="L186" s="73">
        <f>L185-L184</f>
        <v>0</v>
      </c>
      <c r="M186" s="74" t="s">
        <v>39</v>
      </c>
      <c r="N186" s="75" t="b">
        <v>0</v>
      </c>
    </row>
    <row r="187" ht="13.5" customHeight="1">
      <c r="A187" s="78" t="s">
        <v>48</v>
      </c>
      <c r="B187" s="52" t="s">
        <v>81</v>
      </c>
      <c r="C187" s="53" t="s">
        <v>27</v>
      </c>
      <c r="D187" s="54"/>
      <c r="E187" s="55">
        <f t="shared" ref="E187:J187" si="50">E185-E188</f>
        <v>0</v>
      </c>
      <c r="F187" s="55">
        <f t="shared" si="50"/>
        <v>0</v>
      </c>
      <c r="G187" s="55">
        <f t="shared" si="50"/>
        <v>0</v>
      </c>
      <c r="H187" s="55">
        <f t="shared" si="50"/>
        <v>0</v>
      </c>
      <c r="I187" s="55">
        <f t="shared" si="50"/>
        <v>0</v>
      </c>
      <c r="J187" s="55">
        <f t="shared" si="50"/>
        <v>0</v>
      </c>
      <c r="K187" s="56"/>
      <c r="L187" s="30"/>
      <c r="M187" s="57" t="s">
        <v>28</v>
      </c>
      <c r="N187" s="58" t="b">
        <v>0</v>
      </c>
    </row>
    <row r="188" ht="13.5" customHeight="1">
      <c r="A188" s="87"/>
      <c r="B188" s="59"/>
      <c r="C188" s="53" t="s">
        <v>30</v>
      </c>
      <c r="D188" s="54"/>
      <c r="E188" s="60"/>
      <c r="F188" s="60"/>
      <c r="G188" s="60"/>
      <c r="H188" s="60"/>
      <c r="I188" s="60"/>
      <c r="J188" s="60"/>
      <c r="K188" s="61" t="s">
        <v>30</v>
      </c>
      <c r="L188" s="62">
        <f>(E188*E173)+(F188*F173)+(G188*G173)+(H188*H173)+(I188*I173)+(J188*J173)</f>
        <v>0</v>
      </c>
      <c r="M188" s="57" t="s">
        <v>31</v>
      </c>
      <c r="N188" s="63" t="b">
        <v>0</v>
      </c>
    </row>
    <row r="189" ht="13.5" customHeight="1">
      <c r="A189" s="68"/>
      <c r="B189" s="65" t="s">
        <v>49</v>
      </c>
      <c r="C189" s="53" t="s">
        <v>34</v>
      </c>
      <c r="D189" s="54"/>
      <c r="E189" s="66"/>
      <c r="F189" s="66"/>
      <c r="G189" s="66"/>
      <c r="H189" s="66"/>
      <c r="I189" s="66"/>
      <c r="J189" s="66"/>
      <c r="K189" s="67" t="s">
        <v>35</v>
      </c>
      <c r="L189" s="62">
        <f>(E189*E173)+(F189*F173)+(G189*G173)+(H189*H173)+(I189*I173)+(J189*J173)</f>
        <v>0</v>
      </c>
      <c r="M189" s="57" t="s">
        <v>36</v>
      </c>
      <c r="N189" s="63" t="b">
        <v>0</v>
      </c>
    </row>
    <row r="190" ht="15.0" customHeight="1">
      <c r="A190" s="80"/>
      <c r="B190" s="69" t="str">
        <f>IFS(L190=0,"",B190&lt;&gt;"",B190,TRUE,NOW())</f>
        <v/>
      </c>
      <c r="C190" s="86" t="s">
        <v>37</v>
      </c>
      <c r="D190" s="59"/>
      <c r="E190" s="81"/>
      <c r="F190" s="81"/>
      <c r="G190" s="81"/>
      <c r="H190" s="82"/>
      <c r="I190" s="81"/>
      <c r="J190" s="81"/>
      <c r="K190" s="72" t="s">
        <v>38</v>
      </c>
      <c r="L190" s="73">
        <f>L189-L188</f>
        <v>0</v>
      </c>
      <c r="M190" s="74" t="s">
        <v>39</v>
      </c>
      <c r="N190" s="75" t="b">
        <v>0</v>
      </c>
    </row>
    <row r="191" ht="13.5" customHeight="1">
      <c r="A191" s="83" t="s">
        <v>83</v>
      </c>
      <c r="B191" s="42" t="s">
        <v>20</v>
      </c>
      <c r="C191" s="24"/>
      <c r="D191" s="33"/>
      <c r="E191" s="43">
        <f t="shared" ref="E191:J191" si="51">E6</f>
        <v>17</v>
      </c>
      <c r="F191" s="43">
        <f t="shared" si="51"/>
        <v>27</v>
      </c>
      <c r="G191" s="43">
        <f t="shared" si="51"/>
        <v>27</v>
      </c>
      <c r="H191" s="43">
        <f t="shared" si="51"/>
        <v>27</v>
      </c>
      <c r="I191" s="43">
        <f t="shared" si="51"/>
        <v>32</v>
      </c>
      <c r="J191" s="44">
        <f t="shared" si="51"/>
        <v>37</v>
      </c>
      <c r="K191" s="42" t="s">
        <v>21</v>
      </c>
      <c r="L191" s="25"/>
      <c r="M191" s="45" t="s">
        <v>22</v>
      </c>
      <c r="N191" s="25"/>
    </row>
    <row r="192" ht="13.5" customHeight="1">
      <c r="A192" s="46" t="s">
        <v>23</v>
      </c>
      <c r="B192" s="47" t="s">
        <v>24</v>
      </c>
      <c r="C192" s="32" t="s">
        <v>25</v>
      </c>
      <c r="D192" s="33"/>
      <c r="E192" s="48"/>
      <c r="F192" s="48"/>
      <c r="G192" s="48"/>
      <c r="H192" s="48"/>
      <c r="I192" s="48"/>
      <c r="J192" s="48"/>
      <c r="K192" s="49"/>
      <c r="L192" s="25"/>
      <c r="M192" s="50"/>
      <c r="N192" s="10"/>
    </row>
    <row r="193" ht="13.5" customHeight="1">
      <c r="A193" s="92"/>
      <c r="B193" s="52" t="s">
        <v>84</v>
      </c>
      <c r="C193" s="53" t="s">
        <v>27</v>
      </c>
      <c r="D193" s="54"/>
      <c r="E193" s="55">
        <f t="shared" ref="E193:J193" si="52">E192-E194</f>
        <v>0</v>
      </c>
      <c r="F193" s="55">
        <f t="shared" si="52"/>
        <v>0</v>
      </c>
      <c r="G193" s="55">
        <f t="shared" si="52"/>
        <v>0</v>
      </c>
      <c r="H193" s="55">
        <f t="shared" si="52"/>
        <v>0</v>
      </c>
      <c r="I193" s="55">
        <f t="shared" si="52"/>
        <v>0</v>
      </c>
      <c r="J193" s="55">
        <f t="shared" si="52"/>
        <v>0</v>
      </c>
      <c r="K193" s="56"/>
      <c r="L193" s="30"/>
      <c r="M193" s="57" t="s">
        <v>28</v>
      </c>
      <c r="N193" s="58" t="b">
        <v>0</v>
      </c>
    </row>
    <row r="194" ht="13.5" customHeight="1">
      <c r="A194" s="46" t="s">
        <v>29</v>
      </c>
      <c r="B194" s="59"/>
      <c r="C194" s="53" t="s">
        <v>30</v>
      </c>
      <c r="D194" s="54"/>
      <c r="E194" s="60"/>
      <c r="F194" s="60"/>
      <c r="G194" s="60"/>
      <c r="H194" s="60"/>
      <c r="I194" s="60"/>
      <c r="J194" s="60"/>
      <c r="K194" s="61" t="s">
        <v>30</v>
      </c>
      <c r="L194" s="62">
        <f>(E194*E191)+(F194*F191)+(G194*G191)+(H194*H191)+(I194*I191)+(J194*J191)</f>
        <v>0</v>
      </c>
      <c r="M194" s="57" t="s">
        <v>31</v>
      </c>
      <c r="N194" s="63" t="b">
        <v>0</v>
      </c>
    </row>
    <row r="195" ht="18.0" customHeight="1">
      <c r="A195" s="64" t="s">
        <v>186</v>
      </c>
      <c r="B195" s="65" t="s">
        <v>33</v>
      </c>
      <c r="C195" s="53" t="s">
        <v>34</v>
      </c>
      <c r="D195" s="54"/>
      <c r="E195" s="66"/>
      <c r="F195" s="66"/>
      <c r="G195" s="66"/>
      <c r="H195" s="66"/>
      <c r="I195" s="66"/>
      <c r="J195" s="66"/>
      <c r="K195" s="67" t="s">
        <v>35</v>
      </c>
      <c r="L195" s="62">
        <f>(E195*E191)+(F195*F191)+(G195*G191)+(H195*H191)+(I195*I191)+(J195*J191)</f>
        <v>0</v>
      </c>
      <c r="M195" s="57" t="s">
        <v>36</v>
      </c>
      <c r="N195" s="63" t="b">
        <v>0</v>
      </c>
    </row>
    <row r="196" ht="13.5" customHeight="1">
      <c r="A196" s="68"/>
      <c r="B196" s="69" t="str">
        <f>IFS(L196=0,"",B196&lt;&gt;"",B196,TRUE,NOW())</f>
        <v/>
      </c>
      <c r="C196" s="70" t="s">
        <v>37</v>
      </c>
      <c r="D196" s="33"/>
      <c r="E196" s="71"/>
      <c r="F196" s="71"/>
      <c r="G196" s="71"/>
      <c r="H196" s="71"/>
      <c r="I196" s="71"/>
      <c r="J196" s="71"/>
      <c r="K196" s="72" t="s">
        <v>38</v>
      </c>
      <c r="L196" s="73">
        <f>L195-L194</f>
        <v>0</v>
      </c>
      <c r="M196" s="74" t="s">
        <v>39</v>
      </c>
      <c r="N196" s="75" t="b">
        <v>0</v>
      </c>
    </row>
    <row r="197" ht="13.5" customHeight="1">
      <c r="A197" s="46" t="s">
        <v>40</v>
      </c>
      <c r="B197" s="52" t="s">
        <v>84</v>
      </c>
      <c r="C197" s="53" t="s">
        <v>27</v>
      </c>
      <c r="D197" s="54"/>
      <c r="E197" s="55">
        <f t="shared" ref="E197:J197" si="53">E195-E198</f>
        <v>0</v>
      </c>
      <c r="F197" s="55">
        <f t="shared" si="53"/>
        <v>0</v>
      </c>
      <c r="G197" s="55">
        <f t="shared" si="53"/>
        <v>0</v>
      </c>
      <c r="H197" s="55">
        <f t="shared" si="53"/>
        <v>0</v>
      </c>
      <c r="I197" s="55">
        <f t="shared" si="53"/>
        <v>0</v>
      </c>
      <c r="J197" s="55">
        <f t="shared" si="53"/>
        <v>0</v>
      </c>
      <c r="K197" s="56"/>
      <c r="L197" s="30"/>
      <c r="M197" s="57" t="s">
        <v>28</v>
      </c>
      <c r="N197" s="58" t="b">
        <v>0</v>
      </c>
    </row>
    <row r="198" ht="13.5" customHeight="1">
      <c r="A198" s="64"/>
      <c r="B198" s="59"/>
      <c r="C198" s="53" t="s">
        <v>30</v>
      </c>
      <c r="D198" s="54"/>
      <c r="E198" s="60"/>
      <c r="F198" s="60"/>
      <c r="G198" s="60"/>
      <c r="H198" s="60"/>
      <c r="I198" s="60"/>
      <c r="J198" s="60"/>
      <c r="K198" s="61" t="s">
        <v>30</v>
      </c>
      <c r="L198" s="62">
        <f>(E198*E191)+(F198*F191)+(G198*G191)+(H198*H191)+(I198*I191)+(J198*J191)</f>
        <v>0</v>
      </c>
      <c r="M198" s="57" t="s">
        <v>31</v>
      </c>
      <c r="N198" s="63" t="b">
        <v>0</v>
      </c>
    </row>
    <row r="199" ht="13.5" customHeight="1">
      <c r="A199" s="68"/>
      <c r="B199" s="65" t="s">
        <v>42</v>
      </c>
      <c r="C199" s="53" t="s">
        <v>34</v>
      </c>
      <c r="D199" s="54"/>
      <c r="E199" s="66"/>
      <c r="F199" s="66"/>
      <c r="G199" s="66"/>
      <c r="H199" s="66"/>
      <c r="I199" s="66"/>
      <c r="J199" s="66"/>
      <c r="K199" s="67" t="s">
        <v>35</v>
      </c>
      <c r="L199" s="62">
        <f>(E199*E191)+(F199*F191)+(G199*G191)+(H199*H191)+(I199*I191)+(J199*J191)</f>
        <v>0</v>
      </c>
      <c r="M199" s="57" t="s">
        <v>36</v>
      </c>
      <c r="N199" s="63" t="b">
        <v>0</v>
      </c>
    </row>
    <row r="200" ht="15.0" customHeight="1">
      <c r="A200" s="46" t="s">
        <v>43</v>
      </c>
      <c r="B200" s="69" t="str">
        <f>IFS(L200=0,"",B200&lt;&gt;"",B200,TRUE,NOW())</f>
        <v/>
      </c>
      <c r="C200" s="70" t="s">
        <v>37</v>
      </c>
      <c r="D200" s="33"/>
      <c r="E200" s="71"/>
      <c r="F200" s="71"/>
      <c r="G200" s="71"/>
      <c r="H200" s="71"/>
      <c r="I200" s="71"/>
      <c r="J200" s="71"/>
      <c r="K200" s="72" t="s">
        <v>38</v>
      </c>
      <c r="L200" s="73">
        <f>L199-L198</f>
        <v>0</v>
      </c>
      <c r="M200" s="74" t="s">
        <v>39</v>
      </c>
      <c r="N200" s="75" t="b">
        <v>0</v>
      </c>
    </row>
    <row r="201" ht="13.5" customHeight="1">
      <c r="A201" s="64"/>
      <c r="B201" s="52" t="s">
        <v>84</v>
      </c>
      <c r="C201" s="53" t="s">
        <v>27</v>
      </c>
      <c r="D201" s="54"/>
      <c r="E201" s="55">
        <f t="shared" ref="E201:J201" si="54">E199-E202</f>
        <v>0</v>
      </c>
      <c r="F201" s="55">
        <f t="shared" si="54"/>
        <v>0</v>
      </c>
      <c r="G201" s="55">
        <f t="shared" si="54"/>
        <v>0</v>
      </c>
      <c r="H201" s="55">
        <f t="shared" si="54"/>
        <v>0</v>
      </c>
      <c r="I201" s="55">
        <f t="shared" si="54"/>
        <v>0</v>
      </c>
      <c r="J201" s="55">
        <f t="shared" si="54"/>
        <v>0</v>
      </c>
      <c r="K201" s="56"/>
      <c r="L201" s="30"/>
      <c r="M201" s="57" t="s">
        <v>28</v>
      </c>
      <c r="N201" s="58" t="b">
        <v>0</v>
      </c>
    </row>
    <row r="202" ht="13.5" customHeight="1">
      <c r="A202" s="46" t="s">
        <v>45</v>
      </c>
      <c r="B202" s="59"/>
      <c r="C202" s="53" t="s">
        <v>30</v>
      </c>
      <c r="D202" s="54"/>
      <c r="E202" s="60"/>
      <c r="F202" s="60"/>
      <c r="G202" s="60"/>
      <c r="H202" s="60"/>
      <c r="I202" s="60"/>
      <c r="J202" s="60"/>
      <c r="K202" s="61" t="s">
        <v>30</v>
      </c>
      <c r="L202" s="62">
        <f>(E202*E191)+(F202*F191)+(G202*G191)+(H202*H191)+(I202*I191)+(J202*J191)</f>
        <v>0</v>
      </c>
      <c r="M202" s="57" t="s">
        <v>31</v>
      </c>
      <c r="N202" s="63" t="b">
        <v>0</v>
      </c>
    </row>
    <row r="203" ht="13.5" customHeight="1">
      <c r="A203" s="77"/>
      <c r="B203" s="65" t="s">
        <v>47</v>
      </c>
      <c r="C203" s="53" t="s">
        <v>34</v>
      </c>
      <c r="D203" s="54"/>
      <c r="E203" s="66"/>
      <c r="F203" s="66"/>
      <c r="G203" s="66"/>
      <c r="H203" s="66"/>
      <c r="I203" s="66"/>
      <c r="J203" s="66"/>
      <c r="K203" s="67" t="s">
        <v>35</v>
      </c>
      <c r="L203" s="62">
        <f>(E203*E191)+(F203*F191)+(G203*G191)+(H203*H191)+(I203*I191)+(J203*J191)</f>
        <v>0</v>
      </c>
      <c r="M203" s="57" t="s">
        <v>36</v>
      </c>
      <c r="N203" s="63" t="b">
        <v>0</v>
      </c>
    </row>
    <row r="204" ht="13.5" customHeight="1">
      <c r="A204" s="68"/>
      <c r="B204" s="69" t="str">
        <f>IFS(L204=0,"",B204&lt;&gt;"",B204,TRUE,NOW())</f>
        <v/>
      </c>
      <c r="C204" s="70" t="s">
        <v>37</v>
      </c>
      <c r="D204" s="33"/>
      <c r="E204" s="71"/>
      <c r="F204" s="71"/>
      <c r="G204" s="71"/>
      <c r="H204" s="71"/>
      <c r="I204" s="71"/>
      <c r="J204" s="71"/>
      <c r="K204" s="72" t="s">
        <v>38</v>
      </c>
      <c r="L204" s="73">
        <f>L203-L202</f>
        <v>0</v>
      </c>
      <c r="M204" s="74" t="s">
        <v>39</v>
      </c>
      <c r="N204" s="75" t="b">
        <v>0</v>
      </c>
    </row>
    <row r="205" ht="13.5" customHeight="1">
      <c r="A205" s="78" t="s">
        <v>48</v>
      </c>
      <c r="B205" s="52" t="s">
        <v>84</v>
      </c>
      <c r="C205" s="53" t="s">
        <v>27</v>
      </c>
      <c r="D205" s="54"/>
      <c r="E205" s="55">
        <f t="shared" ref="E205:J205" si="55">E203-E206</f>
        <v>0</v>
      </c>
      <c r="F205" s="55">
        <f t="shared" si="55"/>
        <v>0</v>
      </c>
      <c r="G205" s="55">
        <f t="shared" si="55"/>
        <v>0</v>
      </c>
      <c r="H205" s="55">
        <f t="shared" si="55"/>
        <v>0</v>
      </c>
      <c r="I205" s="55">
        <f t="shared" si="55"/>
        <v>0</v>
      </c>
      <c r="J205" s="55">
        <f t="shared" si="55"/>
        <v>0</v>
      </c>
      <c r="K205" s="56"/>
      <c r="L205" s="30"/>
      <c r="M205" s="57" t="s">
        <v>28</v>
      </c>
      <c r="N205" s="58" t="b">
        <v>0</v>
      </c>
    </row>
    <row r="206" ht="13.5" customHeight="1">
      <c r="A206" s="87"/>
      <c r="B206" s="59"/>
      <c r="C206" s="53" t="s">
        <v>30</v>
      </c>
      <c r="D206" s="54"/>
      <c r="E206" s="60"/>
      <c r="F206" s="60"/>
      <c r="G206" s="60"/>
      <c r="H206" s="60"/>
      <c r="I206" s="60"/>
      <c r="J206" s="60"/>
      <c r="K206" s="61" t="s">
        <v>30</v>
      </c>
      <c r="L206" s="62">
        <f>(E206*E191)+(F206*F191)+(G206*G191)+(H206*H191)+(I206*I191)+(J206*J191)</f>
        <v>0</v>
      </c>
      <c r="M206" s="57" t="s">
        <v>31</v>
      </c>
      <c r="N206" s="63" t="b">
        <v>0</v>
      </c>
    </row>
    <row r="207" ht="18.0" customHeight="1">
      <c r="A207" s="68"/>
      <c r="B207" s="65" t="s">
        <v>49</v>
      </c>
      <c r="C207" s="53" t="s">
        <v>34</v>
      </c>
      <c r="D207" s="54"/>
      <c r="E207" s="66"/>
      <c r="F207" s="66"/>
      <c r="G207" s="66"/>
      <c r="H207" s="66"/>
      <c r="I207" s="66"/>
      <c r="J207" s="66"/>
      <c r="K207" s="67" t="s">
        <v>35</v>
      </c>
      <c r="L207" s="62">
        <f>(E207*E191)+(F207*F191)+(G207*G191)+(H207*H191)+(I207*I191)+(J207*J191)</f>
        <v>0</v>
      </c>
      <c r="M207" s="57" t="s">
        <v>36</v>
      </c>
      <c r="N207" s="63" t="b">
        <v>0</v>
      </c>
    </row>
    <row r="208" ht="13.5" customHeight="1">
      <c r="A208" s="80"/>
      <c r="B208" s="69" t="str">
        <f>IFS(L208=0,"",B208&lt;&gt;"",B208,TRUE,NOW())</f>
        <v/>
      </c>
      <c r="C208" s="53" t="s">
        <v>37</v>
      </c>
      <c r="D208" s="54"/>
      <c r="E208" s="81"/>
      <c r="F208" s="81"/>
      <c r="G208" s="81"/>
      <c r="H208" s="82"/>
      <c r="I208" s="81"/>
      <c r="J208" s="81"/>
      <c r="K208" s="72" t="s">
        <v>38</v>
      </c>
      <c r="L208" s="73">
        <f>L207-L206</f>
        <v>0</v>
      </c>
      <c r="M208" s="74" t="s">
        <v>39</v>
      </c>
      <c r="N208" s="75" t="b">
        <v>0</v>
      </c>
    </row>
    <row r="209" ht="13.5" customHeight="1">
      <c r="A209" s="83" t="s">
        <v>86</v>
      </c>
      <c r="B209" s="42" t="s">
        <v>20</v>
      </c>
      <c r="C209" s="24"/>
      <c r="D209" s="33"/>
      <c r="E209" s="43">
        <f t="shared" ref="E209:J209" si="56">E6</f>
        <v>17</v>
      </c>
      <c r="F209" s="43">
        <f t="shared" si="56"/>
        <v>27</v>
      </c>
      <c r="G209" s="43">
        <f t="shared" si="56"/>
        <v>27</v>
      </c>
      <c r="H209" s="43">
        <f t="shared" si="56"/>
        <v>27</v>
      </c>
      <c r="I209" s="43">
        <f t="shared" si="56"/>
        <v>32</v>
      </c>
      <c r="J209" s="44">
        <f t="shared" si="56"/>
        <v>37</v>
      </c>
      <c r="K209" s="42" t="s">
        <v>21</v>
      </c>
      <c r="L209" s="25"/>
      <c r="M209" s="45" t="s">
        <v>22</v>
      </c>
      <c r="N209" s="25"/>
    </row>
    <row r="210" ht="13.5" customHeight="1">
      <c r="A210" s="46" t="s">
        <v>23</v>
      </c>
      <c r="B210" s="47" t="s">
        <v>24</v>
      </c>
      <c r="C210" s="32" t="s">
        <v>25</v>
      </c>
      <c r="D210" s="33"/>
      <c r="E210" s="48"/>
      <c r="F210" s="48"/>
      <c r="G210" s="48"/>
      <c r="H210" s="48"/>
      <c r="I210" s="48"/>
      <c r="J210" s="48"/>
      <c r="K210" s="49"/>
      <c r="L210" s="25"/>
      <c r="M210" s="50"/>
      <c r="N210" s="10"/>
    </row>
    <row r="211" ht="13.5" customHeight="1">
      <c r="A211" s="92"/>
      <c r="B211" s="52" t="s">
        <v>87</v>
      </c>
      <c r="C211" s="53" t="s">
        <v>27</v>
      </c>
      <c r="D211" s="54"/>
      <c r="E211" s="55">
        <f t="shared" ref="E211:J211" si="57">E210-E212</f>
        <v>0</v>
      </c>
      <c r="F211" s="55">
        <f t="shared" si="57"/>
        <v>0</v>
      </c>
      <c r="G211" s="55">
        <f t="shared" si="57"/>
        <v>-1</v>
      </c>
      <c r="H211" s="55">
        <f t="shared" si="57"/>
        <v>-1</v>
      </c>
      <c r="I211" s="55">
        <f t="shared" si="57"/>
        <v>-1</v>
      </c>
      <c r="J211" s="55">
        <f t="shared" si="57"/>
        <v>0</v>
      </c>
      <c r="K211" s="56"/>
      <c r="L211" s="30"/>
      <c r="M211" s="57" t="s">
        <v>28</v>
      </c>
      <c r="N211" s="58" t="b">
        <v>0</v>
      </c>
    </row>
    <row r="212" ht="18.0" customHeight="1">
      <c r="A212" s="46" t="s">
        <v>29</v>
      </c>
      <c r="B212" s="59"/>
      <c r="C212" s="53" t="s">
        <v>30</v>
      </c>
      <c r="D212" s="54"/>
      <c r="E212" s="60"/>
      <c r="F212" s="60"/>
      <c r="G212" s="84">
        <v>1.0</v>
      </c>
      <c r="H212" s="84">
        <v>1.0</v>
      </c>
      <c r="I212" s="84">
        <v>1.0</v>
      </c>
      <c r="J212" s="60"/>
      <c r="K212" s="61" t="s">
        <v>30</v>
      </c>
      <c r="L212" s="62">
        <f>(E212*E209)+(F212*F209)+(G212*G209)+(H212*H209)+(I212*I209)+(J212*J209)</f>
        <v>86</v>
      </c>
      <c r="M212" s="57" t="s">
        <v>31</v>
      </c>
      <c r="N212" s="63" t="b">
        <v>0</v>
      </c>
    </row>
    <row r="213" ht="13.5" customHeight="1">
      <c r="A213" s="64" t="s">
        <v>187</v>
      </c>
      <c r="B213" s="65" t="s">
        <v>33</v>
      </c>
      <c r="C213" s="53" t="s">
        <v>34</v>
      </c>
      <c r="D213" s="54"/>
      <c r="E213" s="66"/>
      <c r="F213" s="76">
        <v>2.0</v>
      </c>
      <c r="G213" s="76">
        <v>2.0</v>
      </c>
      <c r="H213" s="76">
        <v>2.0</v>
      </c>
      <c r="I213" s="76">
        <v>1.0</v>
      </c>
      <c r="J213" s="76">
        <v>4.0</v>
      </c>
      <c r="K213" s="67" t="s">
        <v>35</v>
      </c>
      <c r="L213" s="62">
        <f>(E213*E209)+(F213*F209)+(G213*G209)+(H213*H209)+(I213*I209)+(J213*J209)</f>
        <v>342</v>
      </c>
      <c r="M213" s="57" t="s">
        <v>36</v>
      </c>
      <c r="N213" s="63" t="b">
        <v>0</v>
      </c>
    </row>
    <row r="214" ht="13.5" customHeight="1">
      <c r="A214" s="68"/>
      <c r="B214" s="69">
        <f>IFS(L214=0,"",B214&lt;&gt;"",B214,TRUE,NOW())</f>
        <v>0</v>
      </c>
      <c r="C214" s="70" t="s">
        <v>37</v>
      </c>
      <c r="D214" s="33"/>
      <c r="E214" s="71"/>
      <c r="F214" s="71"/>
      <c r="G214" s="71"/>
      <c r="H214" s="71"/>
      <c r="I214" s="71"/>
      <c r="J214" s="71"/>
      <c r="K214" s="72" t="s">
        <v>38</v>
      </c>
      <c r="L214" s="73">
        <f>L213-L212</f>
        <v>256</v>
      </c>
      <c r="M214" s="74" t="s">
        <v>39</v>
      </c>
      <c r="N214" s="75" t="b">
        <v>0</v>
      </c>
    </row>
    <row r="215" ht="13.5" customHeight="1">
      <c r="A215" s="46" t="s">
        <v>40</v>
      </c>
      <c r="B215" s="52" t="s">
        <v>87</v>
      </c>
      <c r="C215" s="53" t="s">
        <v>27</v>
      </c>
      <c r="D215" s="54"/>
      <c r="E215" s="55">
        <f t="shared" ref="E215:J215" si="58">E213-E216</f>
        <v>0</v>
      </c>
      <c r="F215" s="55">
        <f t="shared" si="58"/>
        <v>2</v>
      </c>
      <c r="G215" s="55">
        <f t="shared" si="58"/>
        <v>2</v>
      </c>
      <c r="H215" s="55">
        <f t="shared" si="58"/>
        <v>2</v>
      </c>
      <c r="I215" s="55">
        <f t="shared" si="58"/>
        <v>1</v>
      </c>
      <c r="J215" s="55">
        <f t="shared" si="58"/>
        <v>4</v>
      </c>
      <c r="K215" s="56"/>
      <c r="L215" s="30"/>
      <c r="M215" s="57" t="s">
        <v>28</v>
      </c>
      <c r="N215" s="58" t="b">
        <v>0</v>
      </c>
    </row>
    <row r="216" ht="13.5" customHeight="1">
      <c r="A216" s="64"/>
      <c r="B216" s="59"/>
      <c r="C216" s="53" t="s">
        <v>30</v>
      </c>
      <c r="D216" s="54"/>
      <c r="E216" s="60"/>
      <c r="F216" s="60"/>
      <c r="G216" s="60"/>
      <c r="H216" s="60"/>
      <c r="I216" s="60"/>
      <c r="J216" s="60"/>
      <c r="K216" s="61" t="s">
        <v>30</v>
      </c>
      <c r="L216" s="62">
        <f>(E216*E209)+(F216*F209)+(G216*G209)+(H216*H209)+(I216*I209)+(J216*J209)</f>
        <v>0</v>
      </c>
      <c r="M216" s="57" t="s">
        <v>31</v>
      </c>
      <c r="N216" s="63" t="b">
        <v>0</v>
      </c>
    </row>
    <row r="217" ht="15.0" customHeight="1">
      <c r="A217" s="68"/>
      <c r="B217" s="65" t="s">
        <v>42</v>
      </c>
      <c r="C217" s="53" t="s">
        <v>34</v>
      </c>
      <c r="D217" s="54"/>
      <c r="E217" s="66"/>
      <c r="F217" s="66"/>
      <c r="G217" s="66"/>
      <c r="H217" s="66"/>
      <c r="I217" s="66"/>
      <c r="J217" s="66"/>
      <c r="K217" s="67" t="s">
        <v>35</v>
      </c>
      <c r="L217" s="62">
        <f>(E217*E209)+(F217*F209)+(G217*G209)+(H217*H209)+(I217*I209)+(J217*J209)</f>
        <v>0</v>
      </c>
      <c r="M217" s="57" t="s">
        <v>36</v>
      </c>
      <c r="N217" s="63" t="b">
        <v>0</v>
      </c>
    </row>
    <row r="218" ht="13.5" customHeight="1">
      <c r="A218" s="46" t="s">
        <v>43</v>
      </c>
      <c r="B218" s="69" t="str">
        <f>IFS(L218=0,"",B218&lt;&gt;"",B218,TRUE,NOW())</f>
        <v/>
      </c>
      <c r="C218" s="70" t="s">
        <v>37</v>
      </c>
      <c r="D218" s="33"/>
      <c r="E218" s="71"/>
      <c r="F218" s="71"/>
      <c r="G218" s="71"/>
      <c r="H218" s="71"/>
      <c r="I218" s="71"/>
      <c r="J218" s="71"/>
      <c r="K218" s="72" t="s">
        <v>38</v>
      </c>
      <c r="L218" s="73">
        <f>L217-L216</f>
        <v>0</v>
      </c>
      <c r="M218" s="74" t="s">
        <v>39</v>
      </c>
      <c r="N218" s="75" t="b">
        <v>0</v>
      </c>
    </row>
    <row r="219" ht="13.5" customHeight="1">
      <c r="A219" s="64"/>
      <c r="B219" s="52" t="s">
        <v>87</v>
      </c>
      <c r="C219" s="53" t="s">
        <v>27</v>
      </c>
      <c r="D219" s="54"/>
      <c r="E219" s="55">
        <f t="shared" ref="E219:J219" si="59">E217-E220</f>
        <v>0</v>
      </c>
      <c r="F219" s="55">
        <f t="shared" si="59"/>
        <v>0</v>
      </c>
      <c r="G219" s="55">
        <f t="shared" si="59"/>
        <v>0</v>
      </c>
      <c r="H219" s="55">
        <f t="shared" si="59"/>
        <v>0</v>
      </c>
      <c r="I219" s="55">
        <f t="shared" si="59"/>
        <v>0</v>
      </c>
      <c r="J219" s="55">
        <f t="shared" si="59"/>
        <v>0</v>
      </c>
      <c r="K219" s="56"/>
      <c r="L219" s="30"/>
      <c r="M219" s="57" t="s">
        <v>28</v>
      </c>
      <c r="N219" s="58" t="b">
        <v>0</v>
      </c>
    </row>
    <row r="220" ht="13.5" customHeight="1">
      <c r="A220" s="46" t="s">
        <v>45</v>
      </c>
      <c r="B220" s="59"/>
      <c r="C220" s="53" t="s">
        <v>30</v>
      </c>
      <c r="D220" s="54"/>
      <c r="E220" s="60"/>
      <c r="F220" s="60"/>
      <c r="G220" s="60"/>
      <c r="H220" s="60"/>
      <c r="I220" s="60"/>
      <c r="J220" s="60"/>
      <c r="K220" s="61" t="s">
        <v>30</v>
      </c>
      <c r="L220" s="62">
        <f>(E220*E209)+(F220*F209)+(G220*G209)+(H220*H209)+(I220*I209)+(J220*J209)</f>
        <v>0</v>
      </c>
      <c r="M220" s="57" t="s">
        <v>31</v>
      </c>
      <c r="N220" s="63" t="b">
        <v>0</v>
      </c>
    </row>
    <row r="221" ht="13.5" customHeight="1">
      <c r="A221" s="77"/>
      <c r="B221" s="65" t="s">
        <v>47</v>
      </c>
      <c r="C221" s="53" t="s">
        <v>34</v>
      </c>
      <c r="D221" s="54"/>
      <c r="E221" s="66"/>
      <c r="F221" s="66"/>
      <c r="G221" s="66"/>
      <c r="H221" s="66"/>
      <c r="I221" s="66"/>
      <c r="J221" s="66"/>
      <c r="K221" s="67" t="s">
        <v>35</v>
      </c>
      <c r="L221" s="62">
        <f>(E221*E209)+(F221*F209)+(G221*G209)+(H221*H209)+(I221*I209)+(J221*J209)</f>
        <v>0</v>
      </c>
      <c r="M221" s="57" t="s">
        <v>36</v>
      </c>
      <c r="N221" s="63" t="b">
        <v>0</v>
      </c>
    </row>
    <row r="222" ht="15.0" customHeight="1">
      <c r="A222" s="68"/>
      <c r="B222" s="69" t="str">
        <f>IFS(L222=0,"",B222&lt;&gt;"",B222,TRUE,NOW())</f>
        <v/>
      </c>
      <c r="C222" s="70" t="s">
        <v>37</v>
      </c>
      <c r="D222" s="33"/>
      <c r="E222" s="71"/>
      <c r="F222" s="71"/>
      <c r="G222" s="71"/>
      <c r="H222" s="71"/>
      <c r="I222" s="71"/>
      <c r="J222" s="71"/>
      <c r="K222" s="72" t="s">
        <v>38</v>
      </c>
      <c r="L222" s="73">
        <f>L221-L220</f>
        <v>0</v>
      </c>
      <c r="M222" s="74" t="s">
        <v>39</v>
      </c>
      <c r="N222" s="75" t="b">
        <v>0</v>
      </c>
    </row>
    <row r="223" ht="13.5" customHeight="1">
      <c r="A223" s="78" t="s">
        <v>48</v>
      </c>
      <c r="B223" s="52" t="s">
        <v>87</v>
      </c>
      <c r="C223" s="53" t="s">
        <v>27</v>
      </c>
      <c r="D223" s="54"/>
      <c r="E223" s="55">
        <f t="shared" ref="E223:J223" si="60">E221-E224</f>
        <v>0</v>
      </c>
      <c r="F223" s="55">
        <f t="shared" si="60"/>
        <v>0</v>
      </c>
      <c r="G223" s="55">
        <f t="shared" si="60"/>
        <v>0</v>
      </c>
      <c r="H223" s="55">
        <f t="shared" si="60"/>
        <v>0</v>
      </c>
      <c r="I223" s="55">
        <f t="shared" si="60"/>
        <v>0</v>
      </c>
      <c r="J223" s="55">
        <f t="shared" si="60"/>
        <v>0</v>
      </c>
      <c r="K223" s="56"/>
      <c r="L223" s="30"/>
      <c r="M223" s="57" t="s">
        <v>28</v>
      </c>
      <c r="N223" s="58" t="b">
        <v>0</v>
      </c>
    </row>
    <row r="224" ht="13.5" customHeight="1">
      <c r="A224" s="87"/>
      <c r="B224" s="59"/>
      <c r="C224" s="53" t="s">
        <v>30</v>
      </c>
      <c r="D224" s="54"/>
      <c r="E224" s="60"/>
      <c r="F224" s="60"/>
      <c r="G224" s="60"/>
      <c r="H224" s="60"/>
      <c r="I224" s="60"/>
      <c r="J224" s="60"/>
      <c r="K224" s="61" t="s">
        <v>30</v>
      </c>
      <c r="L224" s="62">
        <f>(E224*E209)+(F224*F209)+(G224*G209)+(H224*H209)+(I224*I209)+(J224*J209)</f>
        <v>0</v>
      </c>
      <c r="M224" s="57" t="s">
        <v>31</v>
      </c>
      <c r="N224" s="63" t="b">
        <v>0</v>
      </c>
    </row>
    <row r="225" ht="13.5" customHeight="1">
      <c r="A225" s="68"/>
      <c r="B225" s="65" t="s">
        <v>49</v>
      </c>
      <c r="C225" s="53" t="s">
        <v>34</v>
      </c>
      <c r="D225" s="54"/>
      <c r="E225" s="66"/>
      <c r="F225" s="66"/>
      <c r="G225" s="66"/>
      <c r="H225" s="66"/>
      <c r="I225" s="66"/>
      <c r="J225" s="66"/>
      <c r="K225" s="67" t="s">
        <v>35</v>
      </c>
      <c r="L225" s="62">
        <f>(E225*E209)+(F225*F209)+(G225*G209)+(H225*H209)+(I225*I209)+(J225*J209)</f>
        <v>0</v>
      </c>
      <c r="M225" s="57" t="s">
        <v>36</v>
      </c>
      <c r="N225" s="63" t="b">
        <v>0</v>
      </c>
    </row>
    <row r="226" ht="13.5" customHeight="1">
      <c r="A226" s="80"/>
      <c r="B226" s="69" t="str">
        <f>IFS(L226=0,"",B226&lt;&gt;"",B226,TRUE,NOW())</f>
        <v/>
      </c>
      <c r="C226" s="53" t="s">
        <v>37</v>
      </c>
      <c r="D226" s="54"/>
      <c r="E226" s="81"/>
      <c r="F226" s="81"/>
      <c r="G226" s="81"/>
      <c r="H226" s="82"/>
      <c r="I226" s="81"/>
      <c r="J226" s="81"/>
      <c r="K226" s="72" t="s">
        <v>38</v>
      </c>
      <c r="L226" s="73">
        <f>L225-L224</f>
        <v>0</v>
      </c>
      <c r="M226" s="74" t="s">
        <v>39</v>
      </c>
      <c r="N226" s="75" t="b">
        <v>0</v>
      </c>
    </row>
    <row r="227" ht="13.5" customHeight="1">
      <c r="A227" s="83" t="s">
        <v>89</v>
      </c>
      <c r="B227" s="42" t="s">
        <v>20</v>
      </c>
      <c r="C227" s="24"/>
      <c r="D227" s="33"/>
      <c r="E227" s="43">
        <f t="shared" ref="E227:J227" si="61">E6</f>
        <v>17</v>
      </c>
      <c r="F227" s="43">
        <f t="shared" si="61"/>
        <v>27</v>
      </c>
      <c r="G227" s="43">
        <f t="shared" si="61"/>
        <v>27</v>
      </c>
      <c r="H227" s="43">
        <f t="shared" si="61"/>
        <v>27</v>
      </c>
      <c r="I227" s="43">
        <f t="shared" si="61"/>
        <v>32</v>
      </c>
      <c r="J227" s="44">
        <f t="shared" si="61"/>
        <v>37</v>
      </c>
      <c r="K227" s="42" t="s">
        <v>21</v>
      </c>
      <c r="L227" s="25"/>
      <c r="M227" s="45" t="s">
        <v>22</v>
      </c>
      <c r="N227" s="25"/>
    </row>
    <row r="228" ht="13.5" customHeight="1">
      <c r="A228" s="46" t="s">
        <v>23</v>
      </c>
      <c r="B228" s="47" t="s">
        <v>24</v>
      </c>
      <c r="C228" s="32" t="s">
        <v>25</v>
      </c>
      <c r="D228" s="33"/>
      <c r="E228" s="48"/>
      <c r="F228" s="48"/>
      <c r="G228" s="48"/>
      <c r="H228" s="48"/>
      <c r="I228" s="48"/>
      <c r="J228" s="48"/>
      <c r="K228" s="49"/>
      <c r="L228" s="25"/>
      <c r="M228" s="50"/>
      <c r="N228" s="10"/>
    </row>
    <row r="229" ht="15.0" customHeight="1">
      <c r="A229" s="92"/>
      <c r="B229" s="52" t="s">
        <v>90</v>
      </c>
      <c r="C229" s="53" t="s">
        <v>27</v>
      </c>
      <c r="D229" s="54"/>
      <c r="E229" s="55">
        <f t="shared" ref="E229:J229" si="62">E228-E230</f>
        <v>0</v>
      </c>
      <c r="F229" s="55">
        <f t="shared" si="62"/>
        <v>0</v>
      </c>
      <c r="G229" s="55">
        <f t="shared" si="62"/>
        <v>0</v>
      </c>
      <c r="H229" s="55">
        <f t="shared" si="62"/>
        <v>0</v>
      </c>
      <c r="I229" s="55">
        <f t="shared" si="62"/>
        <v>0</v>
      </c>
      <c r="J229" s="55">
        <f t="shared" si="62"/>
        <v>0</v>
      </c>
      <c r="K229" s="56"/>
      <c r="L229" s="30"/>
      <c r="M229" s="57" t="s">
        <v>28</v>
      </c>
      <c r="N229" s="58" t="b">
        <v>0</v>
      </c>
    </row>
    <row r="230" ht="13.5" customHeight="1">
      <c r="A230" s="46" t="s">
        <v>29</v>
      </c>
      <c r="B230" s="59"/>
      <c r="C230" s="53" t="s">
        <v>30</v>
      </c>
      <c r="D230" s="54"/>
      <c r="E230" s="60"/>
      <c r="F230" s="60"/>
      <c r="G230" s="60"/>
      <c r="H230" s="60"/>
      <c r="I230" s="60"/>
      <c r="J230" s="60"/>
      <c r="K230" s="61" t="s">
        <v>30</v>
      </c>
      <c r="L230" s="62">
        <f>(E230*E227)+(F230*F227)+(G230*G227)+(H230*H227)+(I230*I227)+(J230*J227)</f>
        <v>0</v>
      </c>
      <c r="M230" s="57" t="s">
        <v>31</v>
      </c>
      <c r="N230" s="63" t="b">
        <v>0</v>
      </c>
    </row>
    <row r="231" ht="13.5" customHeight="1">
      <c r="A231" s="64" t="s">
        <v>188</v>
      </c>
      <c r="B231" s="65" t="s">
        <v>33</v>
      </c>
      <c r="C231" s="53" t="s">
        <v>34</v>
      </c>
      <c r="D231" s="54"/>
      <c r="E231" s="66"/>
      <c r="F231" s="76">
        <v>2.0</v>
      </c>
      <c r="G231" s="66"/>
      <c r="H231" s="66"/>
      <c r="I231" s="76">
        <v>3.0</v>
      </c>
      <c r="J231" s="66"/>
      <c r="K231" s="67" t="s">
        <v>35</v>
      </c>
      <c r="L231" s="62">
        <f>(E231*E227)+(F231*F227)+(G231*G227)+(H231*H227)+(I231*I227)+(J231*J227)</f>
        <v>150</v>
      </c>
      <c r="M231" s="57" t="s">
        <v>36</v>
      </c>
      <c r="N231" s="63" t="b">
        <v>0</v>
      </c>
    </row>
    <row r="232" ht="13.5" customHeight="1">
      <c r="A232" s="68"/>
      <c r="B232" s="69">
        <f>IFS(L232=0,"",B232&lt;&gt;"",B232,TRUE,NOW())</f>
        <v>0</v>
      </c>
      <c r="C232" s="70" t="s">
        <v>37</v>
      </c>
      <c r="D232" s="33"/>
      <c r="E232" s="71"/>
      <c r="F232" s="71"/>
      <c r="G232" s="71"/>
      <c r="H232" s="71"/>
      <c r="I232" s="71"/>
      <c r="J232" s="71"/>
      <c r="K232" s="72" t="s">
        <v>38</v>
      </c>
      <c r="L232" s="73">
        <f>L231-L230</f>
        <v>150</v>
      </c>
      <c r="M232" s="74" t="s">
        <v>39</v>
      </c>
      <c r="N232" s="75" t="b">
        <v>0</v>
      </c>
    </row>
    <row r="233" ht="13.5" customHeight="1">
      <c r="A233" s="46" t="s">
        <v>40</v>
      </c>
      <c r="B233" s="52" t="s">
        <v>90</v>
      </c>
      <c r="C233" s="53" t="s">
        <v>27</v>
      </c>
      <c r="D233" s="54"/>
      <c r="E233" s="55">
        <f t="shared" ref="E233:J233" si="63">E231-E234</f>
        <v>0</v>
      </c>
      <c r="F233" s="55">
        <f t="shared" si="63"/>
        <v>2</v>
      </c>
      <c r="G233" s="55">
        <f t="shared" si="63"/>
        <v>0</v>
      </c>
      <c r="H233" s="55">
        <f t="shared" si="63"/>
        <v>0</v>
      </c>
      <c r="I233" s="55">
        <f t="shared" si="63"/>
        <v>3</v>
      </c>
      <c r="J233" s="55">
        <f t="shared" si="63"/>
        <v>0</v>
      </c>
      <c r="K233" s="56"/>
      <c r="L233" s="30"/>
      <c r="M233" s="57" t="s">
        <v>28</v>
      </c>
      <c r="N233" s="58" t="b">
        <v>0</v>
      </c>
    </row>
    <row r="234" ht="15.0" customHeight="1">
      <c r="A234" s="64"/>
      <c r="B234" s="59"/>
      <c r="C234" s="53" t="s">
        <v>30</v>
      </c>
      <c r="D234" s="54"/>
      <c r="E234" s="60"/>
      <c r="F234" s="60"/>
      <c r="G234" s="60"/>
      <c r="H234" s="60"/>
      <c r="I234" s="60"/>
      <c r="J234" s="60"/>
      <c r="K234" s="61" t="s">
        <v>30</v>
      </c>
      <c r="L234" s="62">
        <f>(E234*E227)+(F234*F227)+(G234*G227)+(H234*H227)+(I234*I227)+(J234*J227)</f>
        <v>0</v>
      </c>
      <c r="M234" s="57" t="s">
        <v>31</v>
      </c>
      <c r="N234" s="63" t="b">
        <v>0</v>
      </c>
    </row>
    <row r="235" ht="13.5" customHeight="1">
      <c r="A235" s="68"/>
      <c r="B235" s="65" t="s">
        <v>42</v>
      </c>
      <c r="C235" s="53" t="s">
        <v>34</v>
      </c>
      <c r="D235" s="54"/>
      <c r="E235" s="66"/>
      <c r="F235" s="66"/>
      <c r="G235" s="66"/>
      <c r="H235" s="66"/>
      <c r="I235" s="66"/>
      <c r="J235" s="66"/>
      <c r="K235" s="67" t="s">
        <v>35</v>
      </c>
      <c r="L235" s="62">
        <f>(E235*E227)+(F235*F227)+(G235*G227)+(H235*H227)+(I235*I227)+(J235*J227)</f>
        <v>0</v>
      </c>
      <c r="M235" s="57" t="s">
        <v>36</v>
      </c>
      <c r="N235" s="63" t="b">
        <v>0</v>
      </c>
    </row>
    <row r="236" ht="13.5" customHeight="1">
      <c r="A236" s="46" t="s">
        <v>43</v>
      </c>
      <c r="B236" s="69" t="str">
        <f>IFS(L236=0,"",B236&lt;&gt;"",B236,TRUE,NOW())</f>
        <v/>
      </c>
      <c r="C236" s="70" t="s">
        <v>37</v>
      </c>
      <c r="D236" s="33"/>
      <c r="E236" s="71"/>
      <c r="F236" s="71"/>
      <c r="G236" s="71"/>
      <c r="H236" s="71"/>
      <c r="I236" s="71"/>
      <c r="J236" s="71"/>
      <c r="K236" s="72" t="s">
        <v>38</v>
      </c>
      <c r="L236" s="73">
        <f>L235-L234</f>
        <v>0</v>
      </c>
      <c r="M236" s="74" t="s">
        <v>39</v>
      </c>
      <c r="N236" s="75" t="b">
        <v>0</v>
      </c>
    </row>
    <row r="237" ht="13.5" customHeight="1">
      <c r="A237" s="64"/>
      <c r="B237" s="52" t="s">
        <v>90</v>
      </c>
      <c r="C237" s="53" t="s">
        <v>27</v>
      </c>
      <c r="D237" s="54"/>
      <c r="E237" s="55">
        <f t="shared" ref="E237:J237" si="64">E235-E238</f>
        <v>0</v>
      </c>
      <c r="F237" s="55">
        <f t="shared" si="64"/>
        <v>0</v>
      </c>
      <c r="G237" s="55">
        <f t="shared" si="64"/>
        <v>0</v>
      </c>
      <c r="H237" s="55">
        <f t="shared" si="64"/>
        <v>0</v>
      </c>
      <c r="I237" s="55">
        <f t="shared" si="64"/>
        <v>0</v>
      </c>
      <c r="J237" s="55">
        <f t="shared" si="64"/>
        <v>0</v>
      </c>
      <c r="K237" s="56"/>
      <c r="L237" s="30"/>
      <c r="M237" s="57" t="s">
        <v>28</v>
      </c>
      <c r="N237" s="58" t="b">
        <v>0</v>
      </c>
    </row>
    <row r="238" ht="13.5" customHeight="1">
      <c r="A238" s="46" t="s">
        <v>45</v>
      </c>
      <c r="B238" s="59"/>
      <c r="C238" s="53" t="s">
        <v>30</v>
      </c>
      <c r="D238" s="54"/>
      <c r="E238" s="60"/>
      <c r="F238" s="60"/>
      <c r="G238" s="60"/>
      <c r="H238" s="60"/>
      <c r="I238" s="60"/>
      <c r="J238" s="60"/>
      <c r="K238" s="61" t="s">
        <v>30</v>
      </c>
      <c r="L238" s="62">
        <f>(E238*E227)+(F238*F227)+(G238*G227)+(H238*H227)+(I238*I227)+(J238*J227)</f>
        <v>0</v>
      </c>
      <c r="M238" s="57" t="s">
        <v>31</v>
      </c>
      <c r="N238" s="63" t="b">
        <v>0</v>
      </c>
    </row>
    <row r="239" ht="15.0" customHeight="1">
      <c r="A239" s="77"/>
      <c r="B239" s="65" t="s">
        <v>47</v>
      </c>
      <c r="C239" s="53" t="s">
        <v>34</v>
      </c>
      <c r="D239" s="54"/>
      <c r="E239" s="66"/>
      <c r="F239" s="66"/>
      <c r="G239" s="66"/>
      <c r="H239" s="66"/>
      <c r="I239" s="66"/>
      <c r="J239" s="66"/>
      <c r="K239" s="67" t="s">
        <v>35</v>
      </c>
      <c r="L239" s="62">
        <f>(E239*E227)+(F239*F227)+(G239*G227)+(H239*H227)+(I239*I227)+(J239*J227)</f>
        <v>0</v>
      </c>
      <c r="M239" s="57" t="s">
        <v>36</v>
      </c>
      <c r="N239" s="63" t="b">
        <v>0</v>
      </c>
    </row>
    <row r="240" ht="13.5" customHeight="1">
      <c r="A240" s="68"/>
      <c r="B240" s="69" t="str">
        <f>IFS(L240=0,"",B240&lt;&gt;"",B240,TRUE,NOW())</f>
        <v/>
      </c>
      <c r="C240" s="70" t="s">
        <v>37</v>
      </c>
      <c r="D240" s="33"/>
      <c r="E240" s="71"/>
      <c r="F240" s="71"/>
      <c r="G240" s="71"/>
      <c r="H240" s="71"/>
      <c r="I240" s="71"/>
      <c r="J240" s="71"/>
      <c r="K240" s="72" t="s">
        <v>38</v>
      </c>
      <c r="L240" s="73">
        <f>L239-L238</f>
        <v>0</v>
      </c>
      <c r="M240" s="74" t="s">
        <v>39</v>
      </c>
      <c r="N240" s="75" t="b">
        <v>0</v>
      </c>
    </row>
    <row r="241" ht="13.5" customHeight="1">
      <c r="A241" s="78" t="s">
        <v>48</v>
      </c>
      <c r="B241" s="52" t="s">
        <v>90</v>
      </c>
      <c r="C241" s="53" t="s">
        <v>27</v>
      </c>
      <c r="D241" s="54"/>
      <c r="E241" s="55">
        <f t="shared" ref="E241:J241" si="65">E239-E242</f>
        <v>0</v>
      </c>
      <c r="F241" s="55">
        <f t="shared" si="65"/>
        <v>0</v>
      </c>
      <c r="G241" s="55">
        <f t="shared" si="65"/>
        <v>0</v>
      </c>
      <c r="H241" s="55">
        <f t="shared" si="65"/>
        <v>0</v>
      </c>
      <c r="I241" s="55">
        <f t="shared" si="65"/>
        <v>0</v>
      </c>
      <c r="J241" s="55">
        <f t="shared" si="65"/>
        <v>0</v>
      </c>
      <c r="K241" s="56"/>
      <c r="L241" s="30"/>
      <c r="M241" s="57" t="s">
        <v>28</v>
      </c>
      <c r="N241" s="58" t="b">
        <v>0</v>
      </c>
    </row>
    <row r="242" ht="13.5" customHeight="1">
      <c r="A242" s="87"/>
      <c r="B242" s="59"/>
      <c r="C242" s="53" t="s">
        <v>30</v>
      </c>
      <c r="D242" s="54"/>
      <c r="E242" s="60"/>
      <c r="F242" s="60"/>
      <c r="G242" s="60"/>
      <c r="H242" s="60"/>
      <c r="I242" s="60"/>
      <c r="J242" s="60"/>
      <c r="K242" s="61" t="s">
        <v>30</v>
      </c>
      <c r="L242" s="62">
        <f>(E242*E227)+(F242*F227)+(G242*G227)+(H242*H227)+(I242*I227)+(J242*J227)</f>
        <v>0</v>
      </c>
      <c r="M242" s="57" t="s">
        <v>31</v>
      </c>
      <c r="N242" s="63" t="b">
        <v>0</v>
      </c>
    </row>
    <row r="243" ht="13.5" customHeight="1">
      <c r="A243" s="68"/>
      <c r="B243" s="65" t="s">
        <v>49</v>
      </c>
      <c r="C243" s="53" t="s">
        <v>34</v>
      </c>
      <c r="D243" s="54"/>
      <c r="E243" s="66"/>
      <c r="F243" s="66"/>
      <c r="G243" s="66"/>
      <c r="H243" s="66"/>
      <c r="I243" s="66"/>
      <c r="J243" s="66"/>
      <c r="K243" s="67" t="s">
        <v>35</v>
      </c>
      <c r="L243" s="62">
        <f>(E243*E227)+(F243*F227)+(G243*G227)+(H243*H227)+(I243*I227)+(J243*J227)</f>
        <v>0</v>
      </c>
      <c r="M243" s="57" t="s">
        <v>36</v>
      </c>
      <c r="N243" s="63" t="b">
        <v>0</v>
      </c>
    </row>
    <row r="244" ht="15.0" customHeight="1">
      <c r="A244" s="80"/>
      <c r="B244" s="69" t="str">
        <f>IFS(L244=0,"",B244&lt;&gt;"",B244,TRUE,NOW())</f>
        <v/>
      </c>
      <c r="C244" s="53" t="s">
        <v>37</v>
      </c>
      <c r="D244" s="54"/>
      <c r="E244" s="81"/>
      <c r="F244" s="81"/>
      <c r="G244" s="81"/>
      <c r="H244" s="82"/>
      <c r="I244" s="81"/>
      <c r="J244" s="81"/>
      <c r="K244" s="72" t="s">
        <v>38</v>
      </c>
      <c r="L244" s="73">
        <f>L243-L242</f>
        <v>0</v>
      </c>
      <c r="M244" s="74" t="s">
        <v>39</v>
      </c>
      <c r="N244" s="75" t="b">
        <v>0</v>
      </c>
    </row>
    <row r="245" ht="13.5" customHeight="1">
      <c r="A245" s="83" t="s">
        <v>92</v>
      </c>
      <c r="B245" s="42" t="s">
        <v>20</v>
      </c>
      <c r="C245" s="24"/>
      <c r="D245" s="33"/>
      <c r="E245" s="43">
        <f t="shared" ref="E245:J245" si="66">E6</f>
        <v>17</v>
      </c>
      <c r="F245" s="43">
        <f t="shared" si="66"/>
        <v>27</v>
      </c>
      <c r="G245" s="43">
        <f t="shared" si="66"/>
        <v>27</v>
      </c>
      <c r="H245" s="43">
        <f t="shared" si="66"/>
        <v>27</v>
      </c>
      <c r="I245" s="43">
        <f t="shared" si="66"/>
        <v>32</v>
      </c>
      <c r="J245" s="44">
        <f t="shared" si="66"/>
        <v>37</v>
      </c>
      <c r="K245" s="42" t="s">
        <v>21</v>
      </c>
      <c r="L245" s="25"/>
      <c r="M245" s="45" t="s">
        <v>22</v>
      </c>
      <c r="N245" s="25"/>
    </row>
    <row r="246" ht="13.5" customHeight="1">
      <c r="A246" s="46" t="s">
        <v>23</v>
      </c>
      <c r="B246" s="47" t="s">
        <v>24</v>
      </c>
      <c r="C246" s="32" t="s">
        <v>25</v>
      </c>
      <c r="D246" s="33"/>
      <c r="E246" s="48"/>
      <c r="F246" s="48"/>
      <c r="G246" s="48"/>
      <c r="H246" s="48"/>
      <c r="I246" s="48"/>
      <c r="J246" s="48"/>
      <c r="K246" s="49"/>
      <c r="L246" s="25"/>
      <c r="M246" s="50"/>
      <c r="N246" s="10"/>
    </row>
    <row r="247" ht="13.5" customHeight="1">
      <c r="A247" s="92"/>
      <c r="B247" s="52" t="s">
        <v>93</v>
      </c>
      <c r="C247" s="53" t="s">
        <v>27</v>
      </c>
      <c r="D247" s="54"/>
      <c r="E247" s="55">
        <f t="shared" ref="E247:J247" si="67">E246-E248</f>
        <v>0</v>
      </c>
      <c r="F247" s="55">
        <f t="shared" si="67"/>
        <v>0</v>
      </c>
      <c r="G247" s="55">
        <f t="shared" si="67"/>
        <v>0</v>
      </c>
      <c r="H247" s="55">
        <f t="shared" si="67"/>
        <v>-2</v>
      </c>
      <c r="I247" s="55">
        <f t="shared" si="67"/>
        <v>0</v>
      </c>
      <c r="J247" s="55">
        <f t="shared" si="67"/>
        <v>0</v>
      </c>
      <c r="K247" s="56"/>
      <c r="L247" s="30"/>
      <c r="M247" s="57" t="s">
        <v>28</v>
      </c>
      <c r="N247" s="58" t="b">
        <v>0</v>
      </c>
    </row>
    <row r="248" ht="13.5" customHeight="1">
      <c r="A248" s="46" t="s">
        <v>29</v>
      </c>
      <c r="B248" s="59"/>
      <c r="C248" s="53" t="s">
        <v>30</v>
      </c>
      <c r="D248" s="54"/>
      <c r="E248" s="60"/>
      <c r="F248" s="60"/>
      <c r="G248" s="60"/>
      <c r="H248" s="84">
        <v>2.0</v>
      </c>
      <c r="I248" s="60"/>
      <c r="J248" s="60"/>
      <c r="K248" s="61" t="s">
        <v>30</v>
      </c>
      <c r="L248" s="62">
        <f>(E248*E245)+(F248*F245)+(G248*G245)+(H248*H245)+(I248*I245)+(J248*J245)</f>
        <v>54</v>
      </c>
      <c r="M248" s="57" t="s">
        <v>31</v>
      </c>
      <c r="N248" s="63" t="b">
        <v>0</v>
      </c>
    </row>
    <row r="249" ht="13.5" customHeight="1">
      <c r="A249" s="64" t="s">
        <v>76</v>
      </c>
      <c r="B249" s="65" t="s">
        <v>33</v>
      </c>
      <c r="C249" s="53" t="s">
        <v>34</v>
      </c>
      <c r="D249" s="54"/>
      <c r="E249" s="66"/>
      <c r="F249" s="76">
        <v>3.0</v>
      </c>
      <c r="G249" s="76">
        <v>3.0</v>
      </c>
      <c r="H249" s="76">
        <v>3.0</v>
      </c>
      <c r="I249" s="76">
        <v>2.0</v>
      </c>
      <c r="J249" s="76">
        <v>3.0</v>
      </c>
      <c r="K249" s="67" t="s">
        <v>35</v>
      </c>
      <c r="L249" s="62">
        <f>(E249*E245)+(F249*F245)+(G249*G245)+(H249*H245)+(I249*I245)+(J249*J245)</f>
        <v>418</v>
      </c>
      <c r="M249" s="57" t="s">
        <v>36</v>
      </c>
      <c r="N249" s="63" t="b">
        <v>0</v>
      </c>
    </row>
    <row r="250" ht="13.5" customHeight="1">
      <c r="A250" s="68"/>
      <c r="B250" s="69">
        <f>IFS(L250=0,"",B250&lt;&gt;"",B250,TRUE,NOW())</f>
        <v>0</v>
      </c>
      <c r="C250" s="70" t="s">
        <v>37</v>
      </c>
      <c r="D250" s="33"/>
      <c r="E250" s="71"/>
      <c r="F250" s="71"/>
      <c r="G250" s="71"/>
      <c r="H250" s="71"/>
      <c r="I250" s="71"/>
      <c r="J250" s="71"/>
      <c r="K250" s="72" t="s">
        <v>38</v>
      </c>
      <c r="L250" s="73">
        <f>L249-L248</f>
        <v>364</v>
      </c>
      <c r="M250" s="74" t="s">
        <v>39</v>
      </c>
      <c r="N250" s="75" t="b">
        <v>0</v>
      </c>
    </row>
    <row r="251" ht="15.0" customHeight="1">
      <c r="A251" s="46" t="s">
        <v>40</v>
      </c>
      <c r="B251" s="52" t="s">
        <v>93</v>
      </c>
      <c r="C251" s="53" t="s">
        <v>27</v>
      </c>
      <c r="D251" s="54"/>
      <c r="E251" s="55">
        <f t="shared" ref="E251:J251" si="68">E249-E252</f>
        <v>0</v>
      </c>
      <c r="F251" s="55">
        <f t="shared" si="68"/>
        <v>3</v>
      </c>
      <c r="G251" s="55">
        <f t="shared" si="68"/>
        <v>3</v>
      </c>
      <c r="H251" s="55">
        <f t="shared" si="68"/>
        <v>3</v>
      </c>
      <c r="I251" s="55">
        <f t="shared" si="68"/>
        <v>2</v>
      </c>
      <c r="J251" s="55">
        <f t="shared" si="68"/>
        <v>3</v>
      </c>
      <c r="K251" s="56"/>
      <c r="L251" s="30"/>
      <c r="M251" s="57" t="s">
        <v>28</v>
      </c>
      <c r="N251" s="58" t="b">
        <v>0</v>
      </c>
    </row>
    <row r="252" ht="13.5" customHeight="1">
      <c r="A252" s="64"/>
      <c r="B252" s="59"/>
      <c r="C252" s="53" t="s">
        <v>30</v>
      </c>
      <c r="D252" s="54"/>
      <c r="E252" s="60"/>
      <c r="F252" s="60"/>
      <c r="G252" s="60"/>
      <c r="H252" s="60"/>
      <c r="I252" s="60"/>
      <c r="J252" s="60"/>
      <c r="K252" s="61" t="s">
        <v>30</v>
      </c>
      <c r="L252" s="62">
        <f>(E252*E245)+(F252*F245)+(G252*G245)+(H252*H245)+(I252*I245)+(J252*J245)</f>
        <v>0</v>
      </c>
      <c r="M252" s="57" t="s">
        <v>31</v>
      </c>
      <c r="N252" s="63" t="b">
        <v>0</v>
      </c>
    </row>
    <row r="253" ht="13.5" customHeight="1">
      <c r="A253" s="68"/>
      <c r="B253" s="65" t="s">
        <v>42</v>
      </c>
      <c r="C253" s="53" t="s">
        <v>34</v>
      </c>
      <c r="D253" s="54"/>
      <c r="E253" s="66"/>
      <c r="F253" s="76"/>
      <c r="G253" s="76"/>
      <c r="H253" s="76"/>
      <c r="I253" s="76"/>
      <c r="J253" s="76"/>
      <c r="K253" s="67" t="s">
        <v>35</v>
      </c>
      <c r="L253" s="62">
        <f>(E253*E245)+(F253*F245)+(G253*G245)+(H253*H245)+(I253*I245)+(J253*J245)</f>
        <v>0</v>
      </c>
      <c r="M253" s="57" t="s">
        <v>36</v>
      </c>
      <c r="N253" s="63" t="b">
        <v>0</v>
      </c>
    </row>
    <row r="254" ht="13.5" customHeight="1">
      <c r="A254" s="46" t="s">
        <v>43</v>
      </c>
      <c r="B254" s="69" t="str">
        <f>IFS(L254=0,"",B254&lt;&gt;"",B254,TRUE,NOW())</f>
        <v/>
      </c>
      <c r="C254" s="70" t="s">
        <v>37</v>
      </c>
      <c r="D254" s="33"/>
      <c r="E254" s="71"/>
      <c r="F254" s="71"/>
      <c r="G254" s="71"/>
      <c r="H254" s="71"/>
      <c r="I254" s="71"/>
      <c r="J254" s="71"/>
      <c r="K254" s="72" t="s">
        <v>38</v>
      </c>
      <c r="L254" s="73">
        <f>L253-L252</f>
        <v>0</v>
      </c>
      <c r="M254" s="74" t="s">
        <v>39</v>
      </c>
      <c r="N254" s="75" t="b">
        <v>0</v>
      </c>
    </row>
    <row r="255" ht="13.5" customHeight="1">
      <c r="A255" s="64"/>
      <c r="B255" s="52" t="s">
        <v>93</v>
      </c>
      <c r="C255" s="53" t="s">
        <v>27</v>
      </c>
      <c r="D255" s="54"/>
      <c r="E255" s="55">
        <f t="shared" ref="E255:J255" si="69">E253-E256</f>
        <v>0</v>
      </c>
      <c r="F255" s="55">
        <f t="shared" si="69"/>
        <v>0</v>
      </c>
      <c r="G255" s="55">
        <f t="shared" si="69"/>
        <v>0</v>
      </c>
      <c r="H255" s="55">
        <f t="shared" si="69"/>
        <v>0</v>
      </c>
      <c r="I255" s="55">
        <f t="shared" si="69"/>
        <v>0</v>
      </c>
      <c r="J255" s="55">
        <f t="shared" si="69"/>
        <v>0</v>
      </c>
      <c r="K255" s="56"/>
      <c r="L255" s="30"/>
      <c r="M255" s="57" t="s">
        <v>28</v>
      </c>
      <c r="N255" s="58" t="b">
        <v>0</v>
      </c>
    </row>
    <row r="256" ht="15.0" customHeight="1">
      <c r="A256" s="46" t="s">
        <v>45</v>
      </c>
      <c r="B256" s="59"/>
      <c r="C256" s="53" t="s">
        <v>30</v>
      </c>
      <c r="D256" s="54"/>
      <c r="E256" s="60"/>
      <c r="F256" s="60"/>
      <c r="G256" s="60"/>
      <c r="H256" s="60"/>
      <c r="I256" s="60"/>
      <c r="J256" s="60"/>
      <c r="K256" s="61" t="s">
        <v>30</v>
      </c>
      <c r="L256" s="62">
        <f>(E256*E245)+(F256*F245)+(G256*G245)+(H256*H245)+(I256*I245)+(J256*J245)</f>
        <v>0</v>
      </c>
      <c r="M256" s="57" t="s">
        <v>31</v>
      </c>
      <c r="N256" s="63" t="b">
        <v>0</v>
      </c>
    </row>
    <row r="257" ht="13.5" customHeight="1">
      <c r="A257" s="77"/>
      <c r="B257" s="65" t="s">
        <v>47</v>
      </c>
      <c r="C257" s="53" t="s">
        <v>34</v>
      </c>
      <c r="D257" s="54"/>
      <c r="E257" s="66"/>
      <c r="F257" s="66"/>
      <c r="G257" s="66"/>
      <c r="H257" s="66"/>
      <c r="I257" s="66"/>
      <c r="J257" s="66"/>
      <c r="K257" s="67" t="s">
        <v>35</v>
      </c>
      <c r="L257" s="62">
        <f>(E257*E245)+(F257*F245)+(G257*G245)+(H257*H245)+(I257*I245)+(J257*J245)</f>
        <v>0</v>
      </c>
      <c r="M257" s="57" t="s">
        <v>36</v>
      </c>
      <c r="N257" s="63" t="b">
        <v>0</v>
      </c>
    </row>
    <row r="258" ht="13.5" customHeight="1">
      <c r="A258" s="68"/>
      <c r="B258" s="69" t="str">
        <f>IFS(L258=0,"",B258&lt;&gt;"",B258,TRUE,NOW())</f>
        <v/>
      </c>
      <c r="C258" s="70" t="s">
        <v>37</v>
      </c>
      <c r="D258" s="33"/>
      <c r="E258" s="71"/>
      <c r="F258" s="71"/>
      <c r="G258" s="71"/>
      <c r="H258" s="71"/>
      <c r="I258" s="71"/>
      <c r="J258" s="71"/>
      <c r="K258" s="72" t="s">
        <v>38</v>
      </c>
      <c r="L258" s="73">
        <f>L257-L256</f>
        <v>0</v>
      </c>
      <c r="M258" s="74" t="s">
        <v>39</v>
      </c>
      <c r="N258" s="75" t="b">
        <v>0</v>
      </c>
    </row>
    <row r="259" ht="13.5" customHeight="1">
      <c r="A259" s="78" t="s">
        <v>48</v>
      </c>
      <c r="B259" s="52" t="s">
        <v>93</v>
      </c>
      <c r="C259" s="53" t="s">
        <v>27</v>
      </c>
      <c r="D259" s="54"/>
      <c r="E259" s="55">
        <f t="shared" ref="E259:J259" si="70">E257-E260</f>
        <v>0</v>
      </c>
      <c r="F259" s="55">
        <f t="shared" si="70"/>
        <v>0</v>
      </c>
      <c r="G259" s="55">
        <f t="shared" si="70"/>
        <v>0</v>
      </c>
      <c r="H259" s="55">
        <f t="shared" si="70"/>
        <v>0</v>
      </c>
      <c r="I259" s="55">
        <f t="shared" si="70"/>
        <v>0</v>
      </c>
      <c r="J259" s="55">
        <f t="shared" si="70"/>
        <v>0</v>
      </c>
      <c r="K259" s="56"/>
      <c r="L259" s="30"/>
      <c r="M259" s="57" t="s">
        <v>28</v>
      </c>
      <c r="N259" s="58" t="b">
        <v>0</v>
      </c>
    </row>
    <row r="260" ht="13.5" customHeight="1">
      <c r="A260" s="87"/>
      <c r="B260" s="59"/>
      <c r="C260" s="53" t="s">
        <v>30</v>
      </c>
      <c r="D260" s="54"/>
      <c r="E260" s="60"/>
      <c r="F260" s="60"/>
      <c r="G260" s="60"/>
      <c r="H260" s="60"/>
      <c r="I260" s="60"/>
      <c r="J260" s="60"/>
      <c r="K260" s="61" t="s">
        <v>30</v>
      </c>
      <c r="L260" s="62">
        <f>(E260*E245)+(F260*F245)+(G260*G245)+(H260*H245)+(I260*I245)+(J260*J245)</f>
        <v>0</v>
      </c>
      <c r="M260" s="57" t="s">
        <v>31</v>
      </c>
      <c r="N260" s="63" t="b">
        <v>0</v>
      </c>
    </row>
    <row r="261" ht="15.0" customHeight="1">
      <c r="A261" s="68"/>
      <c r="B261" s="65" t="s">
        <v>49</v>
      </c>
      <c r="C261" s="53" t="s">
        <v>34</v>
      </c>
      <c r="D261" s="54"/>
      <c r="E261" s="66"/>
      <c r="F261" s="66"/>
      <c r="G261" s="66"/>
      <c r="H261" s="66"/>
      <c r="I261" s="66"/>
      <c r="J261" s="66"/>
      <c r="K261" s="67" t="s">
        <v>35</v>
      </c>
      <c r="L261" s="62">
        <f>(E261*E245)+(F261*F245)+(G261*G245)+(H261*H245)+(I261*I245)+(J261*J245)</f>
        <v>0</v>
      </c>
      <c r="M261" s="57" t="s">
        <v>36</v>
      </c>
      <c r="N261" s="63" t="b">
        <v>0</v>
      </c>
    </row>
    <row r="262" ht="13.5" customHeight="1">
      <c r="A262" s="80"/>
      <c r="B262" s="69" t="str">
        <f>IFS(L262=0,"",B262&lt;&gt;"",B262,TRUE,NOW())</f>
        <v/>
      </c>
      <c r="C262" s="86" t="s">
        <v>37</v>
      </c>
      <c r="D262" s="59"/>
      <c r="E262" s="81"/>
      <c r="F262" s="81"/>
      <c r="G262" s="81"/>
      <c r="H262" s="82"/>
      <c r="I262" s="81"/>
      <c r="J262" s="81"/>
      <c r="K262" s="72" t="s">
        <v>38</v>
      </c>
      <c r="L262" s="73">
        <f>L261-L260</f>
        <v>0</v>
      </c>
      <c r="M262" s="74" t="s">
        <v>39</v>
      </c>
      <c r="N262" s="75" t="b">
        <v>0</v>
      </c>
    </row>
    <row r="263" ht="13.5" customHeight="1">
      <c r="A263" s="83" t="s">
        <v>95</v>
      </c>
      <c r="B263" s="42" t="s">
        <v>20</v>
      </c>
      <c r="C263" s="24"/>
      <c r="D263" s="33"/>
      <c r="E263" s="43">
        <f t="shared" ref="E263:J263" si="71">E6</f>
        <v>17</v>
      </c>
      <c r="F263" s="43">
        <f t="shared" si="71"/>
        <v>27</v>
      </c>
      <c r="G263" s="43">
        <f t="shared" si="71"/>
        <v>27</v>
      </c>
      <c r="H263" s="43">
        <f t="shared" si="71"/>
        <v>27</v>
      </c>
      <c r="I263" s="43">
        <f t="shared" si="71"/>
        <v>32</v>
      </c>
      <c r="J263" s="44">
        <f t="shared" si="71"/>
        <v>37</v>
      </c>
      <c r="K263" s="42" t="s">
        <v>21</v>
      </c>
      <c r="L263" s="25"/>
      <c r="M263" s="45" t="s">
        <v>22</v>
      </c>
      <c r="N263" s="25"/>
    </row>
    <row r="264" ht="13.5" customHeight="1">
      <c r="A264" s="46" t="s">
        <v>23</v>
      </c>
      <c r="B264" s="47" t="s">
        <v>24</v>
      </c>
      <c r="C264" s="32" t="s">
        <v>25</v>
      </c>
      <c r="D264" s="33"/>
      <c r="E264" s="48"/>
      <c r="F264" s="48"/>
      <c r="G264" s="48"/>
      <c r="H264" s="48"/>
      <c r="I264" s="48"/>
      <c r="J264" s="48"/>
      <c r="K264" s="49"/>
      <c r="L264" s="25"/>
      <c r="M264" s="50"/>
      <c r="N264" s="10"/>
    </row>
    <row r="265" ht="13.5" customHeight="1">
      <c r="A265" s="92"/>
      <c r="B265" s="52" t="s">
        <v>96</v>
      </c>
      <c r="C265" s="53" t="s">
        <v>27</v>
      </c>
      <c r="D265" s="54"/>
      <c r="E265" s="55">
        <f t="shared" ref="E265:J265" si="72">E264-E266</f>
        <v>0</v>
      </c>
      <c r="F265" s="55">
        <f t="shared" si="72"/>
        <v>-2</v>
      </c>
      <c r="G265" s="55">
        <f t="shared" si="72"/>
        <v>-3</v>
      </c>
      <c r="H265" s="55">
        <f t="shared" si="72"/>
        <v>0</v>
      </c>
      <c r="I265" s="55">
        <f t="shared" si="72"/>
        <v>0</v>
      </c>
      <c r="J265" s="55">
        <f t="shared" si="72"/>
        <v>-2</v>
      </c>
      <c r="K265" s="56"/>
      <c r="L265" s="30"/>
      <c r="M265" s="57" t="s">
        <v>28</v>
      </c>
      <c r="N265" s="58" t="b">
        <v>0</v>
      </c>
    </row>
    <row r="266" ht="15.0" customHeight="1">
      <c r="A266" s="46" t="s">
        <v>29</v>
      </c>
      <c r="B266" s="59"/>
      <c r="C266" s="53" t="s">
        <v>30</v>
      </c>
      <c r="D266" s="54"/>
      <c r="E266" s="60"/>
      <c r="F266" s="84">
        <v>2.0</v>
      </c>
      <c r="G266" s="84">
        <v>3.0</v>
      </c>
      <c r="H266" s="60"/>
      <c r="I266" s="60"/>
      <c r="J266" s="84">
        <v>2.0</v>
      </c>
      <c r="K266" s="61" t="s">
        <v>30</v>
      </c>
      <c r="L266" s="62">
        <f>(E266*E263)+(F266*F263)+(G266*G263)+(H266*H263)+(I266*I263)+(J266*J263)</f>
        <v>209</v>
      </c>
      <c r="M266" s="57" t="s">
        <v>31</v>
      </c>
      <c r="N266" s="63" t="b">
        <v>0</v>
      </c>
    </row>
    <row r="267" ht="13.5" customHeight="1">
      <c r="A267" s="64"/>
      <c r="B267" s="65" t="s">
        <v>33</v>
      </c>
      <c r="C267" s="53" t="s">
        <v>34</v>
      </c>
      <c r="D267" s="54"/>
      <c r="E267" s="66"/>
      <c r="F267" s="76">
        <v>2.0</v>
      </c>
      <c r="G267" s="76">
        <v>3.0</v>
      </c>
      <c r="H267" s="66"/>
      <c r="I267" s="66"/>
      <c r="J267" s="76">
        <v>2.0</v>
      </c>
      <c r="K267" s="67" t="s">
        <v>35</v>
      </c>
      <c r="L267" s="62">
        <f>(E267*E263)+(F267*F263)+(G267*G263)+(H267*H263)+(I267*I263)+(J267*J263)</f>
        <v>209</v>
      </c>
      <c r="M267" s="57" t="s">
        <v>36</v>
      </c>
      <c r="N267" s="63" t="b">
        <v>0</v>
      </c>
    </row>
    <row r="268" ht="13.5" customHeight="1">
      <c r="A268" s="68"/>
      <c r="B268" s="69" t="str">
        <f>IFS(L268=0,"",B268&lt;&gt;"",B268,TRUE,NOW())</f>
        <v/>
      </c>
      <c r="C268" s="70" t="s">
        <v>37</v>
      </c>
      <c r="D268" s="33"/>
      <c r="E268" s="71"/>
      <c r="F268" s="71"/>
      <c r="G268" s="71"/>
      <c r="H268" s="71"/>
      <c r="I268" s="71"/>
      <c r="J268" s="71"/>
      <c r="K268" s="72" t="s">
        <v>38</v>
      </c>
      <c r="L268" s="73">
        <f>L267-L266</f>
        <v>0</v>
      </c>
      <c r="M268" s="74" t="s">
        <v>39</v>
      </c>
      <c r="N268" s="75" t="b">
        <v>0</v>
      </c>
    </row>
    <row r="269" ht="13.5" customHeight="1">
      <c r="A269" s="46" t="s">
        <v>40</v>
      </c>
      <c r="B269" s="52" t="s">
        <v>96</v>
      </c>
      <c r="C269" s="53" t="s">
        <v>27</v>
      </c>
      <c r="D269" s="54"/>
      <c r="E269" s="55">
        <f t="shared" ref="E269:J269" si="73">E267-E270</f>
        <v>0</v>
      </c>
      <c r="F269" s="55">
        <f t="shared" si="73"/>
        <v>2</v>
      </c>
      <c r="G269" s="55">
        <f t="shared" si="73"/>
        <v>3</v>
      </c>
      <c r="H269" s="55">
        <f t="shared" si="73"/>
        <v>0</v>
      </c>
      <c r="I269" s="55">
        <f t="shared" si="73"/>
        <v>0</v>
      </c>
      <c r="J269" s="55">
        <f t="shared" si="73"/>
        <v>2</v>
      </c>
      <c r="K269" s="56"/>
      <c r="L269" s="30"/>
      <c r="M269" s="57" t="s">
        <v>28</v>
      </c>
      <c r="N269" s="58" t="b">
        <v>0</v>
      </c>
    </row>
    <row r="270" ht="13.5" customHeight="1">
      <c r="A270" s="64"/>
      <c r="B270" s="59"/>
      <c r="C270" s="53" t="s">
        <v>30</v>
      </c>
      <c r="D270" s="54"/>
      <c r="E270" s="60"/>
      <c r="F270" s="60"/>
      <c r="G270" s="60"/>
      <c r="H270" s="60"/>
      <c r="I270" s="60"/>
      <c r="J270" s="60"/>
      <c r="K270" s="61" t="s">
        <v>30</v>
      </c>
      <c r="L270" s="62">
        <f>(E270*E263)+(F270*F263)+(G270*G263)+(H270*H263)+(I270*I263)+(J270*J263)</f>
        <v>0</v>
      </c>
      <c r="M270" s="57" t="s">
        <v>31</v>
      </c>
      <c r="N270" s="63" t="b">
        <v>0</v>
      </c>
    </row>
    <row r="271" ht="13.5" customHeight="1">
      <c r="A271" s="68"/>
      <c r="B271" s="65" t="s">
        <v>42</v>
      </c>
      <c r="C271" s="53" t="s">
        <v>34</v>
      </c>
      <c r="D271" s="54"/>
      <c r="E271" s="66"/>
      <c r="F271" s="76"/>
      <c r="G271" s="76"/>
      <c r="H271" s="76"/>
      <c r="I271" s="76"/>
      <c r="J271" s="76"/>
      <c r="K271" s="67" t="s">
        <v>35</v>
      </c>
      <c r="L271" s="62">
        <f>(E271*E263)+(F271*F263)+(G271*G263)+(H271*H263)+(I271*I263)+(J271*J263)</f>
        <v>0</v>
      </c>
      <c r="M271" s="57" t="s">
        <v>36</v>
      </c>
      <c r="N271" s="63" t="b">
        <v>0</v>
      </c>
    </row>
    <row r="272" ht="13.5" customHeight="1">
      <c r="A272" s="46" t="s">
        <v>43</v>
      </c>
      <c r="B272" s="69" t="str">
        <f>IFS(L272=0,"",B272&lt;&gt;"",B272,TRUE,NOW())</f>
        <v/>
      </c>
      <c r="C272" s="70" t="s">
        <v>37</v>
      </c>
      <c r="D272" s="33"/>
      <c r="E272" s="71"/>
      <c r="F272" s="71"/>
      <c r="G272" s="71"/>
      <c r="H272" s="71"/>
      <c r="I272" s="71"/>
      <c r="J272" s="71"/>
      <c r="K272" s="72" t="s">
        <v>38</v>
      </c>
      <c r="L272" s="73">
        <f>L271-L270</f>
        <v>0</v>
      </c>
      <c r="M272" s="74" t="s">
        <v>39</v>
      </c>
      <c r="N272" s="75" t="b">
        <v>0</v>
      </c>
    </row>
    <row r="273" ht="18.0" customHeight="1">
      <c r="A273" s="64"/>
      <c r="B273" s="52" t="s">
        <v>96</v>
      </c>
      <c r="C273" s="53" t="s">
        <v>27</v>
      </c>
      <c r="D273" s="54"/>
      <c r="E273" s="55">
        <f t="shared" ref="E273:J273" si="74">E271-E274</f>
        <v>0</v>
      </c>
      <c r="F273" s="55">
        <f t="shared" si="74"/>
        <v>0</v>
      </c>
      <c r="G273" s="55">
        <f t="shared" si="74"/>
        <v>0</v>
      </c>
      <c r="H273" s="55">
        <f t="shared" si="74"/>
        <v>0</v>
      </c>
      <c r="I273" s="55">
        <f t="shared" si="74"/>
        <v>0</v>
      </c>
      <c r="J273" s="55">
        <f t="shared" si="74"/>
        <v>0</v>
      </c>
      <c r="K273" s="56"/>
      <c r="L273" s="30"/>
      <c r="M273" s="57" t="s">
        <v>28</v>
      </c>
      <c r="N273" s="58" t="b">
        <v>0</v>
      </c>
    </row>
    <row r="274" ht="13.5" customHeight="1">
      <c r="A274" s="46" t="s">
        <v>45</v>
      </c>
      <c r="B274" s="59"/>
      <c r="C274" s="53" t="s">
        <v>30</v>
      </c>
      <c r="D274" s="54"/>
      <c r="E274" s="60"/>
      <c r="F274" s="60"/>
      <c r="G274" s="60"/>
      <c r="H274" s="60"/>
      <c r="I274" s="60"/>
      <c r="J274" s="60"/>
      <c r="K274" s="61" t="s">
        <v>30</v>
      </c>
      <c r="L274" s="62">
        <f>(E274*E263)+(F274*F263)+(G274*G263)+(H274*H263)+(I274*I263)+(J274*J263)</f>
        <v>0</v>
      </c>
      <c r="M274" s="57" t="s">
        <v>31</v>
      </c>
      <c r="N274" s="63" t="b">
        <v>0</v>
      </c>
    </row>
    <row r="275" ht="13.5" customHeight="1">
      <c r="A275" s="77"/>
      <c r="B275" s="65" t="s">
        <v>47</v>
      </c>
      <c r="C275" s="53" t="s">
        <v>34</v>
      </c>
      <c r="D275" s="54"/>
      <c r="E275" s="66"/>
      <c r="F275" s="66"/>
      <c r="G275" s="66"/>
      <c r="H275" s="66"/>
      <c r="I275" s="66"/>
      <c r="J275" s="66"/>
      <c r="K275" s="67" t="s">
        <v>35</v>
      </c>
      <c r="L275" s="62">
        <f>(E275*E263)+(F275*F263)+(G275*G263)+(H275*H263)+(I275*I263)+(J275*J263)</f>
        <v>0</v>
      </c>
      <c r="M275" s="57" t="s">
        <v>36</v>
      </c>
      <c r="N275" s="63" t="b">
        <v>0</v>
      </c>
    </row>
    <row r="276" ht="13.5" customHeight="1">
      <c r="A276" s="68"/>
      <c r="B276" s="69" t="str">
        <f>IFS(L276=0,"",B276&lt;&gt;"",B276,TRUE,NOW())</f>
        <v/>
      </c>
      <c r="C276" s="70" t="s">
        <v>37</v>
      </c>
      <c r="D276" s="33"/>
      <c r="E276" s="71"/>
      <c r="F276" s="71"/>
      <c r="G276" s="71"/>
      <c r="H276" s="71"/>
      <c r="I276" s="71"/>
      <c r="J276" s="71"/>
      <c r="K276" s="72" t="s">
        <v>38</v>
      </c>
      <c r="L276" s="73">
        <f>L275-L274</f>
        <v>0</v>
      </c>
      <c r="M276" s="74" t="s">
        <v>39</v>
      </c>
      <c r="N276" s="75" t="b">
        <v>0</v>
      </c>
    </row>
    <row r="277" ht="13.5" customHeight="1">
      <c r="A277" s="78" t="s">
        <v>48</v>
      </c>
      <c r="B277" s="52" t="s">
        <v>96</v>
      </c>
      <c r="C277" s="53" t="s">
        <v>27</v>
      </c>
      <c r="D277" s="54"/>
      <c r="E277" s="55">
        <f t="shared" ref="E277:J277" si="75">E275-E278</f>
        <v>0</v>
      </c>
      <c r="F277" s="55">
        <f t="shared" si="75"/>
        <v>0</v>
      </c>
      <c r="G277" s="55">
        <f t="shared" si="75"/>
        <v>0</v>
      </c>
      <c r="H277" s="55">
        <f t="shared" si="75"/>
        <v>0</v>
      </c>
      <c r="I277" s="55">
        <f t="shared" si="75"/>
        <v>0</v>
      </c>
      <c r="J277" s="55">
        <f t="shared" si="75"/>
        <v>0</v>
      </c>
      <c r="K277" s="56"/>
      <c r="L277" s="30"/>
      <c r="M277" s="57" t="s">
        <v>28</v>
      </c>
      <c r="N277" s="58" t="b">
        <v>0</v>
      </c>
    </row>
    <row r="278" ht="15.0" customHeight="1">
      <c r="A278" s="87"/>
      <c r="B278" s="59"/>
      <c r="C278" s="53" t="s">
        <v>30</v>
      </c>
      <c r="D278" s="54"/>
      <c r="E278" s="60"/>
      <c r="F278" s="60"/>
      <c r="G278" s="60"/>
      <c r="H278" s="60"/>
      <c r="I278" s="60"/>
      <c r="J278" s="60"/>
      <c r="K278" s="61" t="s">
        <v>30</v>
      </c>
      <c r="L278" s="62">
        <f>(E278*E263)+(F278*F263)+(G278*G263)+(H278*H263)+(I278*I263)+(J278*J263)</f>
        <v>0</v>
      </c>
      <c r="M278" s="57" t="s">
        <v>31</v>
      </c>
      <c r="N278" s="63" t="b">
        <v>0</v>
      </c>
    </row>
    <row r="279" ht="13.5" customHeight="1">
      <c r="A279" s="68"/>
      <c r="B279" s="65" t="s">
        <v>49</v>
      </c>
      <c r="C279" s="53" t="s">
        <v>34</v>
      </c>
      <c r="D279" s="54"/>
      <c r="E279" s="66"/>
      <c r="F279" s="66"/>
      <c r="G279" s="66"/>
      <c r="H279" s="66"/>
      <c r="I279" s="66"/>
      <c r="J279" s="66"/>
      <c r="K279" s="67" t="s">
        <v>35</v>
      </c>
      <c r="L279" s="62">
        <f>(E279*E263)+(F279*F263)+(G279*G263)+(H279*H263)+(I279*I263)+(J279*J263)</f>
        <v>0</v>
      </c>
      <c r="M279" s="57" t="s">
        <v>36</v>
      </c>
      <c r="N279" s="63" t="b">
        <v>0</v>
      </c>
    </row>
    <row r="280" ht="13.5" customHeight="1">
      <c r="A280" s="80"/>
      <c r="B280" s="69" t="str">
        <f>IFS(L280=0,"",B280&lt;&gt;"",B280,TRUE,NOW())</f>
        <v/>
      </c>
      <c r="C280" s="86" t="s">
        <v>37</v>
      </c>
      <c r="D280" s="59"/>
      <c r="E280" s="81"/>
      <c r="F280" s="81"/>
      <c r="G280" s="81"/>
      <c r="H280" s="82"/>
      <c r="I280" s="81"/>
      <c r="J280" s="81"/>
      <c r="K280" s="72" t="s">
        <v>38</v>
      </c>
      <c r="L280" s="73">
        <f>L279-L278</f>
        <v>0</v>
      </c>
      <c r="M280" s="74" t="s">
        <v>39</v>
      </c>
      <c r="N280" s="75" t="b">
        <v>0</v>
      </c>
    </row>
    <row r="281" ht="13.5" customHeight="1">
      <c r="A281" s="83" t="s">
        <v>97</v>
      </c>
      <c r="B281" s="42" t="s">
        <v>20</v>
      </c>
      <c r="C281" s="24"/>
      <c r="D281" s="33"/>
      <c r="E281" s="43">
        <f t="shared" ref="E281:J281" si="76">E6</f>
        <v>17</v>
      </c>
      <c r="F281" s="43">
        <f t="shared" si="76"/>
        <v>27</v>
      </c>
      <c r="G281" s="43">
        <f t="shared" si="76"/>
        <v>27</v>
      </c>
      <c r="H281" s="43">
        <f t="shared" si="76"/>
        <v>27</v>
      </c>
      <c r="I281" s="43">
        <f t="shared" si="76"/>
        <v>32</v>
      </c>
      <c r="J281" s="44">
        <f t="shared" si="76"/>
        <v>37</v>
      </c>
      <c r="K281" s="42" t="s">
        <v>21</v>
      </c>
      <c r="L281" s="25"/>
      <c r="M281" s="45" t="s">
        <v>22</v>
      </c>
      <c r="N281" s="25"/>
    </row>
    <row r="282" ht="13.5" customHeight="1">
      <c r="A282" s="46" t="s">
        <v>23</v>
      </c>
      <c r="B282" s="47" t="s">
        <v>24</v>
      </c>
      <c r="C282" s="32" t="s">
        <v>25</v>
      </c>
      <c r="D282" s="33"/>
      <c r="E282" s="48"/>
      <c r="F282" s="48"/>
      <c r="G282" s="48"/>
      <c r="H282" s="48"/>
      <c r="I282" s="48"/>
      <c r="J282" s="48"/>
      <c r="K282" s="49"/>
      <c r="L282" s="25"/>
      <c r="M282" s="50"/>
      <c r="N282" s="10"/>
    </row>
    <row r="283" ht="15.0" customHeight="1">
      <c r="A283" s="92"/>
      <c r="B283" s="52" t="s">
        <v>98</v>
      </c>
      <c r="C283" s="53" t="s">
        <v>27</v>
      </c>
      <c r="D283" s="54"/>
      <c r="E283" s="55">
        <f t="shared" ref="E283:J283" si="77">E282-E284</f>
        <v>0</v>
      </c>
      <c r="F283" s="55">
        <f t="shared" si="77"/>
        <v>0</v>
      </c>
      <c r="G283" s="55">
        <f t="shared" si="77"/>
        <v>0</v>
      </c>
      <c r="H283" s="55">
        <f t="shared" si="77"/>
        <v>0</v>
      </c>
      <c r="I283" s="55">
        <f t="shared" si="77"/>
        <v>0</v>
      </c>
      <c r="J283" s="55">
        <f t="shared" si="77"/>
        <v>0</v>
      </c>
      <c r="K283" s="56"/>
      <c r="L283" s="30"/>
      <c r="M283" s="57" t="s">
        <v>28</v>
      </c>
      <c r="N283" s="58" t="b">
        <v>0</v>
      </c>
    </row>
    <row r="284" ht="13.5" customHeight="1">
      <c r="A284" s="46" t="s">
        <v>29</v>
      </c>
      <c r="B284" s="59"/>
      <c r="C284" s="53" t="s">
        <v>30</v>
      </c>
      <c r="D284" s="54"/>
      <c r="E284" s="60"/>
      <c r="F284" s="60"/>
      <c r="G284" s="60"/>
      <c r="H284" s="60"/>
      <c r="I284" s="60"/>
      <c r="J284" s="60"/>
      <c r="K284" s="61" t="s">
        <v>30</v>
      </c>
      <c r="L284" s="62">
        <f>(E284*E281)+(F284*F281)+(G284*G281)+(H284*H281)+(I284*I281)+(J284*J281)</f>
        <v>0</v>
      </c>
      <c r="M284" s="57" t="s">
        <v>31</v>
      </c>
      <c r="N284" s="63" t="b">
        <v>0</v>
      </c>
    </row>
    <row r="285" ht="13.5" customHeight="1">
      <c r="A285" s="64"/>
      <c r="B285" s="65" t="s">
        <v>33</v>
      </c>
      <c r="C285" s="53" t="s">
        <v>34</v>
      </c>
      <c r="D285" s="54"/>
      <c r="E285" s="66"/>
      <c r="F285" s="66"/>
      <c r="G285" s="66"/>
      <c r="H285" s="66"/>
      <c r="I285" s="66"/>
      <c r="J285" s="66"/>
      <c r="K285" s="67" t="s">
        <v>35</v>
      </c>
      <c r="L285" s="62">
        <f>(E285*E281)+(F285*F281)+(G285*G281)+(H285*H281)+(I285*I281)+(J285*J281)</f>
        <v>0</v>
      </c>
      <c r="M285" s="57" t="s">
        <v>36</v>
      </c>
      <c r="N285" s="63" t="b">
        <v>0</v>
      </c>
    </row>
    <row r="286" ht="13.5" customHeight="1">
      <c r="A286" s="68"/>
      <c r="B286" s="69" t="str">
        <f>IFS(L286=0,"",B286&lt;&gt;"",B286,TRUE,NOW())</f>
        <v/>
      </c>
      <c r="C286" s="70" t="s">
        <v>37</v>
      </c>
      <c r="D286" s="33"/>
      <c r="E286" s="71"/>
      <c r="F286" s="71"/>
      <c r="G286" s="71"/>
      <c r="H286" s="71"/>
      <c r="I286" s="71"/>
      <c r="J286" s="71"/>
      <c r="K286" s="72" t="s">
        <v>38</v>
      </c>
      <c r="L286" s="73">
        <f>L285-L284</f>
        <v>0</v>
      </c>
      <c r="M286" s="74" t="s">
        <v>39</v>
      </c>
      <c r="N286" s="75" t="b">
        <v>0</v>
      </c>
    </row>
    <row r="287" ht="13.5" customHeight="1">
      <c r="A287" s="46" t="s">
        <v>40</v>
      </c>
      <c r="B287" s="52" t="s">
        <v>98</v>
      </c>
      <c r="C287" s="53" t="s">
        <v>27</v>
      </c>
      <c r="D287" s="54"/>
      <c r="E287" s="55">
        <f t="shared" ref="E287:J287" si="78">E285-E288</f>
        <v>0</v>
      </c>
      <c r="F287" s="55">
        <f t="shared" si="78"/>
        <v>0</v>
      </c>
      <c r="G287" s="55">
        <f t="shared" si="78"/>
        <v>0</v>
      </c>
      <c r="H287" s="55">
        <f t="shared" si="78"/>
        <v>0</v>
      </c>
      <c r="I287" s="55">
        <f t="shared" si="78"/>
        <v>0</v>
      </c>
      <c r="J287" s="55">
        <f t="shared" si="78"/>
        <v>0</v>
      </c>
      <c r="K287" s="56"/>
      <c r="L287" s="30"/>
      <c r="M287" s="57" t="s">
        <v>28</v>
      </c>
      <c r="N287" s="58" t="b">
        <v>0</v>
      </c>
    </row>
    <row r="288" ht="15.0" customHeight="1">
      <c r="A288" s="64"/>
      <c r="B288" s="59"/>
      <c r="C288" s="53" t="s">
        <v>30</v>
      </c>
      <c r="D288" s="54"/>
      <c r="E288" s="60"/>
      <c r="F288" s="60"/>
      <c r="G288" s="60"/>
      <c r="H288" s="60"/>
      <c r="I288" s="60"/>
      <c r="J288" s="60"/>
      <c r="K288" s="61" t="s">
        <v>30</v>
      </c>
      <c r="L288" s="62">
        <f>(E288*E281)+(F288*F281)+(G288*G281)+(H288*H281)+(I288*I281)+(J288*J281)</f>
        <v>0</v>
      </c>
      <c r="M288" s="57" t="s">
        <v>31</v>
      </c>
      <c r="N288" s="63" t="b">
        <v>0</v>
      </c>
    </row>
    <row r="289" ht="13.5" customHeight="1">
      <c r="A289" s="68"/>
      <c r="B289" s="65" t="s">
        <v>42</v>
      </c>
      <c r="C289" s="53" t="s">
        <v>34</v>
      </c>
      <c r="D289" s="54"/>
      <c r="E289" s="66"/>
      <c r="F289" s="66"/>
      <c r="G289" s="66"/>
      <c r="H289" s="66"/>
      <c r="I289" s="66"/>
      <c r="J289" s="66"/>
      <c r="K289" s="67" t="s">
        <v>35</v>
      </c>
      <c r="L289" s="62">
        <f>(E289*E281)+(F289*F281)+(G289*G281)+(H289*H281)+(I289*I281)+(J289*J281)</f>
        <v>0</v>
      </c>
      <c r="M289" s="57" t="s">
        <v>36</v>
      </c>
      <c r="N289" s="63" t="b">
        <v>0</v>
      </c>
    </row>
    <row r="290" ht="13.5" customHeight="1">
      <c r="A290" s="46" t="s">
        <v>43</v>
      </c>
      <c r="B290" s="69" t="str">
        <f>IFS(L290=0,"",B290&lt;&gt;"",B290,TRUE,NOW())</f>
        <v/>
      </c>
      <c r="C290" s="70" t="s">
        <v>37</v>
      </c>
      <c r="D290" s="33"/>
      <c r="E290" s="71"/>
      <c r="F290" s="71"/>
      <c r="G290" s="71"/>
      <c r="H290" s="71"/>
      <c r="I290" s="71"/>
      <c r="J290" s="71"/>
      <c r="K290" s="72" t="s">
        <v>38</v>
      </c>
      <c r="L290" s="73">
        <f>L289-L288</f>
        <v>0</v>
      </c>
      <c r="M290" s="74" t="s">
        <v>39</v>
      </c>
      <c r="N290" s="75" t="b">
        <v>0</v>
      </c>
    </row>
    <row r="291" ht="13.5" customHeight="1">
      <c r="A291" s="64"/>
      <c r="B291" s="52" t="s">
        <v>98</v>
      </c>
      <c r="C291" s="53" t="s">
        <v>27</v>
      </c>
      <c r="D291" s="54"/>
      <c r="E291" s="55">
        <f t="shared" ref="E291:J291" si="79">E289-E292</f>
        <v>0</v>
      </c>
      <c r="F291" s="55">
        <f t="shared" si="79"/>
        <v>0</v>
      </c>
      <c r="G291" s="55">
        <f t="shared" si="79"/>
        <v>0</v>
      </c>
      <c r="H291" s="55">
        <f t="shared" si="79"/>
        <v>0</v>
      </c>
      <c r="I291" s="55">
        <f t="shared" si="79"/>
        <v>0</v>
      </c>
      <c r="J291" s="55">
        <f t="shared" si="79"/>
        <v>0</v>
      </c>
      <c r="K291" s="56"/>
      <c r="L291" s="30"/>
      <c r="M291" s="57" t="s">
        <v>28</v>
      </c>
      <c r="N291" s="58" t="b">
        <v>0</v>
      </c>
    </row>
    <row r="292" ht="13.5" customHeight="1">
      <c r="A292" s="46" t="s">
        <v>45</v>
      </c>
      <c r="B292" s="59"/>
      <c r="C292" s="53" t="s">
        <v>30</v>
      </c>
      <c r="D292" s="54"/>
      <c r="E292" s="60"/>
      <c r="F292" s="60"/>
      <c r="G292" s="60"/>
      <c r="H292" s="60"/>
      <c r="I292" s="60"/>
      <c r="J292" s="60"/>
      <c r="K292" s="61" t="s">
        <v>30</v>
      </c>
      <c r="L292" s="62">
        <f>(E292*E281)+(F292*F281)+(G292*G281)+(H292*H281)+(I292*I281)+(J292*J281)</f>
        <v>0</v>
      </c>
      <c r="M292" s="57" t="s">
        <v>31</v>
      </c>
      <c r="N292" s="63" t="b">
        <v>0</v>
      </c>
    </row>
    <row r="293" ht="13.5" customHeight="1">
      <c r="A293" s="77"/>
      <c r="B293" s="65" t="s">
        <v>47</v>
      </c>
      <c r="C293" s="53" t="s">
        <v>34</v>
      </c>
      <c r="D293" s="54"/>
      <c r="E293" s="66"/>
      <c r="F293" s="66"/>
      <c r="G293" s="66"/>
      <c r="H293" s="66"/>
      <c r="I293" s="66"/>
      <c r="J293" s="66"/>
      <c r="K293" s="67" t="s">
        <v>35</v>
      </c>
      <c r="L293" s="62">
        <f>(E293*E281)+(F293*F281)+(G293*G281)+(H293*H281)+(I293*I281)+(J293*J281)</f>
        <v>0</v>
      </c>
      <c r="M293" s="57" t="s">
        <v>36</v>
      </c>
      <c r="N293" s="63" t="b">
        <v>0</v>
      </c>
    </row>
    <row r="294" ht="13.5" customHeight="1">
      <c r="A294" s="68"/>
      <c r="B294" s="69" t="str">
        <f>IFS(L294=0,"",B294&lt;&gt;"",B294,TRUE,NOW())</f>
        <v/>
      </c>
      <c r="C294" s="70" t="s">
        <v>37</v>
      </c>
      <c r="D294" s="33"/>
      <c r="E294" s="71"/>
      <c r="F294" s="71"/>
      <c r="G294" s="71"/>
      <c r="H294" s="71"/>
      <c r="I294" s="71"/>
      <c r="J294" s="71"/>
      <c r="K294" s="72" t="s">
        <v>38</v>
      </c>
      <c r="L294" s="73">
        <f>L293-L292</f>
        <v>0</v>
      </c>
      <c r="M294" s="74" t="s">
        <v>39</v>
      </c>
      <c r="N294" s="75" t="b">
        <v>0</v>
      </c>
    </row>
    <row r="295" ht="15.0" customHeight="1">
      <c r="A295" s="78" t="s">
        <v>48</v>
      </c>
      <c r="B295" s="52" t="s">
        <v>98</v>
      </c>
      <c r="C295" s="53" t="s">
        <v>27</v>
      </c>
      <c r="D295" s="54"/>
      <c r="E295" s="55">
        <f t="shared" ref="E295:J295" si="80">E293-E296</f>
        <v>0</v>
      </c>
      <c r="F295" s="55">
        <f t="shared" si="80"/>
        <v>0</v>
      </c>
      <c r="G295" s="55">
        <f t="shared" si="80"/>
        <v>0</v>
      </c>
      <c r="H295" s="55">
        <f t="shared" si="80"/>
        <v>0</v>
      </c>
      <c r="I295" s="55">
        <f t="shared" si="80"/>
        <v>0</v>
      </c>
      <c r="J295" s="55">
        <f t="shared" si="80"/>
        <v>0</v>
      </c>
      <c r="K295" s="56"/>
      <c r="L295" s="30"/>
      <c r="M295" s="57" t="s">
        <v>28</v>
      </c>
      <c r="N295" s="58" t="b">
        <v>0</v>
      </c>
    </row>
    <row r="296" ht="13.5" customHeight="1">
      <c r="A296" s="87"/>
      <c r="B296" s="59"/>
      <c r="C296" s="53" t="s">
        <v>30</v>
      </c>
      <c r="D296" s="54"/>
      <c r="E296" s="60"/>
      <c r="F296" s="60"/>
      <c r="G296" s="60"/>
      <c r="H296" s="60"/>
      <c r="I296" s="60"/>
      <c r="J296" s="60"/>
      <c r="K296" s="61" t="s">
        <v>30</v>
      </c>
      <c r="L296" s="62">
        <f>(E296*E281)+(F296*F281)+(G296*G281)+(H296*H281)+(I296*I281)+(J296*J281)</f>
        <v>0</v>
      </c>
      <c r="M296" s="57" t="s">
        <v>31</v>
      </c>
      <c r="N296" s="63" t="b">
        <v>0</v>
      </c>
    </row>
    <row r="297" ht="13.5" customHeight="1">
      <c r="A297" s="68"/>
      <c r="B297" s="65" t="s">
        <v>49</v>
      </c>
      <c r="C297" s="53" t="s">
        <v>34</v>
      </c>
      <c r="D297" s="54"/>
      <c r="E297" s="66"/>
      <c r="F297" s="66"/>
      <c r="G297" s="66"/>
      <c r="H297" s="66"/>
      <c r="I297" s="66"/>
      <c r="J297" s="66"/>
      <c r="K297" s="67" t="s">
        <v>35</v>
      </c>
      <c r="L297" s="62">
        <f>(E297*E281)+(F297*F281)+(G297*G281)+(H297*H281)+(I297*I281)+(J297*J281)</f>
        <v>0</v>
      </c>
      <c r="M297" s="57" t="s">
        <v>36</v>
      </c>
      <c r="N297" s="63" t="b">
        <v>0</v>
      </c>
    </row>
    <row r="298" ht="13.5" customHeight="1">
      <c r="A298" s="80"/>
      <c r="B298" s="69" t="str">
        <f>IFS(L298=0,"",B298&lt;&gt;"",B298,TRUE,NOW())</f>
        <v/>
      </c>
      <c r="C298" s="53" t="s">
        <v>37</v>
      </c>
      <c r="D298" s="54"/>
      <c r="E298" s="81"/>
      <c r="F298" s="81"/>
      <c r="G298" s="81"/>
      <c r="H298" s="82"/>
      <c r="I298" s="81"/>
      <c r="J298" s="81"/>
      <c r="K298" s="72" t="s">
        <v>38</v>
      </c>
      <c r="L298" s="73">
        <f>L297-L296</f>
        <v>0</v>
      </c>
      <c r="M298" s="74" t="s">
        <v>39</v>
      </c>
      <c r="N298" s="75" t="b">
        <v>0</v>
      </c>
    </row>
    <row r="299" ht="13.5" customHeight="1">
      <c r="A299" s="83" t="s">
        <v>99</v>
      </c>
      <c r="B299" s="42" t="s">
        <v>20</v>
      </c>
      <c r="C299" s="24"/>
      <c r="D299" s="33"/>
      <c r="E299" s="43">
        <f t="shared" ref="E299:J299" si="81">E6</f>
        <v>17</v>
      </c>
      <c r="F299" s="43">
        <f t="shared" si="81"/>
        <v>27</v>
      </c>
      <c r="G299" s="43">
        <f t="shared" si="81"/>
        <v>27</v>
      </c>
      <c r="H299" s="43">
        <f t="shared" si="81"/>
        <v>27</v>
      </c>
      <c r="I299" s="43">
        <f t="shared" si="81"/>
        <v>32</v>
      </c>
      <c r="J299" s="44">
        <f t="shared" si="81"/>
        <v>37</v>
      </c>
      <c r="K299" s="42" t="s">
        <v>21</v>
      </c>
      <c r="L299" s="25"/>
      <c r="M299" s="45" t="s">
        <v>22</v>
      </c>
      <c r="N299" s="25"/>
    </row>
    <row r="300" ht="17.25" customHeight="1">
      <c r="A300" s="46" t="s">
        <v>23</v>
      </c>
      <c r="B300" s="47" t="s">
        <v>24</v>
      </c>
      <c r="C300" s="32" t="s">
        <v>25</v>
      </c>
      <c r="D300" s="33"/>
      <c r="E300" s="48"/>
      <c r="F300" s="48"/>
      <c r="G300" s="48"/>
      <c r="H300" s="48"/>
      <c r="I300" s="48"/>
      <c r="J300" s="48"/>
      <c r="K300" s="49"/>
      <c r="L300" s="25"/>
      <c r="M300" s="50"/>
      <c r="N300" s="10"/>
    </row>
    <row r="301" ht="13.5" customHeight="1">
      <c r="A301" s="92"/>
      <c r="B301" s="52" t="s">
        <v>100</v>
      </c>
      <c r="C301" s="53" t="s">
        <v>27</v>
      </c>
      <c r="D301" s="54"/>
      <c r="E301" s="55">
        <f t="shared" ref="E301:J301" si="82">E300-E302</f>
        <v>0</v>
      </c>
      <c r="F301" s="55">
        <f t="shared" si="82"/>
        <v>0</v>
      </c>
      <c r="G301" s="55">
        <f t="shared" si="82"/>
        <v>0</v>
      </c>
      <c r="H301" s="55">
        <f t="shared" si="82"/>
        <v>0</v>
      </c>
      <c r="I301" s="55">
        <f t="shared" si="82"/>
        <v>0</v>
      </c>
      <c r="J301" s="55">
        <f t="shared" si="82"/>
        <v>0</v>
      </c>
      <c r="K301" s="56"/>
      <c r="L301" s="30"/>
      <c r="M301" s="57" t="s">
        <v>28</v>
      </c>
      <c r="N301" s="58" t="b">
        <v>0</v>
      </c>
    </row>
    <row r="302" ht="13.5" customHeight="1">
      <c r="A302" s="46" t="s">
        <v>29</v>
      </c>
      <c r="B302" s="59"/>
      <c r="C302" s="53" t="s">
        <v>30</v>
      </c>
      <c r="D302" s="54"/>
      <c r="E302" s="60"/>
      <c r="F302" s="60"/>
      <c r="G302" s="60"/>
      <c r="H302" s="60"/>
      <c r="I302" s="60"/>
      <c r="J302" s="60"/>
      <c r="K302" s="61" t="s">
        <v>30</v>
      </c>
      <c r="L302" s="62">
        <f>(E302*E299)+(F302*F299)+(G302*G299)+(H302*H299)+(I302*I299)+(J302*J299)</f>
        <v>0</v>
      </c>
      <c r="M302" s="57" t="s">
        <v>31</v>
      </c>
      <c r="N302" s="63" t="b">
        <v>0</v>
      </c>
    </row>
    <row r="303" ht="13.5" customHeight="1">
      <c r="A303" s="64"/>
      <c r="B303" s="65" t="s">
        <v>33</v>
      </c>
      <c r="C303" s="53" t="s">
        <v>34</v>
      </c>
      <c r="D303" s="54"/>
      <c r="E303" s="66"/>
      <c r="F303" s="66"/>
      <c r="G303" s="66"/>
      <c r="H303" s="66"/>
      <c r="I303" s="66"/>
      <c r="J303" s="66"/>
      <c r="K303" s="67" t="s">
        <v>35</v>
      </c>
      <c r="L303" s="62">
        <f>(E303*E299)+(F303*F299)+(G303*G299)+(H303*H299)+(I303*I299)+(J303*J299)</f>
        <v>0</v>
      </c>
      <c r="M303" s="57" t="s">
        <v>36</v>
      </c>
      <c r="N303" s="63" t="b">
        <v>0</v>
      </c>
    </row>
    <row r="304" ht="13.5" customHeight="1">
      <c r="A304" s="68"/>
      <c r="B304" s="69" t="str">
        <f>IFS(L304=0,"",B304&lt;&gt;"",B304,TRUE,NOW())</f>
        <v/>
      </c>
      <c r="C304" s="70" t="s">
        <v>37</v>
      </c>
      <c r="D304" s="33"/>
      <c r="E304" s="71"/>
      <c r="F304" s="71"/>
      <c r="G304" s="71"/>
      <c r="H304" s="71"/>
      <c r="I304" s="71"/>
      <c r="J304" s="71"/>
      <c r="K304" s="72" t="s">
        <v>38</v>
      </c>
      <c r="L304" s="73">
        <f>L303-L302</f>
        <v>0</v>
      </c>
      <c r="M304" s="74" t="s">
        <v>39</v>
      </c>
      <c r="N304" s="75" t="b">
        <v>0</v>
      </c>
    </row>
    <row r="305" ht="18.75" customHeight="1">
      <c r="A305" s="46" t="s">
        <v>40</v>
      </c>
      <c r="B305" s="52" t="s">
        <v>100</v>
      </c>
      <c r="C305" s="53" t="s">
        <v>27</v>
      </c>
      <c r="D305" s="54"/>
      <c r="E305" s="55">
        <f t="shared" ref="E305:J305" si="83">E303-E306</f>
        <v>0</v>
      </c>
      <c r="F305" s="55">
        <f t="shared" si="83"/>
        <v>0</v>
      </c>
      <c r="G305" s="55">
        <f t="shared" si="83"/>
        <v>0</v>
      </c>
      <c r="H305" s="55">
        <f t="shared" si="83"/>
        <v>0</v>
      </c>
      <c r="I305" s="55">
        <f t="shared" si="83"/>
        <v>0</v>
      </c>
      <c r="J305" s="55">
        <f t="shared" si="83"/>
        <v>0</v>
      </c>
      <c r="K305" s="56"/>
      <c r="L305" s="30"/>
      <c r="M305" s="57" t="s">
        <v>28</v>
      </c>
      <c r="N305" s="58" t="b">
        <v>0</v>
      </c>
    </row>
    <row r="306" ht="13.5" customHeight="1">
      <c r="A306" s="64"/>
      <c r="B306" s="59"/>
      <c r="C306" s="53" t="s">
        <v>30</v>
      </c>
      <c r="D306" s="54"/>
      <c r="E306" s="60"/>
      <c r="F306" s="60"/>
      <c r="G306" s="60"/>
      <c r="H306" s="60"/>
      <c r="I306" s="60"/>
      <c r="J306" s="60"/>
      <c r="K306" s="61" t="s">
        <v>30</v>
      </c>
      <c r="L306" s="62">
        <f>(E306*E299)+(F306*F299)+(G306*G299)+(H306*H299)+(I306*I299)+(J306*J299)</f>
        <v>0</v>
      </c>
      <c r="M306" s="57" t="s">
        <v>31</v>
      </c>
      <c r="N306" s="63" t="b">
        <v>0</v>
      </c>
    </row>
    <row r="307" ht="13.5" customHeight="1">
      <c r="A307" s="68"/>
      <c r="B307" s="65" t="s">
        <v>42</v>
      </c>
      <c r="C307" s="53" t="s">
        <v>34</v>
      </c>
      <c r="D307" s="54"/>
      <c r="E307" s="66"/>
      <c r="F307" s="66"/>
      <c r="G307" s="66"/>
      <c r="H307" s="66"/>
      <c r="I307" s="66"/>
      <c r="J307" s="66"/>
      <c r="K307" s="67" t="s">
        <v>35</v>
      </c>
      <c r="L307" s="62">
        <f>(E307*E299)+(F307*F299)+(G307*G299)+(H307*H299)+(I307*I299)+(J307*J299)</f>
        <v>0</v>
      </c>
      <c r="M307" s="57" t="s">
        <v>36</v>
      </c>
      <c r="N307" s="63" t="b">
        <v>0</v>
      </c>
    </row>
    <row r="308" ht="13.5" customHeight="1">
      <c r="A308" s="46" t="s">
        <v>43</v>
      </c>
      <c r="B308" s="69" t="str">
        <f>IFS(L308=0,"",B308&lt;&gt;"",B308,TRUE,NOW())</f>
        <v/>
      </c>
      <c r="C308" s="70" t="s">
        <v>37</v>
      </c>
      <c r="D308" s="33"/>
      <c r="E308" s="71"/>
      <c r="F308" s="71"/>
      <c r="G308" s="71"/>
      <c r="H308" s="71"/>
      <c r="I308" s="71"/>
      <c r="J308" s="71"/>
      <c r="K308" s="72" t="s">
        <v>38</v>
      </c>
      <c r="L308" s="73">
        <f>L307-L306</f>
        <v>0</v>
      </c>
      <c r="M308" s="74" t="s">
        <v>39</v>
      </c>
      <c r="N308" s="75" t="b">
        <v>0</v>
      </c>
    </row>
    <row r="309" ht="13.5" customHeight="1">
      <c r="A309" s="64"/>
      <c r="B309" s="52" t="s">
        <v>100</v>
      </c>
      <c r="C309" s="53" t="s">
        <v>27</v>
      </c>
      <c r="D309" s="54"/>
      <c r="E309" s="55">
        <f t="shared" ref="E309:J309" si="84">E307-E310</f>
        <v>0</v>
      </c>
      <c r="F309" s="55">
        <f t="shared" si="84"/>
        <v>0</v>
      </c>
      <c r="G309" s="55">
        <f t="shared" si="84"/>
        <v>0</v>
      </c>
      <c r="H309" s="55">
        <f t="shared" si="84"/>
        <v>0</v>
      </c>
      <c r="I309" s="55">
        <f t="shared" si="84"/>
        <v>0</v>
      </c>
      <c r="J309" s="55">
        <f t="shared" si="84"/>
        <v>0</v>
      </c>
      <c r="K309" s="56"/>
      <c r="L309" s="30"/>
      <c r="M309" s="57" t="s">
        <v>28</v>
      </c>
      <c r="N309" s="58" t="b">
        <v>0</v>
      </c>
    </row>
    <row r="310" ht="15.0" customHeight="1">
      <c r="A310" s="46" t="s">
        <v>45</v>
      </c>
      <c r="B310" s="59"/>
      <c r="C310" s="53" t="s">
        <v>30</v>
      </c>
      <c r="D310" s="54"/>
      <c r="E310" s="60"/>
      <c r="F310" s="60"/>
      <c r="G310" s="60"/>
      <c r="H310" s="60"/>
      <c r="I310" s="60"/>
      <c r="J310" s="60"/>
      <c r="K310" s="61" t="s">
        <v>30</v>
      </c>
      <c r="L310" s="62">
        <f>(E310*E299)+(F310*F299)+(G310*G299)+(H310*H299)+(I310*I299)+(J310*J299)</f>
        <v>0</v>
      </c>
      <c r="M310" s="57" t="s">
        <v>31</v>
      </c>
      <c r="N310" s="63" t="b">
        <v>0</v>
      </c>
    </row>
    <row r="311" ht="13.5" customHeight="1">
      <c r="A311" s="77"/>
      <c r="B311" s="65" t="s">
        <v>47</v>
      </c>
      <c r="C311" s="53" t="s">
        <v>34</v>
      </c>
      <c r="D311" s="54"/>
      <c r="E311" s="66"/>
      <c r="F311" s="66"/>
      <c r="G311" s="66"/>
      <c r="H311" s="66"/>
      <c r="I311" s="66"/>
      <c r="J311" s="66"/>
      <c r="K311" s="67" t="s">
        <v>35</v>
      </c>
      <c r="L311" s="62">
        <f>(E311*E299)+(F311*F299)+(G311*G299)+(H311*H299)+(I311*I299)+(J311*J299)</f>
        <v>0</v>
      </c>
      <c r="M311" s="57" t="s">
        <v>36</v>
      </c>
      <c r="N311" s="63" t="b">
        <v>0</v>
      </c>
    </row>
    <row r="312" ht="13.5" customHeight="1">
      <c r="A312" s="68"/>
      <c r="B312" s="69" t="str">
        <f>IFS(L312=0,"",B312&lt;&gt;"",B312,TRUE,NOW())</f>
        <v/>
      </c>
      <c r="C312" s="70" t="s">
        <v>37</v>
      </c>
      <c r="D312" s="33"/>
      <c r="E312" s="71"/>
      <c r="F312" s="71"/>
      <c r="G312" s="71"/>
      <c r="H312" s="71"/>
      <c r="I312" s="71"/>
      <c r="J312" s="71"/>
      <c r="K312" s="72" t="s">
        <v>38</v>
      </c>
      <c r="L312" s="73">
        <f>L311-L310</f>
        <v>0</v>
      </c>
      <c r="M312" s="74" t="s">
        <v>39</v>
      </c>
      <c r="N312" s="75" t="b">
        <v>0</v>
      </c>
    </row>
    <row r="313" ht="13.5" customHeight="1">
      <c r="A313" s="78" t="s">
        <v>48</v>
      </c>
      <c r="B313" s="52" t="s">
        <v>100</v>
      </c>
      <c r="C313" s="53" t="s">
        <v>27</v>
      </c>
      <c r="D313" s="54"/>
      <c r="E313" s="55">
        <f t="shared" ref="E313:J313" si="85">E311-E314</f>
        <v>0</v>
      </c>
      <c r="F313" s="55">
        <f t="shared" si="85"/>
        <v>0</v>
      </c>
      <c r="G313" s="55">
        <f t="shared" si="85"/>
        <v>0</v>
      </c>
      <c r="H313" s="55">
        <f t="shared" si="85"/>
        <v>0</v>
      </c>
      <c r="I313" s="55">
        <f t="shared" si="85"/>
        <v>0</v>
      </c>
      <c r="J313" s="55">
        <f t="shared" si="85"/>
        <v>0</v>
      </c>
      <c r="K313" s="56"/>
      <c r="L313" s="30"/>
      <c r="M313" s="57" t="s">
        <v>28</v>
      </c>
      <c r="N313" s="58" t="b">
        <v>0</v>
      </c>
    </row>
    <row r="314" ht="13.5" customHeight="1">
      <c r="A314" s="87"/>
      <c r="B314" s="59"/>
      <c r="C314" s="53" t="s">
        <v>30</v>
      </c>
      <c r="D314" s="54"/>
      <c r="E314" s="60"/>
      <c r="F314" s="60"/>
      <c r="G314" s="60"/>
      <c r="H314" s="60"/>
      <c r="I314" s="60"/>
      <c r="J314" s="60"/>
      <c r="K314" s="61" t="s">
        <v>30</v>
      </c>
      <c r="L314" s="62">
        <f>(E314*E299)+(F314*F299)+(G314*G299)+(H314*H299)+(I314*I299)+(J314*J299)</f>
        <v>0</v>
      </c>
      <c r="M314" s="57" t="s">
        <v>31</v>
      </c>
      <c r="N314" s="63" t="b">
        <v>0</v>
      </c>
    </row>
    <row r="315" ht="13.5" customHeight="1">
      <c r="A315" s="68"/>
      <c r="B315" s="65" t="s">
        <v>49</v>
      </c>
      <c r="C315" s="53" t="s">
        <v>34</v>
      </c>
      <c r="D315" s="54"/>
      <c r="E315" s="66"/>
      <c r="F315" s="66"/>
      <c r="G315" s="66"/>
      <c r="H315" s="66"/>
      <c r="I315" s="66"/>
      <c r="J315" s="66"/>
      <c r="K315" s="67" t="s">
        <v>35</v>
      </c>
      <c r="L315" s="62">
        <f>(E315*E299)+(F315*F299)+(G315*G299)+(H315*H299)+(I315*I299)+(J315*J299)</f>
        <v>0</v>
      </c>
      <c r="M315" s="57" t="s">
        <v>36</v>
      </c>
      <c r="N315" s="63" t="b">
        <v>0</v>
      </c>
    </row>
    <row r="316" ht="13.5" customHeight="1">
      <c r="A316" s="80"/>
      <c r="B316" s="69" t="str">
        <f>IFS(L316=0,"",B316&lt;&gt;"",B316,TRUE,NOW())</f>
        <v/>
      </c>
      <c r="C316" s="53" t="s">
        <v>37</v>
      </c>
      <c r="D316" s="54"/>
      <c r="E316" s="81"/>
      <c r="F316" s="81"/>
      <c r="G316" s="81"/>
      <c r="H316" s="82"/>
      <c r="I316" s="81"/>
      <c r="J316" s="81"/>
      <c r="K316" s="72" t="s">
        <v>38</v>
      </c>
      <c r="L316" s="73">
        <f>L315-L314</f>
        <v>0</v>
      </c>
      <c r="M316" s="74" t="s">
        <v>39</v>
      </c>
      <c r="N316" s="75" t="b">
        <v>0</v>
      </c>
    </row>
    <row r="317" ht="15.0" customHeight="1">
      <c r="A317" s="83" t="s">
        <v>101</v>
      </c>
      <c r="B317" s="42" t="s">
        <v>20</v>
      </c>
      <c r="C317" s="24"/>
      <c r="D317" s="33"/>
      <c r="E317" s="43">
        <f t="shared" ref="E317:J317" si="86">E6</f>
        <v>17</v>
      </c>
      <c r="F317" s="43">
        <f t="shared" si="86"/>
        <v>27</v>
      </c>
      <c r="G317" s="43">
        <f t="shared" si="86"/>
        <v>27</v>
      </c>
      <c r="H317" s="43">
        <f t="shared" si="86"/>
        <v>27</v>
      </c>
      <c r="I317" s="43">
        <f t="shared" si="86"/>
        <v>32</v>
      </c>
      <c r="J317" s="44">
        <f t="shared" si="86"/>
        <v>37</v>
      </c>
      <c r="K317" s="42" t="s">
        <v>21</v>
      </c>
      <c r="L317" s="25"/>
      <c r="M317" s="45" t="s">
        <v>22</v>
      </c>
      <c r="N317" s="25"/>
    </row>
    <row r="318" ht="13.5" customHeight="1">
      <c r="A318" s="46" t="s">
        <v>23</v>
      </c>
      <c r="B318" s="47" t="s">
        <v>24</v>
      </c>
      <c r="C318" s="32" t="s">
        <v>25</v>
      </c>
      <c r="D318" s="33"/>
      <c r="E318" s="48"/>
      <c r="F318" s="48"/>
      <c r="G318" s="48"/>
      <c r="H318" s="48"/>
      <c r="I318" s="48"/>
      <c r="J318" s="48"/>
      <c r="K318" s="49"/>
      <c r="L318" s="25"/>
      <c r="M318" s="50"/>
      <c r="N318" s="10"/>
    </row>
    <row r="319" ht="13.5" customHeight="1">
      <c r="A319" s="92"/>
      <c r="B319" s="52" t="s">
        <v>102</v>
      </c>
      <c r="C319" s="53" t="s">
        <v>27</v>
      </c>
      <c r="D319" s="54"/>
      <c r="E319" s="55">
        <f t="shared" ref="E319:J319" si="87">E318-E320</f>
        <v>0</v>
      </c>
      <c r="F319" s="55">
        <f t="shared" si="87"/>
        <v>0</v>
      </c>
      <c r="G319" s="55">
        <f t="shared" si="87"/>
        <v>0</v>
      </c>
      <c r="H319" s="55">
        <f t="shared" si="87"/>
        <v>0</v>
      </c>
      <c r="I319" s="55">
        <f t="shared" si="87"/>
        <v>0</v>
      </c>
      <c r="J319" s="55">
        <f t="shared" si="87"/>
        <v>0</v>
      </c>
      <c r="K319" s="56"/>
      <c r="L319" s="30"/>
      <c r="M319" s="57" t="s">
        <v>28</v>
      </c>
      <c r="N319" s="58" t="b">
        <v>0</v>
      </c>
    </row>
    <row r="320" ht="13.5" customHeight="1">
      <c r="A320" s="46" t="s">
        <v>29</v>
      </c>
      <c r="B320" s="59"/>
      <c r="C320" s="53" t="s">
        <v>30</v>
      </c>
      <c r="D320" s="54"/>
      <c r="E320" s="60"/>
      <c r="F320" s="60"/>
      <c r="G320" s="60"/>
      <c r="H320" s="60"/>
      <c r="I320" s="60"/>
      <c r="J320" s="60"/>
      <c r="K320" s="61" t="s">
        <v>30</v>
      </c>
      <c r="L320" s="62">
        <f>(E320*E317)+(F320*F317)+(G320*G317)+(H320*H317)+(I320*I317)+(J320*J317)</f>
        <v>0</v>
      </c>
      <c r="M320" s="57" t="s">
        <v>31</v>
      </c>
      <c r="N320" s="63" t="b">
        <v>0</v>
      </c>
    </row>
    <row r="321" ht="13.5" customHeight="1">
      <c r="A321" s="64"/>
      <c r="B321" s="65" t="s">
        <v>33</v>
      </c>
      <c r="C321" s="53" t="s">
        <v>34</v>
      </c>
      <c r="D321" s="54"/>
      <c r="E321" s="66"/>
      <c r="F321" s="66"/>
      <c r="G321" s="66"/>
      <c r="H321" s="66"/>
      <c r="I321" s="66"/>
      <c r="J321" s="66"/>
      <c r="K321" s="67" t="s">
        <v>35</v>
      </c>
      <c r="L321" s="62">
        <f>(E321*E317)+(F321*F317)+(G321*G317)+(H321*H317)+(I321*I317)+(J321*J317)</f>
        <v>0</v>
      </c>
      <c r="M321" s="57" t="s">
        <v>36</v>
      </c>
      <c r="N321" s="63" t="b">
        <v>0</v>
      </c>
    </row>
    <row r="322" ht="15.0" customHeight="1">
      <c r="A322" s="68"/>
      <c r="B322" s="69" t="str">
        <f>IFS(L322=0,"",B322&lt;&gt;"",B322,TRUE,NOW())</f>
        <v/>
      </c>
      <c r="C322" s="70" t="s">
        <v>37</v>
      </c>
      <c r="D322" s="33"/>
      <c r="E322" s="71"/>
      <c r="F322" s="71"/>
      <c r="G322" s="71"/>
      <c r="H322" s="71"/>
      <c r="I322" s="71"/>
      <c r="J322" s="71"/>
      <c r="K322" s="72" t="s">
        <v>38</v>
      </c>
      <c r="L322" s="73">
        <f>L321-L320</f>
        <v>0</v>
      </c>
      <c r="M322" s="74" t="s">
        <v>39</v>
      </c>
      <c r="N322" s="75" t="b">
        <v>0</v>
      </c>
    </row>
    <row r="323" ht="13.5" customHeight="1">
      <c r="A323" s="46" t="s">
        <v>40</v>
      </c>
      <c r="B323" s="52" t="s">
        <v>102</v>
      </c>
      <c r="C323" s="53" t="s">
        <v>27</v>
      </c>
      <c r="D323" s="54"/>
      <c r="E323" s="55">
        <f t="shared" ref="E323:J323" si="88">E321-E324</f>
        <v>0</v>
      </c>
      <c r="F323" s="55">
        <f t="shared" si="88"/>
        <v>0</v>
      </c>
      <c r="G323" s="55">
        <f t="shared" si="88"/>
        <v>0</v>
      </c>
      <c r="H323" s="55">
        <f t="shared" si="88"/>
        <v>0</v>
      </c>
      <c r="I323" s="55">
        <f t="shared" si="88"/>
        <v>0</v>
      </c>
      <c r="J323" s="55">
        <f t="shared" si="88"/>
        <v>0</v>
      </c>
      <c r="K323" s="56"/>
      <c r="L323" s="30"/>
      <c r="M323" s="57" t="s">
        <v>28</v>
      </c>
      <c r="N323" s="58" t="b">
        <v>0</v>
      </c>
    </row>
    <row r="324" ht="13.5" customHeight="1">
      <c r="A324" s="64"/>
      <c r="B324" s="59"/>
      <c r="C324" s="53" t="s">
        <v>30</v>
      </c>
      <c r="D324" s="54"/>
      <c r="E324" s="60"/>
      <c r="F324" s="60"/>
      <c r="G324" s="60"/>
      <c r="H324" s="60"/>
      <c r="I324" s="60"/>
      <c r="J324" s="60"/>
      <c r="K324" s="61" t="s">
        <v>30</v>
      </c>
      <c r="L324" s="62">
        <f>(E324*E317)+(F324*F317)+(G324*G317)+(H324*H317)+(I324*I317)+(J324*J317)</f>
        <v>0</v>
      </c>
      <c r="M324" s="57" t="s">
        <v>31</v>
      </c>
      <c r="N324" s="63" t="b">
        <v>0</v>
      </c>
    </row>
    <row r="325" ht="13.5" customHeight="1">
      <c r="A325" s="68"/>
      <c r="B325" s="65" t="s">
        <v>42</v>
      </c>
      <c r="C325" s="53" t="s">
        <v>34</v>
      </c>
      <c r="D325" s="54"/>
      <c r="E325" s="66"/>
      <c r="F325" s="66"/>
      <c r="G325" s="66"/>
      <c r="H325" s="66"/>
      <c r="I325" s="66"/>
      <c r="J325" s="66"/>
      <c r="K325" s="67" t="s">
        <v>35</v>
      </c>
      <c r="L325" s="62">
        <f>(E325*E317)+(F325*F317)+(G325*G317)+(H325*H317)+(I325*I317)+(J325*J317)</f>
        <v>0</v>
      </c>
      <c r="M325" s="57" t="s">
        <v>36</v>
      </c>
      <c r="N325" s="63" t="b">
        <v>0</v>
      </c>
    </row>
    <row r="326" ht="13.5" customHeight="1">
      <c r="A326" s="46" t="s">
        <v>43</v>
      </c>
      <c r="B326" s="69" t="str">
        <f>IFS(L326=0,"",B326&lt;&gt;"",B326,TRUE,NOW())</f>
        <v/>
      </c>
      <c r="C326" s="70" t="s">
        <v>37</v>
      </c>
      <c r="D326" s="33"/>
      <c r="E326" s="71"/>
      <c r="F326" s="71"/>
      <c r="G326" s="71"/>
      <c r="H326" s="71"/>
      <c r="I326" s="71"/>
      <c r="J326" s="71"/>
      <c r="K326" s="72" t="s">
        <v>38</v>
      </c>
      <c r="L326" s="73">
        <f>L325-L324</f>
        <v>0</v>
      </c>
      <c r="M326" s="74" t="s">
        <v>39</v>
      </c>
      <c r="N326" s="75" t="b">
        <v>0</v>
      </c>
    </row>
    <row r="327" ht="15.0" customHeight="1">
      <c r="A327" s="64"/>
      <c r="B327" s="52" t="s">
        <v>102</v>
      </c>
      <c r="C327" s="53" t="s">
        <v>27</v>
      </c>
      <c r="D327" s="54"/>
      <c r="E327" s="55">
        <f t="shared" ref="E327:J327" si="89">E325-E328</f>
        <v>0</v>
      </c>
      <c r="F327" s="55">
        <f t="shared" si="89"/>
        <v>0</v>
      </c>
      <c r="G327" s="55">
        <f t="shared" si="89"/>
        <v>0</v>
      </c>
      <c r="H327" s="55">
        <f t="shared" si="89"/>
        <v>0</v>
      </c>
      <c r="I327" s="55">
        <f t="shared" si="89"/>
        <v>0</v>
      </c>
      <c r="J327" s="55">
        <f t="shared" si="89"/>
        <v>0</v>
      </c>
      <c r="K327" s="56"/>
      <c r="L327" s="30"/>
      <c r="M327" s="57" t="s">
        <v>28</v>
      </c>
      <c r="N327" s="58" t="b">
        <v>0</v>
      </c>
    </row>
    <row r="328" ht="13.5" customHeight="1">
      <c r="A328" s="46" t="s">
        <v>45</v>
      </c>
      <c r="B328" s="59"/>
      <c r="C328" s="53" t="s">
        <v>30</v>
      </c>
      <c r="D328" s="54"/>
      <c r="E328" s="60"/>
      <c r="F328" s="60"/>
      <c r="G328" s="60"/>
      <c r="H328" s="60"/>
      <c r="I328" s="60"/>
      <c r="J328" s="60"/>
      <c r="K328" s="61" t="s">
        <v>30</v>
      </c>
      <c r="L328" s="62">
        <f>(E328*E317)+(F328*F317)+(G328*G317)+(H328*H317)+(I328*I317)+(J328*J317)</f>
        <v>0</v>
      </c>
      <c r="M328" s="57" t="s">
        <v>31</v>
      </c>
      <c r="N328" s="63" t="b">
        <v>0</v>
      </c>
    </row>
    <row r="329" ht="13.5" customHeight="1">
      <c r="A329" s="77"/>
      <c r="B329" s="65" t="s">
        <v>47</v>
      </c>
      <c r="C329" s="53" t="s">
        <v>34</v>
      </c>
      <c r="D329" s="54"/>
      <c r="E329" s="66"/>
      <c r="F329" s="66"/>
      <c r="G329" s="66"/>
      <c r="H329" s="66"/>
      <c r="I329" s="66"/>
      <c r="J329" s="66"/>
      <c r="K329" s="67" t="s">
        <v>35</v>
      </c>
      <c r="L329" s="62">
        <f>(E329*E317)+(F329*F317)+(G329*G317)+(H329*H317)+(I329*I317)+(J329*J317)</f>
        <v>0</v>
      </c>
      <c r="M329" s="57" t="s">
        <v>36</v>
      </c>
      <c r="N329" s="63" t="b">
        <v>0</v>
      </c>
    </row>
    <row r="330" ht="13.5" customHeight="1">
      <c r="A330" s="68"/>
      <c r="B330" s="69" t="str">
        <f>IFS(L330=0,"",B330&lt;&gt;"",B330,TRUE,NOW())</f>
        <v/>
      </c>
      <c r="C330" s="70" t="s">
        <v>37</v>
      </c>
      <c r="D330" s="33"/>
      <c r="E330" s="71"/>
      <c r="F330" s="71"/>
      <c r="G330" s="71"/>
      <c r="H330" s="71"/>
      <c r="I330" s="71"/>
      <c r="J330" s="71"/>
      <c r="K330" s="72" t="s">
        <v>38</v>
      </c>
      <c r="L330" s="73">
        <f>L329-L328</f>
        <v>0</v>
      </c>
      <c r="M330" s="74" t="s">
        <v>39</v>
      </c>
      <c r="N330" s="75" t="b">
        <v>0</v>
      </c>
    </row>
    <row r="331" ht="13.5" customHeight="1">
      <c r="A331" s="78" t="s">
        <v>48</v>
      </c>
      <c r="B331" s="52" t="s">
        <v>102</v>
      </c>
      <c r="C331" s="53" t="s">
        <v>27</v>
      </c>
      <c r="D331" s="54"/>
      <c r="E331" s="55">
        <f t="shared" ref="E331:J331" si="90">E329-E332</f>
        <v>0</v>
      </c>
      <c r="F331" s="55">
        <f t="shared" si="90"/>
        <v>0</v>
      </c>
      <c r="G331" s="55">
        <f t="shared" si="90"/>
        <v>0</v>
      </c>
      <c r="H331" s="55">
        <f t="shared" si="90"/>
        <v>0</v>
      </c>
      <c r="I331" s="55">
        <f t="shared" si="90"/>
        <v>0</v>
      </c>
      <c r="J331" s="55">
        <f t="shared" si="90"/>
        <v>0</v>
      </c>
      <c r="K331" s="56"/>
      <c r="L331" s="30"/>
      <c r="M331" s="57" t="s">
        <v>28</v>
      </c>
      <c r="N331" s="58" t="b">
        <v>0</v>
      </c>
    </row>
    <row r="332" ht="15.0" customHeight="1">
      <c r="A332" s="87"/>
      <c r="B332" s="59"/>
      <c r="C332" s="53" t="s">
        <v>30</v>
      </c>
      <c r="D332" s="54"/>
      <c r="E332" s="60"/>
      <c r="F332" s="60"/>
      <c r="G332" s="60"/>
      <c r="H332" s="60"/>
      <c r="I332" s="60"/>
      <c r="J332" s="60"/>
      <c r="K332" s="61" t="s">
        <v>30</v>
      </c>
      <c r="L332" s="62">
        <f>(E332*E317)+(F332*F317)+(G332*G317)+(H332*H317)+(I332*I317)+(J332*J317)</f>
        <v>0</v>
      </c>
      <c r="M332" s="57" t="s">
        <v>31</v>
      </c>
      <c r="N332" s="63" t="b">
        <v>0</v>
      </c>
    </row>
    <row r="333" ht="13.5" customHeight="1">
      <c r="A333" s="68"/>
      <c r="B333" s="65" t="s">
        <v>49</v>
      </c>
      <c r="C333" s="53" t="s">
        <v>34</v>
      </c>
      <c r="D333" s="54"/>
      <c r="E333" s="66"/>
      <c r="F333" s="66"/>
      <c r="G333" s="66"/>
      <c r="H333" s="66"/>
      <c r="I333" s="66"/>
      <c r="J333" s="66"/>
      <c r="K333" s="67" t="s">
        <v>35</v>
      </c>
      <c r="L333" s="62">
        <f>(E333*E317)+(F333*F317)+(G333*G317)+(H333*H317)+(I333*I317)+(J333*J317)</f>
        <v>0</v>
      </c>
      <c r="M333" s="57" t="s">
        <v>36</v>
      </c>
      <c r="N333" s="63" t="b">
        <v>0</v>
      </c>
    </row>
    <row r="334" ht="13.5" customHeight="1">
      <c r="A334" s="80"/>
      <c r="B334" s="69" t="str">
        <f>IFS(L334=0,"",B334&lt;&gt;"",B334,TRUE,NOW())</f>
        <v/>
      </c>
      <c r="C334" s="53" t="s">
        <v>37</v>
      </c>
      <c r="D334" s="54"/>
      <c r="E334" s="81"/>
      <c r="F334" s="81"/>
      <c r="G334" s="81"/>
      <c r="H334" s="82"/>
      <c r="I334" s="81"/>
      <c r="J334" s="81"/>
      <c r="K334" s="72" t="s">
        <v>38</v>
      </c>
      <c r="L334" s="73">
        <f>L333-L332</f>
        <v>0</v>
      </c>
      <c r="M334" s="74" t="s">
        <v>39</v>
      </c>
      <c r="N334" s="75" t="b">
        <v>0</v>
      </c>
    </row>
    <row r="335" ht="13.5" customHeight="1">
      <c r="A335" s="83" t="s">
        <v>103</v>
      </c>
      <c r="B335" s="42" t="s">
        <v>20</v>
      </c>
      <c r="C335" s="24"/>
      <c r="D335" s="33"/>
      <c r="E335" s="43">
        <f t="shared" ref="E335:J335" si="91">E6</f>
        <v>17</v>
      </c>
      <c r="F335" s="43">
        <f t="shared" si="91"/>
        <v>27</v>
      </c>
      <c r="G335" s="43">
        <f t="shared" si="91"/>
        <v>27</v>
      </c>
      <c r="H335" s="43">
        <f t="shared" si="91"/>
        <v>27</v>
      </c>
      <c r="I335" s="43">
        <f t="shared" si="91"/>
        <v>32</v>
      </c>
      <c r="J335" s="44">
        <f t="shared" si="91"/>
        <v>37</v>
      </c>
      <c r="K335" s="42" t="s">
        <v>21</v>
      </c>
      <c r="L335" s="25"/>
      <c r="M335" s="45" t="s">
        <v>22</v>
      </c>
      <c r="N335" s="25"/>
    </row>
    <row r="336" ht="13.5" customHeight="1">
      <c r="A336" s="46" t="s">
        <v>23</v>
      </c>
      <c r="B336" s="47" t="s">
        <v>24</v>
      </c>
      <c r="C336" s="32" t="s">
        <v>25</v>
      </c>
      <c r="D336" s="33"/>
      <c r="E336" s="48"/>
      <c r="F336" s="48"/>
      <c r="G336" s="48"/>
      <c r="H336" s="48"/>
      <c r="I336" s="48"/>
      <c r="J336" s="48"/>
      <c r="K336" s="49"/>
      <c r="L336" s="25"/>
      <c r="M336" s="50"/>
      <c r="N336" s="10"/>
    </row>
    <row r="337" ht="13.5" customHeight="1">
      <c r="A337" s="92"/>
      <c r="B337" s="52" t="s">
        <v>104</v>
      </c>
      <c r="C337" s="53" t="s">
        <v>27</v>
      </c>
      <c r="D337" s="54"/>
      <c r="E337" s="55">
        <f t="shared" ref="E337:J337" si="92">E336-E338</f>
        <v>0</v>
      </c>
      <c r="F337" s="55">
        <f t="shared" si="92"/>
        <v>0</v>
      </c>
      <c r="G337" s="55">
        <f t="shared" si="92"/>
        <v>0</v>
      </c>
      <c r="H337" s="55">
        <f t="shared" si="92"/>
        <v>0</v>
      </c>
      <c r="I337" s="55">
        <f t="shared" si="92"/>
        <v>0</v>
      </c>
      <c r="J337" s="55">
        <f t="shared" si="92"/>
        <v>0</v>
      </c>
      <c r="K337" s="56"/>
      <c r="L337" s="30"/>
      <c r="M337" s="57" t="s">
        <v>28</v>
      </c>
      <c r="N337" s="58" t="b">
        <v>0</v>
      </c>
    </row>
    <row r="338" ht="13.5" customHeight="1">
      <c r="A338" s="46" t="s">
        <v>29</v>
      </c>
      <c r="B338" s="59"/>
      <c r="C338" s="53" t="s">
        <v>30</v>
      </c>
      <c r="D338" s="54"/>
      <c r="E338" s="60"/>
      <c r="F338" s="60"/>
      <c r="G338" s="60"/>
      <c r="H338" s="60"/>
      <c r="I338" s="60"/>
      <c r="J338" s="60"/>
      <c r="K338" s="61" t="s">
        <v>30</v>
      </c>
      <c r="L338" s="62">
        <f>(E338*E335)+(F338*F335)+(G338*G335)+(H338*H335)+(I338*I335)+(J338*J335)</f>
        <v>0</v>
      </c>
      <c r="M338" s="57" t="s">
        <v>31</v>
      </c>
      <c r="N338" s="63" t="b">
        <v>0</v>
      </c>
    </row>
    <row r="339" ht="15.0" customHeight="1">
      <c r="A339" s="64"/>
      <c r="B339" s="65" t="s">
        <v>33</v>
      </c>
      <c r="C339" s="53" t="s">
        <v>34</v>
      </c>
      <c r="D339" s="54"/>
      <c r="E339" s="66"/>
      <c r="F339" s="66"/>
      <c r="G339" s="66"/>
      <c r="H339" s="66"/>
      <c r="I339" s="66"/>
      <c r="J339" s="66"/>
      <c r="K339" s="67" t="s">
        <v>35</v>
      </c>
      <c r="L339" s="62">
        <f>(E339*E335)+(F339*F335)+(G339*G335)+(H339*H335)+(I339*I335)+(J339*J335)</f>
        <v>0</v>
      </c>
      <c r="M339" s="57" t="s">
        <v>36</v>
      </c>
      <c r="N339" s="63" t="b">
        <v>0</v>
      </c>
    </row>
    <row r="340" ht="13.5" customHeight="1">
      <c r="A340" s="68"/>
      <c r="B340" s="69" t="str">
        <f>IFS(L340=0,"",B340&lt;&gt;"",B340,TRUE,NOW())</f>
        <v/>
      </c>
      <c r="C340" s="70" t="s">
        <v>37</v>
      </c>
      <c r="D340" s="33"/>
      <c r="E340" s="71"/>
      <c r="F340" s="71"/>
      <c r="G340" s="71"/>
      <c r="H340" s="71"/>
      <c r="I340" s="71"/>
      <c r="J340" s="71"/>
      <c r="K340" s="72" t="s">
        <v>38</v>
      </c>
      <c r="L340" s="73">
        <f>L339-L338</f>
        <v>0</v>
      </c>
      <c r="M340" s="74" t="s">
        <v>39</v>
      </c>
      <c r="N340" s="75" t="b">
        <v>0</v>
      </c>
    </row>
    <row r="341" ht="13.5" customHeight="1">
      <c r="A341" s="46" t="s">
        <v>40</v>
      </c>
      <c r="B341" s="52" t="s">
        <v>104</v>
      </c>
      <c r="C341" s="53" t="s">
        <v>27</v>
      </c>
      <c r="D341" s="54"/>
      <c r="E341" s="55">
        <f t="shared" ref="E341:J341" si="93">E339-E342</f>
        <v>0</v>
      </c>
      <c r="F341" s="55">
        <f t="shared" si="93"/>
        <v>0</v>
      </c>
      <c r="G341" s="55">
        <f t="shared" si="93"/>
        <v>0</v>
      </c>
      <c r="H341" s="55">
        <f t="shared" si="93"/>
        <v>0</v>
      </c>
      <c r="I341" s="55">
        <f t="shared" si="93"/>
        <v>0</v>
      </c>
      <c r="J341" s="55">
        <f t="shared" si="93"/>
        <v>0</v>
      </c>
      <c r="K341" s="56"/>
      <c r="L341" s="30"/>
      <c r="M341" s="57" t="s">
        <v>28</v>
      </c>
      <c r="N341" s="58" t="b">
        <v>0</v>
      </c>
    </row>
    <row r="342" ht="13.5" customHeight="1">
      <c r="A342" s="64"/>
      <c r="B342" s="59"/>
      <c r="C342" s="53" t="s">
        <v>30</v>
      </c>
      <c r="D342" s="54"/>
      <c r="E342" s="60"/>
      <c r="F342" s="60"/>
      <c r="G342" s="60"/>
      <c r="H342" s="60"/>
      <c r="I342" s="60"/>
      <c r="J342" s="60"/>
      <c r="K342" s="61" t="s">
        <v>30</v>
      </c>
      <c r="L342" s="62">
        <f>(E342*E335)+(F342*F335)+(G342*G335)+(H342*H335)+(I342*I335)+(J342*J335)</f>
        <v>0</v>
      </c>
      <c r="M342" s="57" t="s">
        <v>31</v>
      </c>
      <c r="N342" s="63" t="b">
        <v>0</v>
      </c>
    </row>
    <row r="343" ht="13.5" customHeight="1">
      <c r="A343" s="68"/>
      <c r="B343" s="65" t="s">
        <v>42</v>
      </c>
      <c r="C343" s="53" t="s">
        <v>34</v>
      </c>
      <c r="D343" s="54"/>
      <c r="E343" s="66"/>
      <c r="F343" s="66"/>
      <c r="G343" s="66"/>
      <c r="H343" s="66"/>
      <c r="I343" s="66"/>
      <c r="J343" s="66"/>
      <c r="K343" s="67" t="s">
        <v>35</v>
      </c>
      <c r="L343" s="62">
        <f>(E343*E335)+(F343*F335)+(G343*G335)+(H343*H335)+(I343*I335)+(J343*J335)</f>
        <v>0</v>
      </c>
      <c r="M343" s="57" t="s">
        <v>36</v>
      </c>
      <c r="N343" s="63" t="b">
        <v>0</v>
      </c>
    </row>
    <row r="344" ht="15.0" customHeight="1">
      <c r="A344" s="46" t="s">
        <v>43</v>
      </c>
      <c r="B344" s="69" t="str">
        <f>IFS(L344=0,"",B344&lt;&gt;"",B344,TRUE,NOW())</f>
        <v/>
      </c>
      <c r="C344" s="70" t="s">
        <v>37</v>
      </c>
      <c r="D344" s="33"/>
      <c r="E344" s="71"/>
      <c r="F344" s="71"/>
      <c r="G344" s="71"/>
      <c r="H344" s="71"/>
      <c r="I344" s="71"/>
      <c r="J344" s="71"/>
      <c r="K344" s="72" t="s">
        <v>38</v>
      </c>
      <c r="L344" s="73">
        <f>L343-L342</f>
        <v>0</v>
      </c>
      <c r="M344" s="74" t="s">
        <v>39</v>
      </c>
      <c r="N344" s="75" t="b">
        <v>0</v>
      </c>
    </row>
    <row r="345" ht="13.5" customHeight="1">
      <c r="A345" s="64"/>
      <c r="B345" s="52" t="s">
        <v>104</v>
      </c>
      <c r="C345" s="53" t="s">
        <v>27</v>
      </c>
      <c r="D345" s="54"/>
      <c r="E345" s="55">
        <f t="shared" ref="E345:J345" si="94">E343-E346</f>
        <v>0</v>
      </c>
      <c r="F345" s="55">
        <f t="shared" si="94"/>
        <v>0</v>
      </c>
      <c r="G345" s="55">
        <f t="shared" si="94"/>
        <v>0</v>
      </c>
      <c r="H345" s="55">
        <f t="shared" si="94"/>
        <v>0</v>
      </c>
      <c r="I345" s="55">
        <f t="shared" si="94"/>
        <v>0</v>
      </c>
      <c r="J345" s="55">
        <f t="shared" si="94"/>
        <v>0</v>
      </c>
      <c r="K345" s="56"/>
      <c r="L345" s="30"/>
      <c r="M345" s="57" t="s">
        <v>28</v>
      </c>
      <c r="N345" s="58" t="b">
        <v>0</v>
      </c>
    </row>
    <row r="346" ht="13.5" customHeight="1">
      <c r="A346" s="46" t="s">
        <v>45</v>
      </c>
      <c r="B346" s="59"/>
      <c r="C346" s="53" t="s">
        <v>30</v>
      </c>
      <c r="D346" s="54"/>
      <c r="E346" s="60"/>
      <c r="F346" s="60"/>
      <c r="G346" s="60"/>
      <c r="H346" s="60"/>
      <c r="I346" s="60"/>
      <c r="J346" s="60"/>
      <c r="K346" s="61" t="s">
        <v>30</v>
      </c>
      <c r="L346" s="62">
        <f>(E346*E335)+(F346*F335)+(G346*G335)+(H346*H335)+(I346*I335)+(J346*J335)</f>
        <v>0</v>
      </c>
      <c r="M346" s="57" t="s">
        <v>31</v>
      </c>
      <c r="N346" s="63" t="b">
        <v>0</v>
      </c>
    </row>
    <row r="347" ht="13.5" customHeight="1">
      <c r="A347" s="77"/>
      <c r="B347" s="65" t="s">
        <v>47</v>
      </c>
      <c r="C347" s="53" t="s">
        <v>34</v>
      </c>
      <c r="D347" s="54"/>
      <c r="E347" s="66"/>
      <c r="F347" s="66"/>
      <c r="G347" s="66"/>
      <c r="H347" s="66"/>
      <c r="I347" s="66"/>
      <c r="J347" s="66"/>
      <c r="K347" s="67" t="s">
        <v>35</v>
      </c>
      <c r="L347" s="62">
        <f>(E347*E335)+(F347*F335)+(G347*G335)+(H347*H335)+(I347*I335)+(J347*J335)</f>
        <v>0</v>
      </c>
      <c r="M347" s="57" t="s">
        <v>36</v>
      </c>
      <c r="N347" s="63" t="b">
        <v>0</v>
      </c>
    </row>
    <row r="348" ht="13.5" customHeight="1">
      <c r="A348" s="68"/>
      <c r="B348" s="69" t="str">
        <f>IFS(L348=0,"",B348&lt;&gt;"",B348,TRUE,NOW())</f>
        <v/>
      </c>
      <c r="C348" s="70" t="s">
        <v>37</v>
      </c>
      <c r="D348" s="33"/>
      <c r="E348" s="71"/>
      <c r="F348" s="71"/>
      <c r="G348" s="71"/>
      <c r="H348" s="71"/>
      <c r="I348" s="71"/>
      <c r="J348" s="71"/>
      <c r="K348" s="72" t="s">
        <v>38</v>
      </c>
      <c r="L348" s="73">
        <f>L347-L346</f>
        <v>0</v>
      </c>
      <c r="M348" s="74" t="s">
        <v>39</v>
      </c>
      <c r="N348" s="75" t="b">
        <v>0</v>
      </c>
    </row>
    <row r="349" ht="15.0" customHeight="1">
      <c r="A349" s="78" t="s">
        <v>48</v>
      </c>
      <c r="B349" s="52" t="s">
        <v>104</v>
      </c>
      <c r="C349" s="53" t="s">
        <v>27</v>
      </c>
      <c r="D349" s="54"/>
      <c r="E349" s="55">
        <f t="shared" ref="E349:J349" si="95">E347-E350</f>
        <v>0</v>
      </c>
      <c r="F349" s="55">
        <f t="shared" si="95"/>
        <v>0</v>
      </c>
      <c r="G349" s="55">
        <f t="shared" si="95"/>
        <v>0</v>
      </c>
      <c r="H349" s="55">
        <f t="shared" si="95"/>
        <v>0</v>
      </c>
      <c r="I349" s="55">
        <f t="shared" si="95"/>
        <v>0</v>
      </c>
      <c r="J349" s="55">
        <f t="shared" si="95"/>
        <v>0</v>
      </c>
      <c r="K349" s="56"/>
      <c r="L349" s="30"/>
      <c r="M349" s="57" t="s">
        <v>28</v>
      </c>
      <c r="N349" s="58" t="b">
        <v>0</v>
      </c>
    </row>
    <row r="350" ht="13.5" customHeight="1">
      <c r="A350" s="87"/>
      <c r="B350" s="59"/>
      <c r="C350" s="53" t="s">
        <v>30</v>
      </c>
      <c r="D350" s="54"/>
      <c r="E350" s="60"/>
      <c r="F350" s="60"/>
      <c r="G350" s="60"/>
      <c r="H350" s="60"/>
      <c r="I350" s="60"/>
      <c r="J350" s="60"/>
      <c r="K350" s="61" t="s">
        <v>30</v>
      </c>
      <c r="L350" s="62">
        <f>(E350*E335)+(F350*F335)+(G350*G335)+(H350*H335)+(I350*I335)+(J350*J335)</f>
        <v>0</v>
      </c>
      <c r="M350" s="57" t="s">
        <v>31</v>
      </c>
      <c r="N350" s="63" t="b">
        <v>0</v>
      </c>
    </row>
    <row r="351" ht="13.5" customHeight="1">
      <c r="A351" s="68"/>
      <c r="B351" s="65" t="s">
        <v>49</v>
      </c>
      <c r="C351" s="53" t="s">
        <v>34</v>
      </c>
      <c r="D351" s="54"/>
      <c r="E351" s="66"/>
      <c r="F351" s="66"/>
      <c r="G351" s="66"/>
      <c r="H351" s="66"/>
      <c r="I351" s="66"/>
      <c r="J351" s="66"/>
      <c r="K351" s="67" t="s">
        <v>35</v>
      </c>
      <c r="L351" s="62">
        <f>(E351*E335)+(F351*F335)+(G351*G335)+(H351*H335)+(I351*I335)+(J351*J335)</f>
        <v>0</v>
      </c>
      <c r="M351" s="57" t="s">
        <v>36</v>
      </c>
      <c r="N351" s="63" t="b">
        <v>0</v>
      </c>
    </row>
    <row r="352" ht="13.5" customHeight="1">
      <c r="A352" s="80"/>
      <c r="B352" s="69" t="str">
        <f>IFS(L352=0,"",B352&lt;&gt;"",B352,TRUE,NOW())</f>
        <v/>
      </c>
      <c r="C352" s="86" t="s">
        <v>37</v>
      </c>
      <c r="D352" s="59"/>
      <c r="E352" s="81"/>
      <c r="F352" s="81"/>
      <c r="G352" s="81"/>
      <c r="H352" s="82"/>
      <c r="I352" s="81"/>
      <c r="J352" s="81"/>
      <c r="K352" s="72" t="s">
        <v>38</v>
      </c>
      <c r="L352" s="73">
        <f>L351-L350</f>
        <v>0</v>
      </c>
      <c r="M352" s="74" t="s">
        <v>39</v>
      </c>
      <c r="N352" s="75" t="b">
        <v>0</v>
      </c>
    </row>
    <row r="353" ht="13.5" customHeight="1">
      <c r="A353" s="83" t="s">
        <v>105</v>
      </c>
      <c r="B353" s="42" t="s">
        <v>20</v>
      </c>
      <c r="C353" s="24"/>
      <c r="D353" s="33"/>
      <c r="E353" s="43">
        <f t="shared" ref="E353:J353" si="96">E6</f>
        <v>17</v>
      </c>
      <c r="F353" s="43">
        <f t="shared" si="96"/>
        <v>27</v>
      </c>
      <c r="G353" s="43">
        <f t="shared" si="96"/>
        <v>27</v>
      </c>
      <c r="H353" s="43">
        <f t="shared" si="96"/>
        <v>27</v>
      </c>
      <c r="I353" s="43">
        <f t="shared" si="96"/>
        <v>32</v>
      </c>
      <c r="J353" s="44">
        <f t="shared" si="96"/>
        <v>37</v>
      </c>
      <c r="K353" s="42" t="s">
        <v>21</v>
      </c>
      <c r="L353" s="25"/>
      <c r="M353" s="45" t="s">
        <v>22</v>
      </c>
      <c r="N353" s="25"/>
    </row>
    <row r="354" ht="18.0" customHeight="1">
      <c r="A354" s="46" t="s">
        <v>23</v>
      </c>
      <c r="B354" s="47" t="s">
        <v>24</v>
      </c>
      <c r="C354" s="32" t="s">
        <v>25</v>
      </c>
      <c r="D354" s="33"/>
      <c r="E354" s="48"/>
      <c r="F354" s="48"/>
      <c r="G354" s="48"/>
      <c r="H354" s="48"/>
      <c r="I354" s="48"/>
      <c r="J354" s="48"/>
      <c r="K354" s="49"/>
      <c r="L354" s="25"/>
      <c r="M354" s="50"/>
      <c r="N354" s="10"/>
    </row>
    <row r="355" ht="13.5" customHeight="1">
      <c r="A355" s="92"/>
      <c r="B355" s="52" t="s">
        <v>106</v>
      </c>
      <c r="C355" s="53" t="s">
        <v>27</v>
      </c>
      <c r="D355" s="54"/>
      <c r="E355" s="55">
        <f t="shared" ref="E355:J355" si="97">E354-E356</f>
        <v>0</v>
      </c>
      <c r="F355" s="55">
        <f t="shared" si="97"/>
        <v>0</v>
      </c>
      <c r="G355" s="55">
        <f t="shared" si="97"/>
        <v>0</v>
      </c>
      <c r="H355" s="55">
        <f t="shared" si="97"/>
        <v>0</v>
      </c>
      <c r="I355" s="55">
        <f t="shared" si="97"/>
        <v>0</v>
      </c>
      <c r="J355" s="55">
        <f t="shared" si="97"/>
        <v>0</v>
      </c>
      <c r="K355" s="56"/>
      <c r="L355" s="30"/>
      <c r="M355" s="57" t="s">
        <v>28</v>
      </c>
      <c r="N355" s="58" t="b">
        <v>0</v>
      </c>
    </row>
    <row r="356" ht="13.5" customHeight="1">
      <c r="A356" s="46" t="s">
        <v>29</v>
      </c>
      <c r="B356" s="59"/>
      <c r="C356" s="53" t="s">
        <v>30</v>
      </c>
      <c r="D356" s="54"/>
      <c r="E356" s="60"/>
      <c r="F356" s="60"/>
      <c r="G356" s="60"/>
      <c r="H356" s="60"/>
      <c r="I356" s="60"/>
      <c r="J356" s="60"/>
      <c r="K356" s="61" t="s">
        <v>30</v>
      </c>
      <c r="L356" s="62">
        <f>(E356*E353)+(F356*F353)+(G356*G353)+(H356*H353)+(I356*I353)+(J356*J353)</f>
        <v>0</v>
      </c>
      <c r="M356" s="57" t="s">
        <v>31</v>
      </c>
      <c r="N356" s="63" t="b">
        <v>0</v>
      </c>
    </row>
    <row r="357" ht="13.5" customHeight="1">
      <c r="A357" s="64"/>
      <c r="B357" s="65" t="s">
        <v>33</v>
      </c>
      <c r="C357" s="53" t="s">
        <v>34</v>
      </c>
      <c r="D357" s="54"/>
      <c r="E357" s="66"/>
      <c r="F357" s="66"/>
      <c r="G357" s="66"/>
      <c r="H357" s="66"/>
      <c r="I357" s="66"/>
      <c r="J357" s="66"/>
      <c r="K357" s="67" t="s">
        <v>35</v>
      </c>
      <c r="L357" s="62">
        <f>(E357*E353)+(F357*F353)+(G357*G353)+(H357*H353)+(I357*I353)+(J357*J353)</f>
        <v>0</v>
      </c>
      <c r="M357" s="57" t="s">
        <v>36</v>
      </c>
      <c r="N357" s="63" t="b">
        <v>0</v>
      </c>
    </row>
    <row r="358" ht="13.5" customHeight="1">
      <c r="A358" s="68"/>
      <c r="B358" s="69" t="str">
        <f>IFS(L358=0,"",B358&lt;&gt;"",B358,TRUE,NOW())</f>
        <v/>
      </c>
      <c r="C358" s="70" t="s">
        <v>37</v>
      </c>
      <c r="D358" s="33"/>
      <c r="E358" s="71"/>
      <c r="F358" s="71"/>
      <c r="G358" s="71"/>
      <c r="H358" s="71"/>
      <c r="I358" s="71"/>
      <c r="J358" s="71"/>
      <c r="K358" s="72" t="s">
        <v>38</v>
      </c>
      <c r="L358" s="73">
        <f>L357-L356</f>
        <v>0</v>
      </c>
      <c r="M358" s="74" t="s">
        <v>39</v>
      </c>
      <c r="N358" s="75" t="b">
        <v>0</v>
      </c>
    </row>
    <row r="359" ht="13.5" customHeight="1">
      <c r="A359" s="46" t="s">
        <v>40</v>
      </c>
      <c r="B359" s="52" t="s">
        <v>106</v>
      </c>
      <c r="C359" s="53" t="s">
        <v>27</v>
      </c>
      <c r="D359" s="54"/>
      <c r="E359" s="55">
        <f t="shared" ref="E359:J359" si="98">E357-E360</f>
        <v>0</v>
      </c>
      <c r="F359" s="55">
        <f t="shared" si="98"/>
        <v>0</v>
      </c>
      <c r="G359" s="55">
        <f t="shared" si="98"/>
        <v>0</v>
      </c>
      <c r="H359" s="55">
        <f t="shared" si="98"/>
        <v>0</v>
      </c>
      <c r="I359" s="55">
        <f t="shared" si="98"/>
        <v>0</v>
      </c>
      <c r="J359" s="55">
        <f t="shared" si="98"/>
        <v>0</v>
      </c>
      <c r="K359" s="56"/>
      <c r="L359" s="30"/>
      <c r="M359" s="57" t="s">
        <v>28</v>
      </c>
      <c r="N359" s="58" t="b">
        <v>0</v>
      </c>
    </row>
    <row r="360" ht="13.5" customHeight="1">
      <c r="A360" s="64"/>
      <c r="B360" s="59"/>
      <c r="C360" s="53" t="s">
        <v>30</v>
      </c>
      <c r="D360" s="54"/>
      <c r="E360" s="60"/>
      <c r="F360" s="60"/>
      <c r="G360" s="60"/>
      <c r="H360" s="60"/>
      <c r="I360" s="60"/>
      <c r="J360" s="60"/>
      <c r="K360" s="61" t="s">
        <v>30</v>
      </c>
      <c r="L360" s="62">
        <f>(E360*E353)+(F360*F353)+(G360*G353)+(H360*H353)+(I360*I353)+(J360*J353)</f>
        <v>0</v>
      </c>
      <c r="M360" s="57" t="s">
        <v>31</v>
      </c>
      <c r="N360" s="63" t="b">
        <v>0</v>
      </c>
    </row>
    <row r="361" ht="15.0" customHeight="1">
      <c r="A361" s="68"/>
      <c r="B361" s="65" t="s">
        <v>42</v>
      </c>
      <c r="C361" s="53" t="s">
        <v>34</v>
      </c>
      <c r="D361" s="54"/>
      <c r="E361" s="66"/>
      <c r="F361" s="66"/>
      <c r="G361" s="66"/>
      <c r="H361" s="66"/>
      <c r="I361" s="66"/>
      <c r="J361" s="66"/>
      <c r="K361" s="67" t="s">
        <v>35</v>
      </c>
      <c r="L361" s="62">
        <f>(E361*E353)+(F361*F353)+(G361*G353)+(H361*H353)+(I361*I353)+(J361*J353)</f>
        <v>0</v>
      </c>
      <c r="M361" s="57" t="s">
        <v>36</v>
      </c>
      <c r="N361" s="63" t="b">
        <v>0</v>
      </c>
    </row>
    <row r="362" ht="13.5" customHeight="1">
      <c r="A362" s="46" t="s">
        <v>43</v>
      </c>
      <c r="B362" s="69" t="str">
        <f>IFS(L362=0,"",B362&lt;&gt;"",B362,TRUE,NOW())</f>
        <v/>
      </c>
      <c r="C362" s="70" t="s">
        <v>37</v>
      </c>
      <c r="D362" s="33"/>
      <c r="E362" s="71"/>
      <c r="F362" s="71"/>
      <c r="G362" s="71"/>
      <c r="H362" s="71"/>
      <c r="I362" s="71"/>
      <c r="J362" s="71"/>
      <c r="K362" s="72" t="s">
        <v>38</v>
      </c>
      <c r="L362" s="73">
        <f>L361-L360</f>
        <v>0</v>
      </c>
      <c r="M362" s="74" t="s">
        <v>39</v>
      </c>
      <c r="N362" s="75" t="b">
        <v>0</v>
      </c>
    </row>
    <row r="363" ht="13.5" customHeight="1">
      <c r="A363" s="64"/>
      <c r="B363" s="52" t="s">
        <v>106</v>
      </c>
      <c r="C363" s="53" t="s">
        <v>27</v>
      </c>
      <c r="D363" s="54"/>
      <c r="E363" s="55">
        <f t="shared" ref="E363:J363" si="99">E361-E364</f>
        <v>0</v>
      </c>
      <c r="F363" s="55">
        <f t="shared" si="99"/>
        <v>0</v>
      </c>
      <c r="G363" s="55">
        <f t="shared" si="99"/>
        <v>0</v>
      </c>
      <c r="H363" s="55">
        <f t="shared" si="99"/>
        <v>0</v>
      </c>
      <c r="I363" s="55">
        <f t="shared" si="99"/>
        <v>0</v>
      </c>
      <c r="J363" s="55">
        <f t="shared" si="99"/>
        <v>0</v>
      </c>
      <c r="K363" s="56"/>
      <c r="L363" s="30"/>
      <c r="M363" s="57" t="s">
        <v>28</v>
      </c>
      <c r="N363" s="58" t="b">
        <v>0</v>
      </c>
    </row>
    <row r="364" ht="13.5" customHeight="1">
      <c r="A364" s="46" t="s">
        <v>45</v>
      </c>
      <c r="B364" s="59"/>
      <c r="C364" s="53" t="s">
        <v>30</v>
      </c>
      <c r="D364" s="54"/>
      <c r="E364" s="60"/>
      <c r="F364" s="60"/>
      <c r="G364" s="60"/>
      <c r="H364" s="60"/>
      <c r="I364" s="60"/>
      <c r="J364" s="60"/>
      <c r="K364" s="61" t="s">
        <v>30</v>
      </c>
      <c r="L364" s="62">
        <f>(E364*E353)+(F364*F353)+(G364*G353)+(H364*H353)+(I364*I353)+(J364*J353)</f>
        <v>0</v>
      </c>
      <c r="M364" s="57" t="s">
        <v>31</v>
      </c>
      <c r="N364" s="63" t="b">
        <v>0</v>
      </c>
    </row>
    <row r="365" ht="13.5" customHeight="1">
      <c r="A365" s="77"/>
      <c r="B365" s="65" t="s">
        <v>47</v>
      </c>
      <c r="C365" s="53" t="s">
        <v>34</v>
      </c>
      <c r="D365" s="54"/>
      <c r="E365" s="66"/>
      <c r="F365" s="66"/>
      <c r="G365" s="66"/>
      <c r="H365" s="66"/>
      <c r="I365" s="66"/>
      <c r="J365" s="66"/>
      <c r="K365" s="67" t="s">
        <v>35</v>
      </c>
      <c r="L365" s="62">
        <f>(E365*E353)+(F365*F353)+(G365*G353)+(H365*H353)+(I365*I353)+(J365*J353)</f>
        <v>0</v>
      </c>
      <c r="M365" s="57" t="s">
        <v>36</v>
      </c>
      <c r="N365" s="63" t="b">
        <v>0</v>
      </c>
    </row>
    <row r="366" ht="15.0" customHeight="1">
      <c r="A366" s="68"/>
      <c r="B366" s="69" t="str">
        <f>IFS(L366=0,"",B366&lt;&gt;"",B366,TRUE,NOW())</f>
        <v/>
      </c>
      <c r="C366" s="70" t="s">
        <v>37</v>
      </c>
      <c r="D366" s="33"/>
      <c r="E366" s="71"/>
      <c r="F366" s="71"/>
      <c r="G366" s="71"/>
      <c r="H366" s="71"/>
      <c r="I366" s="71"/>
      <c r="J366" s="71"/>
      <c r="K366" s="72" t="s">
        <v>38</v>
      </c>
      <c r="L366" s="73">
        <f>L365-L364</f>
        <v>0</v>
      </c>
      <c r="M366" s="74" t="s">
        <v>39</v>
      </c>
      <c r="N366" s="75" t="b">
        <v>0</v>
      </c>
    </row>
    <row r="367" ht="13.5" customHeight="1">
      <c r="A367" s="78" t="s">
        <v>48</v>
      </c>
      <c r="B367" s="52" t="s">
        <v>106</v>
      </c>
      <c r="C367" s="53" t="s">
        <v>27</v>
      </c>
      <c r="D367" s="54"/>
      <c r="E367" s="55">
        <f t="shared" ref="E367:J367" si="100">E365-E368</f>
        <v>0</v>
      </c>
      <c r="F367" s="55">
        <f t="shared" si="100"/>
        <v>0</v>
      </c>
      <c r="G367" s="55">
        <f t="shared" si="100"/>
        <v>0</v>
      </c>
      <c r="H367" s="55">
        <f t="shared" si="100"/>
        <v>0</v>
      </c>
      <c r="I367" s="55">
        <f t="shared" si="100"/>
        <v>0</v>
      </c>
      <c r="J367" s="55">
        <f t="shared" si="100"/>
        <v>0</v>
      </c>
      <c r="K367" s="56"/>
      <c r="L367" s="30"/>
      <c r="M367" s="57" t="s">
        <v>28</v>
      </c>
      <c r="N367" s="58" t="b">
        <v>0</v>
      </c>
    </row>
    <row r="368" ht="13.5" customHeight="1">
      <c r="A368" s="87"/>
      <c r="B368" s="59"/>
      <c r="C368" s="53" t="s">
        <v>30</v>
      </c>
      <c r="D368" s="54"/>
      <c r="E368" s="60"/>
      <c r="F368" s="60"/>
      <c r="G368" s="60"/>
      <c r="H368" s="60"/>
      <c r="I368" s="60"/>
      <c r="J368" s="60"/>
      <c r="K368" s="61" t="s">
        <v>30</v>
      </c>
      <c r="L368" s="62">
        <f>(E368*E353)+(F368*F353)+(G368*G353)+(H368*H353)+(I368*I353)+(J368*J353)</f>
        <v>0</v>
      </c>
      <c r="M368" s="57" t="s">
        <v>31</v>
      </c>
      <c r="N368" s="63" t="b">
        <v>0</v>
      </c>
    </row>
    <row r="369" ht="13.5" customHeight="1">
      <c r="A369" s="68"/>
      <c r="B369" s="65" t="s">
        <v>49</v>
      </c>
      <c r="C369" s="53" t="s">
        <v>34</v>
      </c>
      <c r="D369" s="54"/>
      <c r="E369" s="66"/>
      <c r="F369" s="66"/>
      <c r="G369" s="66"/>
      <c r="H369" s="66"/>
      <c r="I369" s="66"/>
      <c r="J369" s="66"/>
      <c r="K369" s="67" t="s">
        <v>35</v>
      </c>
      <c r="L369" s="62">
        <f>(E369*E353)+(F369*F353)+(G369*G353)+(H369*H353)+(I369*I353)+(J369*J353)</f>
        <v>0</v>
      </c>
      <c r="M369" s="57" t="s">
        <v>36</v>
      </c>
      <c r="N369" s="63" t="b">
        <v>0</v>
      </c>
    </row>
    <row r="370" ht="13.5" customHeight="1">
      <c r="A370" s="80"/>
      <c r="B370" s="69" t="str">
        <f>IFS(L370=0,"",B370&lt;&gt;"",B370,TRUE,NOW())</f>
        <v/>
      </c>
      <c r="C370" s="86" t="s">
        <v>37</v>
      </c>
      <c r="D370" s="59"/>
      <c r="E370" s="81"/>
      <c r="F370" s="81"/>
      <c r="G370" s="81"/>
      <c r="H370" s="82"/>
      <c r="I370" s="81"/>
      <c r="J370" s="81"/>
      <c r="K370" s="72" t="s">
        <v>38</v>
      </c>
      <c r="L370" s="73">
        <f>L369-L368</f>
        <v>0</v>
      </c>
      <c r="M370" s="74" t="s">
        <v>39</v>
      </c>
      <c r="N370" s="75" t="b">
        <v>0</v>
      </c>
    </row>
    <row r="371" ht="18.75" customHeight="1">
      <c r="A371" s="83" t="s">
        <v>107</v>
      </c>
      <c r="B371" s="42" t="s">
        <v>20</v>
      </c>
      <c r="C371" s="24"/>
      <c r="D371" s="33"/>
      <c r="E371" s="43">
        <f t="shared" ref="E371:J371" si="101">E6</f>
        <v>17</v>
      </c>
      <c r="F371" s="43">
        <f t="shared" si="101"/>
        <v>27</v>
      </c>
      <c r="G371" s="43">
        <f t="shared" si="101"/>
        <v>27</v>
      </c>
      <c r="H371" s="43">
        <f t="shared" si="101"/>
        <v>27</v>
      </c>
      <c r="I371" s="43">
        <f t="shared" si="101"/>
        <v>32</v>
      </c>
      <c r="J371" s="44">
        <f t="shared" si="101"/>
        <v>37</v>
      </c>
      <c r="K371" s="42" t="s">
        <v>21</v>
      </c>
      <c r="L371" s="25"/>
      <c r="M371" s="45" t="s">
        <v>22</v>
      </c>
      <c r="N371" s="25"/>
    </row>
    <row r="372" ht="13.5" customHeight="1">
      <c r="A372" s="46" t="s">
        <v>23</v>
      </c>
      <c r="B372" s="47" t="s">
        <v>24</v>
      </c>
      <c r="C372" s="32" t="s">
        <v>25</v>
      </c>
      <c r="D372" s="33"/>
      <c r="E372" s="48"/>
      <c r="F372" s="48"/>
      <c r="G372" s="48"/>
      <c r="H372" s="48"/>
      <c r="I372" s="48"/>
      <c r="J372" s="48"/>
      <c r="K372" s="49"/>
      <c r="L372" s="25"/>
      <c r="M372" s="50"/>
      <c r="N372" s="10"/>
    </row>
    <row r="373" ht="13.5" customHeight="1">
      <c r="A373" s="92"/>
      <c r="B373" s="52" t="s">
        <v>108</v>
      </c>
      <c r="C373" s="53" t="s">
        <v>27</v>
      </c>
      <c r="D373" s="54"/>
      <c r="E373" s="55">
        <f t="shared" ref="E373:J373" si="102">E372-E374</f>
        <v>0</v>
      </c>
      <c r="F373" s="55">
        <f t="shared" si="102"/>
        <v>0</v>
      </c>
      <c r="G373" s="55">
        <f t="shared" si="102"/>
        <v>0</v>
      </c>
      <c r="H373" s="55">
        <f t="shared" si="102"/>
        <v>0</v>
      </c>
      <c r="I373" s="55">
        <f t="shared" si="102"/>
        <v>0</v>
      </c>
      <c r="J373" s="55">
        <f t="shared" si="102"/>
        <v>0</v>
      </c>
      <c r="K373" s="56"/>
      <c r="L373" s="30"/>
      <c r="M373" s="57" t="s">
        <v>28</v>
      </c>
      <c r="N373" s="58" t="b">
        <v>0</v>
      </c>
    </row>
    <row r="374" ht="13.5" customHeight="1">
      <c r="A374" s="46" t="s">
        <v>29</v>
      </c>
      <c r="B374" s="59"/>
      <c r="C374" s="53" t="s">
        <v>30</v>
      </c>
      <c r="D374" s="54"/>
      <c r="E374" s="60"/>
      <c r="F374" s="60"/>
      <c r="G374" s="60"/>
      <c r="H374" s="60"/>
      <c r="I374" s="60"/>
      <c r="J374" s="60"/>
      <c r="K374" s="61" t="s">
        <v>30</v>
      </c>
      <c r="L374" s="62">
        <f>(E374*E371)+(F374*F371)+(G374*G371)+(H374*H371)+(I374*I371)+(J374*J371)</f>
        <v>0</v>
      </c>
      <c r="M374" s="57" t="s">
        <v>31</v>
      </c>
      <c r="N374" s="63" t="b">
        <v>0</v>
      </c>
    </row>
    <row r="375" ht="13.5" customHeight="1">
      <c r="A375" s="64"/>
      <c r="B375" s="65" t="s">
        <v>33</v>
      </c>
      <c r="C375" s="53" t="s">
        <v>34</v>
      </c>
      <c r="D375" s="54"/>
      <c r="E375" s="66"/>
      <c r="F375" s="66"/>
      <c r="G375" s="66"/>
      <c r="H375" s="66"/>
      <c r="I375" s="66"/>
      <c r="J375" s="66"/>
      <c r="K375" s="67" t="s">
        <v>35</v>
      </c>
      <c r="L375" s="62">
        <f>(E375*E371)+(F375*F371)+(G375*G371)+(H375*H371)+(I375*I371)+(J375*J371)</f>
        <v>0</v>
      </c>
      <c r="M375" s="57" t="s">
        <v>36</v>
      </c>
      <c r="N375" s="63" t="b">
        <v>0</v>
      </c>
    </row>
    <row r="376" ht="15.0" customHeight="1">
      <c r="A376" s="68"/>
      <c r="B376" s="69" t="str">
        <f>IFS(L376=0,"",B376&lt;&gt;"",B376,TRUE,NOW())</f>
        <v/>
      </c>
      <c r="C376" s="70" t="s">
        <v>37</v>
      </c>
      <c r="D376" s="33"/>
      <c r="E376" s="71"/>
      <c r="F376" s="71"/>
      <c r="G376" s="71"/>
      <c r="H376" s="71"/>
      <c r="I376" s="71"/>
      <c r="J376" s="71"/>
      <c r="K376" s="72" t="s">
        <v>38</v>
      </c>
      <c r="L376" s="73">
        <f>L375-L374</f>
        <v>0</v>
      </c>
      <c r="M376" s="74" t="s">
        <v>39</v>
      </c>
      <c r="N376" s="75" t="b">
        <v>0</v>
      </c>
    </row>
    <row r="377" ht="13.5" customHeight="1">
      <c r="A377" s="46" t="s">
        <v>40</v>
      </c>
      <c r="B377" s="52" t="s">
        <v>108</v>
      </c>
      <c r="C377" s="53" t="s">
        <v>27</v>
      </c>
      <c r="D377" s="54"/>
      <c r="E377" s="55">
        <f t="shared" ref="E377:J377" si="103">E375-E378</f>
        <v>0</v>
      </c>
      <c r="F377" s="55">
        <f t="shared" si="103"/>
        <v>0</v>
      </c>
      <c r="G377" s="55">
        <f t="shared" si="103"/>
        <v>0</v>
      </c>
      <c r="H377" s="55">
        <f t="shared" si="103"/>
        <v>0</v>
      </c>
      <c r="I377" s="55">
        <f t="shared" si="103"/>
        <v>0</v>
      </c>
      <c r="J377" s="55">
        <f t="shared" si="103"/>
        <v>0</v>
      </c>
      <c r="K377" s="56"/>
      <c r="L377" s="30"/>
      <c r="M377" s="57" t="s">
        <v>28</v>
      </c>
      <c r="N377" s="58" t="b">
        <v>0</v>
      </c>
    </row>
    <row r="378" ht="13.5" customHeight="1">
      <c r="A378" s="64"/>
      <c r="B378" s="59"/>
      <c r="C378" s="53" t="s">
        <v>30</v>
      </c>
      <c r="D378" s="54"/>
      <c r="E378" s="60"/>
      <c r="F378" s="60"/>
      <c r="G378" s="60"/>
      <c r="H378" s="60"/>
      <c r="I378" s="60"/>
      <c r="J378" s="60"/>
      <c r="K378" s="61" t="s">
        <v>30</v>
      </c>
      <c r="L378" s="62">
        <f>(E378*E371)+(F378*F371)+(G378*G371)+(H378*H371)+(I378*I371)+(J378*J371)</f>
        <v>0</v>
      </c>
      <c r="M378" s="57" t="s">
        <v>31</v>
      </c>
      <c r="N378" s="63" t="b">
        <v>0</v>
      </c>
    </row>
    <row r="379" ht="13.5" customHeight="1">
      <c r="A379" s="68"/>
      <c r="B379" s="65" t="s">
        <v>42</v>
      </c>
      <c r="C379" s="53" t="s">
        <v>34</v>
      </c>
      <c r="D379" s="54"/>
      <c r="E379" s="66"/>
      <c r="F379" s="66"/>
      <c r="G379" s="66"/>
      <c r="H379" s="66"/>
      <c r="I379" s="66"/>
      <c r="J379" s="66"/>
      <c r="K379" s="67" t="s">
        <v>35</v>
      </c>
      <c r="L379" s="62">
        <f>(E379*E371)+(F379*F371)+(G379*G371)+(H379*H371)+(I379*I371)+(J379*J371)</f>
        <v>0</v>
      </c>
      <c r="M379" s="57" t="s">
        <v>36</v>
      </c>
      <c r="N379" s="63" t="b">
        <v>0</v>
      </c>
    </row>
    <row r="380" ht="13.5" customHeight="1">
      <c r="A380" s="46" t="s">
        <v>43</v>
      </c>
      <c r="B380" s="69" t="str">
        <f>IFS(L380=0,"",B380&lt;&gt;"",B380,TRUE,NOW())</f>
        <v/>
      </c>
      <c r="C380" s="70" t="s">
        <v>37</v>
      </c>
      <c r="D380" s="33"/>
      <c r="E380" s="71"/>
      <c r="F380" s="71"/>
      <c r="G380" s="71"/>
      <c r="H380" s="71"/>
      <c r="I380" s="71"/>
      <c r="J380" s="71"/>
      <c r="K380" s="72" t="s">
        <v>38</v>
      </c>
      <c r="L380" s="73">
        <f>L379-L378</f>
        <v>0</v>
      </c>
      <c r="M380" s="74" t="s">
        <v>39</v>
      </c>
      <c r="N380" s="75" t="b">
        <v>0</v>
      </c>
    </row>
    <row r="381" ht="13.5" customHeight="1">
      <c r="A381" s="64"/>
      <c r="B381" s="52" t="s">
        <v>108</v>
      </c>
      <c r="C381" s="53" t="s">
        <v>27</v>
      </c>
      <c r="D381" s="54"/>
      <c r="E381" s="55">
        <f t="shared" ref="E381:J381" si="104">E379-E382</f>
        <v>0</v>
      </c>
      <c r="F381" s="55">
        <f t="shared" si="104"/>
        <v>0</v>
      </c>
      <c r="G381" s="55">
        <f t="shared" si="104"/>
        <v>0</v>
      </c>
      <c r="H381" s="55">
        <f t="shared" si="104"/>
        <v>0</v>
      </c>
      <c r="I381" s="55">
        <f t="shared" si="104"/>
        <v>0</v>
      </c>
      <c r="J381" s="55">
        <f t="shared" si="104"/>
        <v>0</v>
      </c>
      <c r="K381" s="56"/>
      <c r="L381" s="30"/>
      <c r="M381" s="57" t="s">
        <v>28</v>
      </c>
      <c r="N381" s="58" t="b">
        <v>0</v>
      </c>
    </row>
    <row r="382" ht="13.5" customHeight="1">
      <c r="A382" s="46" t="s">
        <v>45</v>
      </c>
      <c r="B382" s="59"/>
      <c r="C382" s="53" t="s">
        <v>30</v>
      </c>
      <c r="D382" s="54"/>
      <c r="E382" s="60"/>
      <c r="F382" s="60"/>
      <c r="G382" s="60"/>
      <c r="H382" s="60"/>
      <c r="I382" s="60"/>
      <c r="J382" s="60"/>
      <c r="K382" s="61" t="s">
        <v>30</v>
      </c>
      <c r="L382" s="62">
        <f>(E382*E371)+(F382*F371)+(G382*G371)+(H382*H371)+(I382*I371)+(J382*J371)</f>
        <v>0</v>
      </c>
      <c r="M382" s="57" t="s">
        <v>31</v>
      </c>
      <c r="N382" s="63" t="b">
        <v>0</v>
      </c>
    </row>
    <row r="383" ht="17.25" customHeight="1">
      <c r="A383" s="77"/>
      <c r="B383" s="65" t="s">
        <v>47</v>
      </c>
      <c r="C383" s="53" t="s">
        <v>34</v>
      </c>
      <c r="D383" s="54"/>
      <c r="E383" s="66"/>
      <c r="F383" s="66"/>
      <c r="G383" s="66"/>
      <c r="H383" s="66"/>
      <c r="I383" s="66"/>
      <c r="J383" s="66"/>
      <c r="K383" s="67" t="s">
        <v>35</v>
      </c>
      <c r="L383" s="62">
        <f>(E383*E371)+(F383*F371)+(G383*G371)+(H383*H371)+(I383*I371)+(J383*J371)</f>
        <v>0</v>
      </c>
      <c r="M383" s="57" t="s">
        <v>36</v>
      </c>
      <c r="N383" s="63" t="b">
        <v>0</v>
      </c>
    </row>
    <row r="384" ht="13.5" customHeight="1">
      <c r="A384" s="68"/>
      <c r="B384" s="69" t="str">
        <f>IFS(L384=0,"",B384&lt;&gt;"",B384,TRUE,NOW())</f>
        <v/>
      </c>
      <c r="C384" s="70" t="s">
        <v>37</v>
      </c>
      <c r="D384" s="33"/>
      <c r="E384" s="71"/>
      <c r="F384" s="71"/>
      <c r="G384" s="71"/>
      <c r="H384" s="71"/>
      <c r="I384" s="71"/>
      <c r="J384" s="71"/>
      <c r="K384" s="72" t="s">
        <v>38</v>
      </c>
      <c r="L384" s="73">
        <f>L383-L382</f>
        <v>0</v>
      </c>
      <c r="M384" s="74" t="s">
        <v>39</v>
      </c>
      <c r="N384" s="75" t="b">
        <v>0</v>
      </c>
    </row>
    <row r="385" ht="13.5" customHeight="1">
      <c r="A385" s="78" t="s">
        <v>48</v>
      </c>
      <c r="B385" s="52" t="s">
        <v>108</v>
      </c>
      <c r="C385" s="53" t="s">
        <v>27</v>
      </c>
      <c r="D385" s="54"/>
      <c r="E385" s="55">
        <f t="shared" ref="E385:J385" si="105">E383-E386</f>
        <v>0</v>
      </c>
      <c r="F385" s="55">
        <f t="shared" si="105"/>
        <v>0</v>
      </c>
      <c r="G385" s="55">
        <f t="shared" si="105"/>
        <v>0</v>
      </c>
      <c r="H385" s="55">
        <f t="shared" si="105"/>
        <v>0</v>
      </c>
      <c r="I385" s="55">
        <f t="shared" si="105"/>
        <v>0</v>
      </c>
      <c r="J385" s="55">
        <f t="shared" si="105"/>
        <v>0</v>
      </c>
      <c r="K385" s="56"/>
      <c r="L385" s="30"/>
      <c r="M385" s="57" t="s">
        <v>28</v>
      </c>
      <c r="N385" s="58" t="b">
        <v>0</v>
      </c>
    </row>
    <row r="386" ht="13.5" customHeight="1">
      <c r="A386" s="87"/>
      <c r="B386" s="59"/>
      <c r="C386" s="53" t="s">
        <v>30</v>
      </c>
      <c r="D386" s="54"/>
      <c r="E386" s="60"/>
      <c r="F386" s="60"/>
      <c r="G386" s="60"/>
      <c r="H386" s="60"/>
      <c r="I386" s="60"/>
      <c r="J386" s="60"/>
      <c r="K386" s="61" t="s">
        <v>30</v>
      </c>
      <c r="L386" s="62">
        <f>(E386*E371)+(F386*F371)+(G386*G371)+(H386*H371)+(I386*I371)+(J386*J371)</f>
        <v>0</v>
      </c>
      <c r="M386" s="57" t="s">
        <v>31</v>
      </c>
      <c r="N386" s="63" t="b">
        <v>0</v>
      </c>
    </row>
    <row r="387" ht="13.5" customHeight="1">
      <c r="A387" s="68"/>
      <c r="B387" s="65" t="s">
        <v>49</v>
      </c>
      <c r="C387" s="53" t="s">
        <v>34</v>
      </c>
      <c r="D387" s="54"/>
      <c r="E387" s="66"/>
      <c r="F387" s="66"/>
      <c r="G387" s="66"/>
      <c r="H387" s="66"/>
      <c r="I387" s="66"/>
      <c r="J387" s="66"/>
      <c r="K387" s="67" t="s">
        <v>35</v>
      </c>
      <c r="L387" s="62">
        <f>(E387*E371)+(F387*F371)+(G387*G371)+(H387*H371)+(I387*I371)+(J387*J371)</f>
        <v>0</v>
      </c>
      <c r="M387" s="57" t="s">
        <v>36</v>
      </c>
      <c r="N387" s="63" t="b">
        <v>0</v>
      </c>
    </row>
    <row r="388" ht="15.0" customHeight="1">
      <c r="A388" s="80"/>
      <c r="B388" s="69" t="str">
        <f>IFS(L388=0,"",B388&lt;&gt;"",B388,TRUE,NOW())</f>
        <v/>
      </c>
      <c r="C388" s="53" t="s">
        <v>37</v>
      </c>
      <c r="D388" s="54"/>
      <c r="E388" s="81"/>
      <c r="F388" s="81"/>
      <c r="G388" s="81"/>
      <c r="H388" s="82"/>
      <c r="I388" s="81"/>
      <c r="J388" s="81"/>
      <c r="K388" s="72" t="s">
        <v>38</v>
      </c>
      <c r="L388" s="73">
        <f>L387-L386</f>
        <v>0</v>
      </c>
      <c r="M388" s="74" t="s">
        <v>39</v>
      </c>
      <c r="N388" s="75" t="b">
        <v>0</v>
      </c>
    </row>
    <row r="389" ht="13.5" customHeight="1">
      <c r="A389" s="83" t="s">
        <v>109</v>
      </c>
      <c r="B389" s="42" t="s">
        <v>20</v>
      </c>
      <c r="C389" s="24"/>
      <c r="D389" s="33"/>
      <c r="E389" s="43">
        <f t="shared" ref="E389:J389" si="106">E6</f>
        <v>17</v>
      </c>
      <c r="F389" s="43">
        <f t="shared" si="106"/>
        <v>27</v>
      </c>
      <c r="G389" s="43">
        <f t="shared" si="106"/>
        <v>27</v>
      </c>
      <c r="H389" s="43">
        <f t="shared" si="106"/>
        <v>27</v>
      </c>
      <c r="I389" s="43">
        <f t="shared" si="106"/>
        <v>32</v>
      </c>
      <c r="J389" s="44">
        <f t="shared" si="106"/>
        <v>37</v>
      </c>
      <c r="K389" s="42" t="s">
        <v>21</v>
      </c>
      <c r="L389" s="25"/>
      <c r="M389" s="45" t="s">
        <v>22</v>
      </c>
      <c r="N389" s="25"/>
    </row>
    <row r="390" ht="13.5" customHeight="1">
      <c r="A390" s="46" t="s">
        <v>23</v>
      </c>
      <c r="B390" s="47" t="s">
        <v>24</v>
      </c>
      <c r="C390" s="32" t="s">
        <v>25</v>
      </c>
      <c r="D390" s="33"/>
      <c r="E390" s="48"/>
      <c r="F390" s="48"/>
      <c r="G390" s="48"/>
      <c r="H390" s="48"/>
      <c r="I390" s="48"/>
      <c r="J390" s="48"/>
      <c r="K390" s="49"/>
      <c r="L390" s="25"/>
      <c r="M390" s="50"/>
      <c r="N390" s="10"/>
    </row>
    <row r="391" ht="13.5" customHeight="1">
      <c r="A391" s="92"/>
      <c r="B391" s="52" t="s">
        <v>110</v>
      </c>
      <c r="C391" s="53" t="s">
        <v>27</v>
      </c>
      <c r="D391" s="54"/>
      <c r="E391" s="55">
        <f t="shared" ref="E391:J391" si="107">E390-E392</f>
        <v>0</v>
      </c>
      <c r="F391" s="55">
        <f t="shared" si="107"/>
        <v>0</v>
      </c>
      <c r="G391" s="55">
        <f t="shared" si="107"/>
        <v>0</v>
      </c>
      <c r="H391" s="55">
        <f t="shared" si="107"/>
        <v>0</v>
      </c>
      <c r="I391" s="55">
        <f t="shared" si="107"/>
        <v>0</v>
      </c>
      <c r="J391" s="55">
        <f t="shared" si="107"/>
        <v>0</v>
      </c>
      <c r="K391" s="56"/>
      <c r="L391" s="30"/>
      <c r="M391" s="57" t="s">
        <v>28</v>
      </c>
      <c r="N391" s="58" t="b">
        <v>0</v>
      </c>
    </row>
    <row r="392" ht="13.5" customHeight="1">
      <c r="A392" s="46" t="s">
        <v>29</v>
      </c>
      <c r="B392" s="59"/>
      <c r="C392" s="53" t="s">
        <v>30</v>
      </c>
      <c r="D392" s="54"/>
      <c r="E392" s="60"/>
      <c r="F392" s="60"/>
      <c r="G392" s="60"/>
      <c r="H392" s="60"/>
      <c r="I392" s="60"/>
      <c r="J392" s="60"/>
      <c r="K392" s="61" t="s">
        <v>30</v>
      </c>
      <c r="L392" s="62">
        <f>(E392*E389)+(F392*F389)+(G392*G389)+(H392*H389)+(I392*I389)+(J392*J389)</f>
        <v>0</v>
      </c>
      <c r="M392" s="57" t="s">
        <v>31</v>
      </c>
      <c r="N392" s="63" t="b">
        <v>0</v>
      </c>
    </row>
    <row r="393" ht="16.5" customHeight="1">
      <c r="A393" s="64"/>
      <c r="B393" s="65" t="s">
        <v>33</v>
      </c>
      <c r="C393" s="53" t="s">
        <v>34</v>
      </c>
      <c r="D393" s="54"/>
      <c r="E393" s="66"/>
      <c r="F393" s="66"/>
      <c r="G393" s="66"/>
      <c r="H393" s="66"/>
      <c r="I393" s="66"/>
      <c r="J393" s="66"/>
      <c r="K393" s="67" t="s">
        <v>35</v>
      </c>
      <c r="L393" s="62">
        <f>(E393*E389)+(F393*F389)+(G393*G389)+(H393*H389)+(I393*I389)+(J393*J389)</f>
        <v>0</v>
      </c>
      <c r="M393" s="57" t="s">
        <v>36</v>
      </c>
      <c r="N393" s="63" t="b">
        <v>0</v>
      </c>
    </row>
    <row r="394" ht="13.5" customHeight="1">
      <c r="A394" s="68"/>
      <c r="B394" s="69" t="str">
        <f>IFS(L394=0,"",B394&lt;&gt;"",B394,TRUE,NOW())</f>
        <v/>
      </c>
      <c r="C394" s="70" t="s">
        <v>37</v>
      </c>
      <c r="D394" s="33"/>
      <c r="E394" s="71"/>
      <c r="F394" s="71"/>
      <c r="G394" s="71"/>
      <c r="H394" s="71"/>
      <c r="I394" s="71"/>
      <c r="J394" s="71"/>
      <c r="K394" s="72" t="s">
        <v>38</v>
      </c>
      <c r="L394" s="73">
        <f>L393-L392</f>
        <v>0</v>
      </c>
      <c r="M394" s="74" t="s">
        <v>39</v>
      </c>
      <c r="N394" s="75" t="b">
        <v>0</v>
      </c>
    </row>
    <row r="395" ht="13.5" customHeight="1">
      <c r="A395" s="46" t="s">
        <v>40</v>
      </c>
      <c r="B395" s="52" t="s">
        <v>110</v>
      </c>
      <c r="C395" s="53" t="s">
        <v>27</v>
      </c>
      <c r="D395" s="54"/>
      <c r="E395" s="55">
        <f t="shared" ref="E395:J395" si="108">E393-E396</f>
        <v>0</v>
      </c>
      <c r="F395" s="55">
        <f t="shared" si="108"/>
        <v>0</v>
      </c>
      <c r="G395" s="55">
        <f t="shared" si="108"/>
        <v>0</v>
      </c>
      <c r="H395" s="55">
        <f t="shared" si="108"/>
        <v>0</v>
      </c>
      <c r="I395" s="55">
        <f t="shared" si="108"/>
        <v>0</v>
      </c>
      <c r="J395" s="55">
        <f t="shared" si="108"/>
        <v>0</v>
      </c>
      <c r="K395" s="56"/>
      <c r="L395" s="30"/>
      <c r="M395" s="57" t="s">
        <v>28</v>
      </c>
      <c r="N395" s="58" t="b">
        <v>0</v>
      </c>
    </row>
    <row r="396" ht="13.5" customHeight="1">
      <c r="A396" s="64"/>
      <c r="B396" s="59"/>
      <c r="C396" s="53" t="s">
        <v>30</v>
      </c>
      <c r="D396" s="54"/>
      <c r="E396" s="60"/>
      <c r="F396" s="60"/>
      <c r="G396" s="60"/>
      <c r="H396" s="60"/>
      <c r="I396" s="60"/>
      <c r="J396" s="60"/>
      <c r="K396" s="61" t="s">
        <v>30</v>
      </c>
      <c r="L396" s="62">
        <f>(E396*E389)+(F396*F389)+(G396*G389)+(H396*H389)+(I396*I389)+(J396*J389)</f>
        <v>0</v>
      </c>
      <c r="M396" s="57" t="s">
        <v>31</v>
      </c>
      <c r="N396" s="63" t="b">
        <v>0</v>
      </c>
    </row>
    <row r="397" ht="13.5" customHeight="1">
      <c r="A397" s="68"/>
      <c r="B397" s="65" t="s">
        <v>42</v>
      </c>
      <c r="C397" s="53" t="s">
        <v>34</v>
      </c>
      <c r="D397" s="54"/>
      <c r="E397" s="66"/>
      <c r="F397" s="66"/>
      <c r="G397" s="66"/>
      <c r="H397" s="66"/>
      <c r="I397" s="66"/>
      <c r="J397" s="66"/>
      <c r="K397" s="67" t="s">
        <v>35</v>
      </c>
      <c r="L397" s="62">
        <f>(E397*E389)+(F397*F389)+(G397*G389)+(H397*H389)+(I397*I389)+(J397*J389)</f>
        <v>0</v>
      </c>
      <c r="M397" s="57" t="s">
        <v>36</v>
      </c>
      <c r="N397" s="63" t="b">
        <v>0</v>
      </c>
    </row>
    <row r="398" ht="15.0" customHeight="1">
      <c r="A398" s="46" t="s">
        <v>43</v>
      </c>
      <c r="B398" s="69" t="str">
        <f>IFS(L398=0,"",B398&lt;&gt;"",B398,TRUE,NOW())</f>
        <v/>
      </c>
      <c r="C398" s="70" t="s">
        <v>37</v>
      </c>
      <c r="D398" s="33"/>
      <c r="E398" s="71"/>
      <c r="F398" s="71"/>
      <c r="G398" s="71"/>
      <c r="H398" s="71"/>
      <c r="I398" s="71"/>
      <c r="J398" s="71"/>
      <c r="K398" s="72" t="s">
        <v>38</v>
      </c>
      <c r="L398" s="73">
        <f>L397-L396</f>
        <v>0</v>
      </c>
      <c r="M398" s="74" t="s">
        <v>39</v>
      </c>
      <c r="N398" s="75" t="b">
        <v>0</v>
      </c>
    </row>
    <row r="399" ht="13.5" customHeight="1">
      <c r="A399" s="64"/>
      <c r="B399" s="52" t="s">
        <v>110</v>
      </c>
      <c r="C399" s="53" t="s">
        <v>27</v>
      </c>
      <c r="D399" s="54"/>
      <c r="E399" s="55">
        <f t="shared" ref="E399:J399" si="109">E397-E400</f>
        <v>0</v>
      </c>
      <c r="F399" s="55">
        <f t="shared" si="109"/>
        <v>0</v>
      </c>
      <c r="G399" s="55">
        <f t="shared" si="109"/>
        <v>0</v>
      </c>
      <c r="H399" s="55">
        <f t="shared" si="109"/>
        <v>0</v>
      </c>
      <c r="I399" s="55">
        <f t="shared" si="109"/>
        <v>0</v>
      </c>
      <c r="J399" s="55">
        <f t="shared" si="109"/>
        <v>0</v>
      </c>
      <c r="K399" s="56"/>
      <c r="L399" s="30"/>
      <c r="M399" s="57" t="s">
        <v>28</v>
      </c>
      <c r="N399" s="58" t="b">
        <v>0</v>
      </c>
    </row>
    <row r="400" ht="13.5" customHeight="1">
      <c r="A400" s="46" t="s">
        <v>45</v>
      </c>
      <c r="B400" s="59"/>
      <c r="C400" s="53" t="s">
        <v>30</v>
      </c>
      <c r="D400" s="54"/>
      <c r="E400" s="60"/>
      <c r="F400" s="60"/>
      <c r="G400" s="60"/>
      <c r="H400" s="60"/>
      <c r="I400" s="60"/>
      <c r="J400" s="60"/>
      <c r="K400" s="61" t="s">
        <v>30</v>
      </c>
      <c r="L400" s="62">
        <f>(E400*E389)+(F400*F389)+(G400*G389)+(H400*H389)+(I400*I389)+(J400*J389)</f>
        <v>0</v>
      </c>
      <c r="M400" s="57" t="s">
        <v>31</v>
      </c>
      <c r="N400" s="63" t="b">
        <v>0</v>
      </c>
    </row>
    <row r="401" ht="13.5" customHeight="1">
      <c r="A401" s="77"/>
      <c r="B401" s="65" t="s">
        <v>47</v>
      </c>
      <c r="C401" s="53" t="s">
        <v>34</v>
      </c>
      <c r="D401" s="54"/>
      <c r="E401" s="66"/>
      <c r="F401" s="66"/>
      <c r="G401" s="66"/>
      <c r="H401" s="66"/>
      <c r="I401" s="66"/>
      <c r="J401" s="66"/>
      <c r="K401" s="67" t="s">
        <v>35</v>
      </c>
      <c r="L401" s="62">
        <f>(E401*E389)+(F401*F389)+(G401*G389)+(H401*H389)+(I401*I389)+(J401*J389)</f>
        <v>0</v>
      </c>
      <c r="M401" s="57" t="s">
        <v>36</v>
      </c>
      <c r="N401" s="63" t="b">
        <v>0</v>
      </c>
    </row>
    <row r="402" ht="13.5" customHeight="1">
      <c r="A402" s="68"/>
      <c r="B402" s="69" t="str">
        <f>IFS(L402=0,"",B402&lt;&gt;"",B402,TRUE,NOW())</f>
        <v/>
      </c>
      <c r="C402" s="70" t="s">
        <v>37</v>
      </c>
      <c r="D402" s="33"/>
      <c r="E402" s="71"/>
      <c r="F402" s="71"/>
      <c r="G402" s="71"/>
      <c r="H402" s="71"/>
      <c r="I402" s="71"/>
      <c r="J402" s="71"/>
      <c r="K402" s="72" t="s">
        <v>38</v>
      </c>
      <c r="L402" s="73">
        <f>L401-L400</f>
        <v>0</v>
      </c>
      <c r="M402" s="74" t="s">
        <v>39</v>
      </c>
      <c r="N402" s="75" t="b">
        <v>0</v>
      </c>
    </row>
    <row r="403" ht="13.5" customHeight="1">
      <c r="A403" s="78" t="s">
        <v>48</v>
      </c>
      <c r="B403" s="52" t="s">
        <v>110</v>
      </c>
      <c r="C403" s="53" t="s">
        <v>27</v>
      </c>
      <c r="D403" s="54"/>
      <c r="E403" s="55">
        <f t="shared" ref="E403:J403" si="110">E401-E404</f>
        <v>0</v>
      </c>
      <c r="F403" s="55">
        <f t="shared" si="110"/>
        <v>0</v>
      </c>
      <c r="G403" s="55">
        <f t="shared" si="110"/>
        <v>0</v>
      </c>
      <c r="H403" s="55">
        <f t="shared" si="110"/>
        <v>0</v>
      </c>
      <c r="I403" s="55">
        <f t="shared" si="110"/>
        <v>0</v>
      </c>
      <c r="J403" s="55">
        <f t="shared" si="110"/>
        <v>0</v>
      </c>
      <c r="K403" s="56"/>
      <c r="L403" s="30"/>
      <c r="M403" s="57" t="s">
        <v>28</v>
      </c>
      <c r="N403" s="58" t="b">
        <v>0</v>
      </c>
    </row>
    <row r="404" ht="13.5" customHeight="1">
      <c r="A404" s="87"/>
      <c r="B404" s="59"/>
      <c r="C404" s="53" t="s">
        <v>30</v>
      </c>
      <c r="D404" s="54"/>
      <c r="E404" s="60"/>
      <c r="F404" s="60"/>
      <c r="G404" s="60"/>
      <c r="H404" s="60"/>
      <c r="I404" s="60"/>
      <c r="J404" s="60"/>
      <c r="K404" s="61" t="s">
        <v>30</v>
      </c>
      <c r="L404" s="62">
        <f>(E404*E389)+(F404*F389)+(G404*G389)+(H404*H389)+(I404*I389)+(J404*J389)</f>
        <v>0</v>
      </c>
      <c r="M404" s="57" t="s">
        <v>31</v>
      </c>
      <c r="N404" s="63" t="b">
        <v>0</v>
      </c>
    </row>
    <row r="405" ht="15.0" customHeight="1">
      <c r="A405" s="68"/>
      <c r="B405" s="65" t="s">
        <v>49</v>
      </c>
      <c r="C405" s="53" t="s">
        <v>34</v>
      </c>
      <c r="D405" s="54"/>
      <c r="E405" s="66"/>
      <c r="F405" s="66"/>
      <c r="G405" s="66"/>
      <c r="H405" s="66"/>
      <c r="I405" s="66"/>
      <c r="J405" s="66"/>
      <c r="K405" s="67" t="s">
        <v>35</v>
      </c>
      <c r="L405" s="62">
        <f>(E405*E389)+(F405*F389)+(G405*G389)+(H405*H389)+(I405*I389)+(J405*J389)</f>
        <v>0</v>
      </c>
      <c r="M405" s="57" t="s">
        <v>36</v>
      </c>
      <c r="N405" s="63" t="b">
        <v>0</v>
      </c>
    </row>
    <row r="406" ht="13.5" customHeight="1">
      <c r="A406" s="80"/>
      <c r="B406" s="69" t="str">
        <f>IFS(L406=0,"",B406&lt;&gt;"",B406,TRUE,NOW())</f>
        <v/>
      </c>
      <c r="C406" s="53" t="s">
        <v>37</v>
      </c>
      <c r="D406" s="54"/>
      <c r="E406" s="81"/>
      <c r="F406" s="81"/>
      <c r="G406" s="81"/>
      <c r="H406" s="82"/>
      <c r="I406" s="81"/>
      <c r="J406" s="81"/>
      <c r="K406" s="72" t="s">
        <v>38</v>
      </c>
      <c r="L406" s="73">
        <f>L405-L404</f>
        <v>0</v>
      </c>
      <c r="M406" s="74" t="s">
        <v>39</v>
      </c>
      <c r="N406" s="75" t="b">
        <v>0</v>
      </c>
    </row>
    <row r="407" ht="13.5" customHeight="1">
      <c r="A407" s="83" t="s">
        <v>111</v>
      </c>
      <c r="B407" s="42" t="s">
        <v>20</v>
      </c>
      <c r="C407" s="24"/>
      <c r="D407" s="33"/>
      <c r="E407" s="43">
        <f t="shared" ref="E407:J407" si="111">E6</f>
        <v>17</v>
      </c>
      <c r="F407" s="43">
        <f t="shared" si="111"/>
        <v>27</v>
      </c>
      <c r="G407" s="43">
        <f t="shared" si="111"/>
        <v>27</v>
      </c>
      <c r="H407" s="43">
        <f t="shared" si="111"/>
        <v>27</v>
      </c>
      <c r="I407" s="43">
        <f t="shared" si="111"/>
        <v>32</v>
      </c>
      <c r="J407" s="44">
        <f t="shared" si="111"/>
        <v>37</v>
      </c>
      <c r="K407" s="42" t="s">
        <v>21</v>
      </c>
      <c r="L407" s="25"/>
      <c r="M407" s="45" t="s">
        <v>22</v>
      </c>
      <c r="N407" s="25"/>
    </row>
    <row r="408" ht="13.5" customHeight="1">
      <c r="A408" s="46" t="s">
        <v>23</v>
      </c>
      <c r="B408" s="47" t="s">
        <v>24</v>
      </c>
      <c r="C408" s="32" t="s">
        <v>25</v>
      </c>
      <c r="D408" s="33"/>
      <c r="E408" s="48"/>
      <c r="F408" s="48"/>
      <c r="G408" s="48"/>
      <c r="H408" s="48"/>
      <c r="I408" s="48"/>
      <c r="J408" s="48"/>
      <c r="K408" s="49"/>
      <c r="L408" s="25"/>
      <c r="M408" s="50"/>
      <c r="N408" s="10"/>
    </row>
    <row r="409" ht="13.5" customHeight="1">
      <c r="A409" s="92"/>
      <c r="B409" s="52" t="s">
        <v>112</v>
      </c>
      <c r="C409" s="53" t="s">
        <v>27</v>
      </c>
      <c r="D409" s="54"/>
      <c r="E409" s="55">
        <f t="shared" ref="E409:J409" si="112">E408-E410</f>
        <v>0</v>
      </c>
      <c r="F409" s="55">
        <f t="shared" si="112"/>
        <v>0</v>
      </c>
      <c r="G409" s="55">
        <f t="shared" si="112"/>
        <v>0</v>
      </c>
      <c r="H409" s="55">
        <f t="shared" si="112"/>
        <v>0</v>
      </c>
      <c r="I409" s="55">
        <f t="shared" si="112"/>
        <v>0</v>
      </c>
      <c r="J409" s="55">
        <f t="shared" si="112"/>
        <v>0</v>
      </c>
      <c r="K409" s="56"/>
      <c r="L409" s="30"/>
      <c r="M409" s="57" t="s">
        <v>28</v>
      </c>
      <c r="N409" s="58" t="b">
        <v>0</v>
      </c>
    </row>
    <row r="410" ht="15.0" customHeight="1">
      <c r="A410" s="46" t="s">
        <v>29</v>
      </c>
      <c r="B410" s="59"/>
      <c r="C410" s="53" t="s">
        <v>30</v>
      </c>
      <c r="D410" s="54"/>
      <c r="E410" s="60"/>
      <c r="F410" s="60"/>
      <c r="G410" s="60"/>
      <c r="H410" s="60"/>
      <c r="I410" s="60"/>
      <c r="J410" s="60"/>
      <c r="K410" s="61" t="s">
        <v>30</v>
      </c>
      <c r="L410" s="62">
        <f>(E410*E407)+(F410*F407)+(G410*G407)+(H410*H407)+(I410*I407)+(J410*J407)</f>
        <v>0</v>
      </c>
      <c r="M410" s="57" t="s">
        <v>31</v>
      </c>
      <c r="N410" s="63" t="b">
        <v>0</v>
      </c>
    </row>
    <row r="411" ht="13.5" customHeight="1">
      <c r="A411" s="64"/>
      <c r="B411" s="65" t="s">
        <v>33</v>
      </c>
      <c r="C411" s="53" t="s">
        <v>34</v>
      </c>
      <c r="D411" s="54"/>
      <c r="E411" s="66"/>
      <c r="F411" s="66"/>
      <c r="G411" s="66"/>
      <c r="H411" s="66"/>
      <c r="I411" s="66"/>
      <c r="J411" s="66"/>
      <c r="K411" s="67" t="s">
        <v>35</v>
      </c>
      <c r="L411" s="62">
        <f>(E411*E407)+(F411*F407)+(G411*G407)+(H411*H407)+(I411*I407)+(J411*J407)</f>
        <v>0</v>
      </c>
      <c r="M411" s="57" t="s">
        <v>36</v>
      </c>
      <c r="N411" s="63" t="b">
        <v>0</v>
      </c>
    </row>
    <row r="412" ht="13.5" customHeight="1">
      <c r="A412" s="68"/>
      <c r="B412" s="69" t="str">
        <f>IFS(L412=0,"",B412&lt;&gt;"",B412,TRUE,NOW())</f>
        <v/>
      </c>
      <c r="C412" s="70" t="s">
        <v>37</v>
      </c>
      <c r="D412" s="33"/>
      <c r="E412" s="71"/>
      <c r="F412" s="71"/>
      <c r="G412" s="71"/>
      <c r="H412" s="71"/>
      <c r="I412" s="71"/>
      <c r="J412" s="71"/>
      <c r="K412" s="72" t="s">
        <v>38</v>
      </c>
      <c r="L412" s="73">
        <f>L411-L410</f>
        <v>0</v>
      </c>
      <c r="M412" s="74" t="s">
        <v>39</v>
      </c>
      <c r="N412" s="75" t="b">
        <v>0</v>
      </c>
    </row>
    <row r="413" ht="13.5" customHeight="1">
      <c r="A413" s="46" t="s">
        <v>40</v>
      </c>
      <c r="B413" s="52" t="s">
        <v>112</v>
      </c>
      <c r="C413" s="53" t="s">
        <v>27</v>
      </c>
      <c r="D413" s="54"/>
      <c r="E413" s="55">
        <f t="shared" ref="E413:J413" si="113">E411-E414</f>
        <v>0</v>
      </c>
      <c r="F413" s="55">
        <f t="shared" si="113"/>
        <v>0</v>
      </c>
      <c r="G413" s="55">
        <f t="shared" si="113"/>
        <v>0</v>
      </c>
      <c r="H413" s="55">
        <f t="shared" si="113"/>
        <v>0</v>
      </c>
      <c r="I413" s="55">
        <f t="shared" si="113"/>
        <v>0</v>
      </c>
      <c r="J413" s="55">
        <f t="shared" si="113"/>
        <v>0</v>
      </c>
      <c r="K413" s="56"/>
      <c r="L413" s="30"/>
      <c r="M413" s="57" t="s">
        <v>28</v>
      </c>
      <c r="N413" s="58" t="b">
        <v>0</v>
      </c>
    </row>
    <row r="414" ht="13.5" customHeight="1">
      <c r="A414" s="64"/>
      <c r="B414" s="59"/>
      <c r="C414" s="53" t="s">
        <v>30</v>
      </c>
      <c r="D414" s="54"/>
      <c r="E414" s="60"/>
      <c r="F414" s="60"/>
      <c r="G414" s="60"/>
      <c r="H414" s="60"/>
      <c r="I414" s="60"/>
      <c r="J414" s="60"/>
      <c r="K414" s="61" t="s">
        <v>30</v>
      </c>
      <c r="L414" s="62">
        <f>(E414*E407)+(F414*F407)+(G414*G407)+(H414*H407)+(I414*I407)+(J414*J407)</f>
        <v>0</v>
      </c>
      <c r="M414" s="57" t="s">
        <v>31</v>
      </c>
      <c r="N414" s="63" t="b">
        <v>0</v>
      </c>
    </row>
    <row r="415" ht="18.75" customHeight="1">
      <c r="A415" s="68"/>
      <c r="B415" s="65" t="s">
        <v>42</v>
      </c>
      <c r="C415" s="53" t="s">
        <v>34</v>
      </c>
      <c r="D415" s="54"/>
      <c r="E415" s="66"/>
      <c r="F415" s="66"/>
      <c r="G415" s="66"/>
      <c r="H415" s="66"/>
      <c r="I415" s="66"/>
      <c r="J415" s="66"/>
      <c r="K415" s="67" t="s">
        <v>35</v>
      </c>
      <c r="L415" s="62">
        <f>(E415*E407)+(F415*F407)+(G415*G407)+(H415*H407)+(I415*I407)+(J415*J407)</f>
        <v>0</v>
      </c>
      <c r="M415" s="57" t="s">
        <v>36</v>
      </c>
      <c r="N415" s="63" t="b">
        <v>0</v>
      </c>
    </row>
    <row r="416" ht="13.5" customHeight="1">
      <c r="A416" s="46" t="s">
        <v>43</v>
      </c>
      <c r="B416" s="69" t="str">
        <f>IFS(L416=0,"",B416&lt;&gt;"",B416,TRUE,NOW())</f>
        <v/>
      </c>
      <c r="C416" s="70" t="s">
        <v>37</v>
      </c>
      <c r="D416" s="33"/>
      <c r="E416" s="71"/>
      <c r="F416" s="71"/>
      <c r="G416" s="71"/>
      <c r="H416" s="71"/>
      <c r="I416" s="71"/>
      <c r="J416" s="71"/>
      <c r="K416" s="72" t="s">
        <v>38</v>
      </c>
      <c r="L416" s="73">
        <f>L415-L414</f>
        <v>0</v>
      </c>
      <c r="M416" s="74" t="s">
        <v>39</v>
      </c>
      <c r="N416" s="75" t="b">
        <v>0</v>
      </c>
    </row>
    <row r="417" ht="13.5" customHeight="1">
      <c r="A417" s="64"/>
      <c r="B417" s="52" t="s">
        <v>112</v>
      </c>
      <c r="C417" s="53" t="s">
        <v>27</v>
      </c>
      <c r="D417" s="54"/>
      <c r="E417" s="55">
        <f t="shared" ref="E417:J417" si="114">E415-E418</f>
        <v>0</v>
      </c>
      <c r="F417" s="55">
        <f t="shared" si="114"/>
        <v>0</v>
      </c>
      <c r="G417" s="55">
        <f t="shared" si="114"/>
        <v>0</v>
      </c>
      <c r="H417" s="55">
        <f t="shared" si="114"/>
        <v>0</v>
      </c>
      <c r="I417" s="55">
        <f t="shared" si="114"/>
        <v>0</v>
      </c>
      <c r="J417" s="55">
        <f t="shared" si="114"/>
        <v>0</v>
      </c>
      <c r="K417" s="56"/>
      <c r="L417" s="30"/>
      <c r="M417" s="57" t="s">
        <v>28</v>
      </c>
      <c r="N417" s="58" t="b">
        <v>0</v>
      </c>
    </row>
    <row r="418" ht="13.5" customHeight="1">
      <c r="A418" s="46" t="s">
        <v>45</v>
      </c>
      <c r="B418" s="59"/>
      <c r="C418" s="53" t="s">
        <v>30</v>
      </c>
      <c r="D418" s="54"/>
      <c r="E418" s="60"/>
      <c r="F418" s="60"/>
      <c r="G418" s="60"/>
      <c r="H418" s="60"/>
      <c r="I418" s="60"/>
      <c r="J418" s="60"/>
      <c r="K418" s="61" t="s">
        <v>30</v>
      </c>
      <c r="L418" s="62">
        <f>(E418*E407)+(F418*F407)+(G418*G407)+(H418*H407)+(I418*I407)+(J418*J407)</f>
        <v>0</v>
      </c>
      <c r="M418" s="57" t="s">
        <v>31</v>
      </c>
      <c r="N418" s="63" t="b">
        <v>0</v>
      </c>
    </row>
    <row r="419" ht="13.5" customHeight="1">
      <c r="A419" s="77"/>
      <c r="B419" s="65" t="s">
        <v>47</v>
      </c>
      <c r="C419" s="53" t="s">
        <v>34</v>
      </c>
      <c r="D419" s="54"/>
      <c r="E419" s="66"/>
      <c r="F419" s="66"/>
      <c r="G419" s="66"/>
      <c r="H419" s="66"/>
      <c r="I419" s="66"/>
      <c r="J419" s="66"/>
      <c r="K419" s="67" t="s">
        <v>35</v>
      </c>
      <c r="L419" s="62">
        <f>(E419*E407)+(F419*F407)+(G419*G407)+(H419*H407)+(I419*I407)+(J419*J407)</f>
        <v>0</v>
      </c>
      <c r="M419" s="57" t="s">
        <v>36</v>
      </c>
      <c r="N419" s="63" t="b">
        <v>0</v>
      </c>
    </row>
    <row r="420" ht="18.75" customHeight="1">
      <c r="A420" s="68"/>
      <c r="B420" s="69" t="str">
        <f>IFS(L420=0,"",B420&lt;&gt;"",B420,TRUE,NOW())</f>
        <v/>
      </c>
      <c r="C420" s="70" t="s">
        <v>37</v>
      </c>
      <c r="D420" s="33"/>
      <c r="E420" s="71"/>
      <c r="F420" s="71"/>
      <c r="G420" s="71"/>
      <c r="H420" s="71"/>
      <c r="I420" s="71"/>
      <c r="J420" s="71"/>
      <c r="K420" s="72" t="s">
        <v>38</v>
      </c>
      <c r="L420" s="73">
        <f>L419-L418</f>
        <v>0</v>
      </c>
      <c r="M420" s="74" t="s">
        <v>39</v>
      </c>
      <c r="N420" s="75" t="b">
        <v>0</v>
      </c>
    </row>
    <row r="421" ht="13.5" customHeight="1">
      <c r="A421" s="78" t="s">
        <v>48</v>
      </c>
      <c r="B421" s="52" t="s">
        <v>112</v>
      </c>
      <c r="C421" s="53" t="s">
        <v>27</v>
      </c>
      <c r="D421" s="54"/>
      <c r="E421" s="55">
        <f t="shared" ref="E421:J421" si="115">E419-E422</f>
        <v>0</v>
      </c>
      <c r="F421" s="55">
        <f t="shared" si="115"/>
        <v>0</v>
      </c>
      <c r="G421" s="55">
        <f t="shared" si="115"/>
        <v>0</v>
      </c>
      <c r="H421" s="55">
        <f t="shared" si="115"/>
        <v>0</v>
      </c>
      <c r="I421" s="55">
        <f t="shared" si="115"/>
        <v>0</v>
      </c>
      <c r="J421" s="55">
        <f t="shared" si="115"/>
        <v>0</v>
      </c>
      <c r="K421" s="56"/>
      <c r="L421" s="30"/>
      <c r="M421" s="57" t="s">
        <v>28</v>
      </c>
      <c r="N421" s="58" t="b">
        <v>0</v>
      </c>
    </row>
    <row r="422" ht="13.5" customHeight="1">
      <c r="A422" s="87"/>
      <c r="B422" s="59"/>
      <c r="C422" s="53" t="s">
        <v>30</v>
      </c>
      <c r="D422" s="54"/>
      <c r="E422" s="60"/>
      <c r="F422" s="60"/>
      <c r="G422" s="60"/>
      <c r="H422" s="60"/>
      <c r="I422" s="60"/>
      <c r="J422" s="60"/>
      <c r="K422" s="61" t="s">
        <v>30</v>
      </c>
      <c r="L422" s="62">
        <f>(E422*E407)+(F422*F407)+(G422*G407)+(H422*H407)+(I422*I407)+(J422*J407)</f>
        <v>0</v>
      </c>
      <c r="M422" s="57" t="s">
        <v>31</v>
      </c>
      <c r="N422" s="63" t="b">
        <v>0</v>
      </c>
    </row>
    <row r="423" ht="13.5" customHeight="1">
      <c r="A423" s="68"/>
      <c r="B423" s="65" t="s">
        <v>49</v>
      </c>
      <c r="C423" s="53" t="s">
        <v>34</v>
      </c>
      <c r="D423" s="54"/>
      <c r="E423" s="66"/>
      <c r="F423" s="66"/>
      <c r="G423" s="66"/>
      <c r="H423" s="66"/>
      <c r="I423" s="66"/>
      <c r="J423" s="66"/>
      <c r="K423" s="67" t="s">
        <v>35</v>
      </c>
      <c r="L423" s="62">
        <f>(E423*E407)+(F423*F407)+(G423*G407)+(H423*H407)+(I423*I407)+(J423*J407)</f>
        <v>0</v>
      </c>
      <c r="M423" s="57" t="s">
        <v>36</v>
      </c>
      <c r="N423" s="63" t="b">
        <v>0</v>
      </c>
    </row>
    <row r="424" ht="13.5" customHeight="1">
      <c r="A424" s="80"/>
      <c r="B424" s="69" t="str">
        <f>IFS(L424=0,"",B424&lt;&gt;"",B424,TRUE,NOW())</f>
        <v/>
      </c>
      <c r="C424" s="53" t="s">
        <v>37</v>
      </c>
      <c r="D424" s="54"/>
      <c r="E424" s="81"/>
      <c r="F424" s="81"/>
      <c r="G424" s="81"/>
      <c r="H424" s="82"/>
      <c r="I424" s="81"/>
      <c r="J424" s="81"/>
      <c r="K424" s="72" t="s">
        <v>38</v>
      </c>
      <c r="L424" s="73">
        <f>L423-L422</f>
        <v>0</v>
      </c>
      <c r="M424" s="74" t="s">
        <v>39</v>
      </c>
      <c r="N424" s="75" t="b">
        <v>0</v>
      </c>
    </row>
    <row r="425" ht="13.5" customHeight="1">
      <c r="A425" s="83" t="s">
        <v>113</v>
      </c>
      <c r="B425" s="42" t="s">
        <v>20</v>
      </c>
      <c r="C425" s="24"/>
      <c r="D425" s="33"/>
      <c r="E425" s="43">
        <f t="shared" ref="E425:J425" si="116">E6</f>
        <v>17</v>
      </c>
      <c r="F425" s="43">
        <f t="shared" si="116"/>
        <v>27</v>
      </c>
      <c r="G425" s="43">
        <f t="shared" si="116"/>
        <v>27</v>
      </c>
      <c r="H425" s="43">
        <f t="shared" si="116"/>
        <v>27</v>
      </c>
      <c r="I425" s="43">
        <f t="shared" si="116"/>
        <v>32</v>
      </c>
      <c r="J425" s="44">
        <f t="shared" si="116"/>
        <v>37</v>
      </c>
      <c r="K425" s="42" t="s">
        <v>21</v>
      </c>
      <c r="L425" s="25"/>
      <c r="M425" s="45" t="s">
        <v>22</v>
      </c>
      <c r="N425" s="25"/>
    </row>
    <row r="426" ht="13.5" customHeight="1">
      <c r="A426" s="46" t="s">
        <v>23</v>
      </c>
      <c r="B426" s="47" t="s">
        <v>24</v>
      </c>
      <c r="C426" s="32" t="s">
        <v>25</v>
      </c>
      <c r="D426" s="33"/>
      <c r="E426" s="48"/>
      <c r="F426" s="48"/>
      <c r="G426" s="48"/>
      <c r="H426" s="48"/>
      <c r="I426" s="48"/>
      <c r="J426" s="48"/>
      <c r="K426" s="49"/>
      <c r="L426" s="25"/>
      <c r="M426" s="50"/>
      <c r="N426" s="10"/>
    </row>
    <row r="427" ht="15.0" customHeight="1">
      <c r="A427" s="92"/>
      <c r="B427" s="52" t="s">
        <v>114</v>
      </c>
      <c r="C427" s="53" t="s">
        <v>27</v>
      </c>
      <c r="D427" s="54"/>
      <c r="E427" s="55">
        <f t="shared" ref="E427:J427" si="117">E426-E428</f>
        <v>0</v>
      </c>
      <c r="F427" s="55">
        <f t="shared" si="117"/>
        <v>0</v>
      </c>
      <c r="G427" s="55">
        <f t="shared" si="117"/>
        <v>0</v>
      </c>
      <c r="H427" s="55">
        <f t="shared" si="117"/>
        <v>0</v>
      </c>
      <c r="I427" s="55">
        <f t="shared" si="117"/>
        <v>0</v>
      </c>
      <c r="J427" s="55">
        <f t="shared" si="117"/>
        <v>0</v>
      </c>
      <c r="K427" s="56"/>
      <c r="L427" s="30"/>
      <c r="M427" s="57" t="s">
        <v>28</v>
      </c>
      <c r="N427" s="58" t="b">
        <v>0</v>
      </c>
    </row>
    <row r="428" ht="13.5" customHeight="1">
      <c r="A428" s="46" t="s">
        <v>29</v>
      </c>
      <c r="B428" s="59"/>
      <c r="C428" s="53" t="s">
        <v>30</v>
      </c>
      <c r="D428" s="54"/>
      <c r="E428" s="60"/>
      <c r="F428" s="60"/>
      <c r="G428" s="60"/>
      <c r="H428" s="60"/>
      <c r="I428" s="60"/>
      <c r="J428" s="60"/>
      <c r="K428" s="61" t="s">
        <v>30</v>
      </c>
      <c r="L428" s="62">
        <f>(E428*E425)+(F428*F425)+(G428*G425)+(H428*H425)+(I428*I425)+(J428*J425)</f>
        <v>0</v>
      </c>
      <c r="M428" s="57" t="s">
        <v>31</v>
      </c>
      <c r="N428" s="63" t="b">
        <v>0</v>
      </c>
    </row>
    <row r="429" ht="13.5" customHeight="1">
      <c r="A429" s="64"/>
      <c r="B429" s="65" t="s">
        <v>33</v>
      </c>
      <c r="C429" s="53" t="s">
        <v>34</v>
      </c>
      <c r="D429" s="54"/>
      <c r="E429" s="66"/>
      <c r="F429" s="66"/>
      <c r="G429" s="66"/>
      <c r="H429" s="66"/>
      <c r="I429" s="66"/>
      <c r="J429" s="66"/>
      <c r="K429" s="67" t="s">
        <v>35</v>
      </c>
      <c r="L429" s="62">
        <f>(E429*E425)+(F429*F425)+(G429*G425)+(H429*H425)+(I429*I425)+(J429*J425)</f>
        <v>0</v>
      </c>
      <c r="M429" s="57" t="s">
        <v>36</v>
      </c>
      <c r="N429" s="63" t="b">
        <v>0</v>
      </c>
    </row>
    <row r="430" ht="13.5" customHeight="1">
      <c r="A430" s="68"/>
      <c r="B430" s="69" t="str">
        <f>IFS(L430=0,"",B430&lt;&gt;"",B430,TRUE,NOW())</f>
        <v/>
      </c>
      <c r="C430" s="70" t="s">
        <v>37</v>
      </c>
      <c r="D430" s="33"/>
      <c r="E430" s="71"/>
      <c r="F430" s="71"/>
      <c r="G430" s="71"/>
      <c r="H430" s="71"/>
      <c r="I430" s="71"/>
      <c r="J430" s="71"/>
      <c r="K430" s="72" t="s">
        <v>38</v>
      </c>
      <c r="L430" s="73">
        <f>L429-L428</f>
        <v>0</v>
      </c>
      <c r="M430" s="74" t="s">
        <v>39</v>
      </c>
      <c r="N430" s="75" t="b">
        <v>0</v>
      </c>
    </row>
    <row r="431" ht="13.5" customHeight="1">
      <c r="A431" s="46" t="s">
        <v>40</v>
      </c>
      <c r="B431" s="52" t="s">
        <v>114</v>
      </c>
      <c r="C431" s="53" t="s">
        <v>27</v>
      </c>
      <c r="D431" s="54"/>
      <c r="E431" s="55">
        <f t="shared" ref="E431:J431" si="118">E429-E432</f>
        <v>0</v>
      </c>
      <c r="F431" s="55">
        <f t="shared" si="118"/>
        <v>0</v>
      </c>
      <c r="G431" s="55">
        <f t="shared" si="118"/>
        <v>0</v>
      </c>
      <c r="H431" s="55">
        <f t="shared" si="118"/>
        <v>0</v>
      </c>
      <c r="I431" s="55">
        <f t="shared" si="118"/>
        <v>0</v>
      </c>
      <c r="J431" s="55">
        <f t="shared" si="118"/>
        <v>0</v>
      </c>
      <c r="K431" s="56"/>
      <c r="L431" s="30"/>
      <c r="M431" s="57" t="s">
        <v>28</v>
      </c>
      <c r="N431" s="58" t="b">
        <v>0</v>
      </c>
    </row>
    <row r="432" ht="15.0" customHeight="1">
      <c r="A432" s="64"/>
      <c r="B432" s="59"/>
      <c r="C432" s="53" t="s">
        <v>30</v>
      </c>
      <c r="D432" s="54"/>
      <c r="E432" s="60"/>
      <c r="F432" s="60"/>
      <c r="G432" s="60"/>
      <c r="H432" s="60"/>
      <c r="I432" s="60"/>
      <c r="J432" s="60"/>
      <c r="K432" s="61" t="s">
        <v>30</v>
      </c>
      <c r="L432" s="62">
        <f>(E432*E425)+(F432*F425)+(G432*G425)+(H432*H425)+(I432*I425)+(J432*J425)</f>
        <v>0</v>
      </c>
      <c r="M432" s="57" t="s">
        <v>31</v>
      </c>
      <c r="N432" s="63" t="b">
        <v>0</v>
      </c>
    </row>
    <row r="433" ht="13.5" customHeight="1">
      <c r="A433" s="68"/>
      <c r="B433" s="65" t="s">
        <v>42</v>
      </c>
      <c r="C433" s="53" t="s">
        <v>34</v>
      </c>
      <c r="D433" s="54"/>
      <c r="E433" s="66"/>
      <c r="F433" s="66"/>
      <c r="G433" s="66"/>
      <c r="H433" s="66"/>
      <c r="I433" s="66"/>
      <c r="J433" s="66"/>
      <c r="K433" s="67" t="s">
        <v>35</v>
      </c>
      <c r="L433" s="62">
        <f>(E433*E425)+(F433*F425)+(G433*G425)+(H433*H425)+(I433*I425)+(J433*J425)</f>
        <v>0</v>
      </c>
      <c r="M433" s="57" t="s">
        <v>36</v>
      </c>
      <c r="N433" s="63" t="b">
        <v>0</v>
      </c>
    </row>
    <row r="434" ht="13.5" customHeight="1">
      <c r="A434" s="46" t="s">
        <v>43</v>
      </c>
      <c r="B434" s="69" t="str">
        <f>IFS(L434=0,"",B434&lt;&gt;"",B434,TRUE,NOW())</f>
        <v/>
      </c>
      <c r="C434" s="70" t="s">
        <v>37</v>
      </c>
      <c r="D434" s="33"/>
      <c r="E434" s="71"/>
      <c r="F434" s="71"/>
      <c r="G434" s="71"/>
      <c r="H434" s="71"/>
      <c r="I434" s="71"/>
      <c r="J434" s="71"/>
      <c r="K434" s="72" t="s">
        <v>38</v>
      </c>
      <c r="L434" s="73">
        <f>L433-L432</f>
        <v>0</v>
      </c>
      <c r="M434" s="74" t="s">
        <v>39</v>
      </c>
      <c r="N434" s="75" t="b">
        <v>0</v>
      </c>
    </row>
    <row r="435" ht="13.5" customHeight="1">
      <c r="A435" s="64"/>
      <c r="B435" s="52" t="s">
        <v>114</v>
      </c>
      <c r="C435" s="53" t="s">
        <v>27</v>
      </c>
      <c r="D435" s="54"/>
      <c r="E435" s="55">
        <f t="shared" ref="E435:J435" si="119">E433-E436</f>
        <v>0</v>
      </c>
      <c r="F435" s="55">
        <f t="shared" si="119"/>
        <v>0</v>
      </c>
      <c r="G435" s="55">
        <f t="shared" si="119"/>
        <v>0</v>
      </c>
      <c r="H435" s="55">
        <f t="shared" si="119"/>
        <v>0</v>
      </c>
      <c r="I435" s="55">
        <f t="shared" si="119"/>
        <v>0</v>
      </c>
      <c r="J435" s="55">
        <f t="shared" si="119"/>
        <v>0</v>
      </c>
      <c r="K435" s="56"/>
      <c r="L435" s="30"/>
      <c r="M435" s="57" t="s">
        <v>28</v>
      </c>
      <c r="N435" s="58" t="b">
        <v>0</v>
      </c>
    </row>
    <row r="436" ht="13.5" customHeight="1">
      <c r="A436" s="46" t="s">
        <v>45</v>
      </c>
      <c r="B436" s="59"/>
      <c r="C436" s="53" t="s">
        <v>30</v>
      </c>
      <c r="D436" s="54"/>
      <c r="E436" s="60"/>
      <c r="F436" s="60"/>
      <c r="G436" s="60"/>
      <c r="H436" s="60"/>
      <c r="I436" s="60"/>
      <c r="J436" s="60"/>
      <c r="K436" s="61" t="s">
        <v>30</v>
      </c>
      <c r="L436" s="62">
        <f>(E436*E425)+(F436*F425)+(G436*G425)+(H436*H425)+(I436*I425)+(J436*J425)</f>
        <v>0</v>
      </c>
      <c r="M436" s="57" t="s">
        <v>31</v>
      </c>
      <c r="N436" s="63" t="b">
        <v>0</v>
      </c>
    </row>
    <row r="437" ht="15.0" customHeight="1">
      <c r="A437" s="77"/>
      <c r="B437" s="65" t="s">
        <v>47</v>
      </c>
      <c r="C437" s="53" t="s">
        <v>34</v>
      </c>
      <c r="D437" s="54"/>
      <c r="E437" s="66"/>
      <c r="F437" s="66"/>
      <c r="G437" s="66"/>
      <c r="H437" s="66"/>
      <c r="I437" s="66"/>
      <c r="J437" s="66"/>
      <c r="K437" s="67" t="s">
        <v>35</v>
      </c>
      <c r="L437" s="62">
        <f>(E437*E425)+(F437*F425)+(G437*G425)+(H437*H425)+(I437*I425)+(J437*J425)</f>
        <v>0</v>
      </c>
      <c r="M437" s="57" t="s">
        <v>36</v>
      </c>
      <c r="N437" s="63" t="b">
        <v>0</v>
      </c>
    </row>
    <row r="438" ht="13.5" customHeight="1">
      <c r="A438" s="68"/>
      <c r="B438" s="69" t="str">
        <f>IFS(L438=0,"",B438&lt;&gt;"",B438,TRUE,NOW())</f>
        <v/>
      </c>
      <c r="C438" s="70" t="s">
        <v>37</v>
      </c>
      <c r="D438" s="33"/>
      <c r="E438" s="71"/>
      <c r="F438" s="71"/>
      <c r="G438" s="71"/>
      <c r="H438" s="71"/>
      <c r="I438" s="71"/>
      <c r="J438" s="71"/>
      <c r="K438" s="72" t="s">
        <v>38</v>
      </c>
      <c r="L438" s="73">
        <f>L437-L436</f>
        <v>0</v>
      </c>
      <c r="M438" s="74" t="s">
        <v>39</v>
      </c>
      <c r="N438" s="75" t="b">
        <v>0</v>
      </c>
    </row>
    <row r="439" ht="13.5" customHeight="1">
      <c r="A439" s="78" t="s">
        <v>48</v>
      </c>
      <c r="B439" s="52" t="s">
        <v>114</v>
      </c>
      <c r="C439" s="53" t="s">
        <v>27</v>
      </c>
      <c r="D439" s="54"/>
      <c r="E439" s="55">
        <f t="shared" ref="E439:J439" si="120">E437-E440</f>
        <v>0</v>
      </c>
      <c r="F439" s="55">
        <f t="shared" si="120"/>
        <v>0</v>
      </c>
      <c r="G439" s="55">
        <f t="shared" si="120"/>
        <v>0</v>
      </c>
      <c r="H439" s="55">
        <f t="shared" si="120"/>
        <v>0</v>
      </c>
      <c r="I439" s="55">
        <f t="shared" si="120"/>
        <v>0</v>
      </c>
      <c r="J439" s="55">
        <f t="shared" si="120"/>
        <v>0</v>
      </c>
      <c r="K439" s="56"/>
      <c r="L439" s="30"/>
      <c r="M439" s="57" t="s">
        <v>28</v>
      </c>
      <c r="N439" s="58" t="b">
        <v>0</v>
      </c>
    </row>
    <row r="440" ht="13.5" customHeight="1">
      <c r="A440" s="87"/>
      <c r="B440" s="59"/>
      <c r="C440" s="53" t="s">
        <v>30</v>
      </c>
      <c r="D440" s="54"/>
      <c r="E440" s="60"/>
      <c r="F440" s="60"/>
      <c r="G440" s="60"/>
      <c r="H440" s="60"/>
      <c r="I440" s="60"/>
      <c r="J440" s="60"/>
      <c r="K440" s="61" t="s">
        <v>30</v>
      </c>
      <c r="L440" s="62">
        <f>(E440*E425)+(F440*F425)+(G440*G425)+(H440*H425)+(I440*I425)+(J440*J425)</f>
        <v>0</v>
      </c>
      <c r="M440" s="57" t="s">
        <v>31</v>
      </c>
      <c r="N440" s="63" t="b">
        <v>0</v>
      </c>
    </row>
    <row r="441" ht="13.5" customHeight="1">
      <c r="A441" s="68"/>
      <c r="B441" s="65" t="s">
        <v>49</v>
      </c>
      <c r="C441" s="53" t="s">
        <v>34</v>
      </c>
      <c r="D441" s="54"/>
      <c r="E441" s="66"/>
      <c r="F441" s="66"/>
      <c r="G441" s="66"/>
      <c r="H441" s="66"/>
      <c r="I441" s="66"/>
      <c r="J441" s="66"/>
      <c r="K441" s="67" t="s">
        <v>35</v>
      </c>
      <c r="L441" s="62">
        <f>(E441*E425)+(F441*F425)+(G441*G425)+(H441*H425)+(I441*I425)+(J441*J425)</f>
        <v>0</v>
      </c>
      <c r="M441" s="57" t="s">
        <v>36</v>
      </c>
      <c r="N441" s="63" t="b">
        <v>0</v>
      </c>
    </row>
    <row r="442" ht="15.0" customHeight="1">
      <c r="A442" s="80"/>
      <c r="B442" s="69" t="str">
        <f>IFS(L442=0,"",B442&lt;&gt;"",B442,TRUE,NOW())</f>
        <v/>
      </c>
      <c r="C442" s="86" t="s">
        <v>37</v>
      </c>
      <c r="D442" s="59"/>
      <c r="E442" s="81"/>
      <c r="F442" s="81"/>
      <c r="G442" s="81"/>
      <c r="H442" s="82"/>
      <c r="I442" s="81"/>
      <c r="J442" s="81"/>
      <c r="K442" s="72" t="s">
        <v>38</v>
      </c>
      <c r="L442" s="73">
        <f>L441-L440</f>
        <v>0</v>
      </c>
      <c r="M442" s="74" t="s">
        <v>39</v>
      </c>
      <c r="N442" s="75" t="b">
        <v>0</v>
      </c>
    </row>
    <row r="443" ht="13.5" customHeight="1">
      <c r="A443" s="83" t="s">
        <v>115</v>
      </c>
      <c r="B443" s="42" t="s">
        <v>20</v>
      </c>
      <c r="C443" s="24"/>
      <c r="D443" s="33"/>
      <c r="E443" s="43">
        <f t="shared" ref="E443:J443" si="121">E6</f>
        <v>17</v>
      </c>
      <c r="F443" s="43">
        <f t="shared" si="121"/>
        <v>27</v>
      </c>
      <c r="G443" s="43">
        <f t="shared" si="121"/>
        <v>27</v>
      </c>
      <c r="H443" s="43">
        <f t="shared" si="121"/>
        <v>27</v>
      </c>
      <c r="I443" s="43">
        <f t="shared" si="121"/>
        <v>32</v>
      </c>
      <c r="J443" s="44">
        <f t="shared" si="121"/>
        <v>37</v>
      </c>
      <c r="K443" s="42" t="s">
        <v>21</v>
      </c>
      <c r="L443" s="25"/>
      <c r="M443" s="45" t="s">
        <v>22</v>
      </c>
      <c r="N443" s="25"/>
    </row>
    <row r="444" ht="13.5" customHeight="1">
      <c r="A444" s="46" t="s">
        <v>23</v>
      </c>
      <c r="B444" s="47" t="s">
        <v>24</v>
      </c>
      <c r="C444" s="32" t="s">
        <v>25</v>
      </c>
      <c r="D444" s="33"/>
      <c r="E444" s="48"/>
      <c r="F444" s="48"/>
      <c r="G444" s="48"/>
      <c r="H444" s="48"/>
      <c r="I444" s="48"/>
      <c r="J444" s="48"/>
      <c r="K444" s="49"/>
      <c r="L444" s="25"/>
      <c r="M444" s="50"/>
      <c r="N444" s="10"/>
    </row>
    <row r="445" ht="13.5" customHeight="1">
      <c r="A445" s="92"/>
      <c r="B445" s="52" t="s">
        <v>116</v>
      </c>
      <c r="C445" s="53" t="s">
        <v>27</v>
      </c>
      <c r="D445" s="54"/>
      <c r="E445" s="55">
        <f t="shared" ref="E445:J445" si="122">E444-E446</f>
        <v>0</v>
      </c>
      <c r="F445" s="55">
        <f t="shared" si="122"/>
        <v>0</v>
      </c>
      <c r="G445" s="55">
        <f t="shared" si="122"/>
        <v>0</v>
      </c>
      <c r="H445" s="55">
        <f t="shared" si="122"/>
        <v>0</v>
      </c>
      <c r="I445" s="55">
        <f t="shared" si="122"/>
        <v>0</v>
      </c>
      <c r="J445" s="55">
        <f t="shared" si="122"/>
        <v>0</v>
      </c>
      <c r="K445" s="56"/>
      <c r="L445" s="30"/>
      <c r="M445" s="57" t="s">
        <v>28</v>
      </c>
      <c r="N445" s="58" t="b">
        <v>0</v>
      </c>
    </row>
    <row r="446" ht="13.5" customHeight="1">
      <c r="A446" s="46" t="s">
        <v>29</v>
      </c>
      <c r="B446" s="59"/>
      <c r="C446" s="53" t="s">
        <v>30</v>
      </c>
      <c r="D446" s="54"/>
      <c r="E446" s="60"/>
      <c r="F446" s="60"/>
      <c r="G446" s="60"/>
      <c r="H446" s="60"/>
      <c r="I446" s="60"/>
      <c r="J446" s="60"/>
      <c r="K446" s="61" t="s">
        <v>30</v>
      </c>
      <c r="L446" s="62">
        <f>(E446*E443)+(F446*F443)+(G446*G443)+(H446*H443)+(I446*I443)+(J446*J443)</f>
        <v>0</v>
      </c>
      <c r="M446" s="57" t="s">
        <v>31</v>
      </c>
      <c r="N446" s="63" t="b">
        <v>0</v>
      </c>
    </row>
    <row r="447" ht="13.5" customHeight="1">
      <c r="A447" s="64"/>
      <c r="B447" s="65" t="s">
        <v>33</v>
      </c>
      <c r="C447" s="53" t="s">
        <v>34</v>
      </c>
      <c r="D447" s="54"/>
      <c r="E447" s="66"/>
      <c r="F447" s="66"/>
      <c r="G447" s="66"/>
      <c r="H447" s="66"/>
      <c r="I447" s="66"/>
      <c r="J447" s="66"/>
      <c r="K447" s="67" t="s">
        <v>35</v>
      </c>
      <c r="L447" s="62">
        <f>(E447*E443)+(F447*F443)+(G447*G443)+(H447*H443)+(I447*I443)+(J447*J443)</f>
        <v>0</v>
      </c>
      <c r="M447" s="57" t="s">
        <v>36</v>
      </c>
      <c r="N447" s="63" t="b">
        <v>0</v>
      </c>
    </row>
    <row r="448" ht="13.5" customHeight="1">
      <c r="A448" s="68"/>
      <c r="B448" s="69" t="str">
        <f>IFS(L448=0,"",B448&lt;&gt;"",B448,TRUE,NOW())</f>
        <v/>
      </c>
      <c r="C448" s="70" t="s">
        <v>37</v>
      </c>
      <c r="D448" s="33"/>
      <c r="E448" s="71"/>
      <c r="F448" s="71"/>
      <c r="G448" s="71"/>
      <c r="H448" s="71"/>
      <c r="I448" s="71"/>
      <c r="J448" s="71"/>
      <c r="K448" s="72" t="s">
        <v>38</v>
      </c>
      <c r="L448" s="73">
        <f>L447-L446</f>
        <v>0</v>
      </c>
      <c r="M448" s="74" t="s">
        <v>39</v>
      </c>
      <c r="N448" s="75" t="b">
        <v>0</v>
      </c>
    </row>
    <row r="449" ht="17.25" customHeight="1">
      <c r="A449" s="46" t="s">
        <v>40</v>
      </c>
      <c r="B449" s="52" t="s">
        <v>116</v>
      </c>
      <c r="C449" s="53" t="s">
        <v>27</v>
      </c>
      <c r="D449" s="54"/>
      <c r="E449" s="55">
        <f t="shared" ref="E449:J449" si="123">E447-E450</f>
        <v>0</v>
      </c>
      <c r="F449" s="55">
        <f t="shared" si="123"/>
        <v>0</v>
      </c>
      <c r="G449" s="55">
        <f t="shared" si="123"/>
        <v>0</v>
      </c>
      <c r="H449" s="55">
        <f t="shared" si="123"/>
        <v>0</v>
      </c>
      <c r="I449" s="55">
        <f t="shared" si="123"/>
        <v>0</v>
      </c>
      <c r="J449" s="55">
        <f t="shared" si="123"/>
        <v>0</v>
      </c>
      <c r="K449" s="56"/>
      <c r="L449" s="30"/>
      <c r="M449" s="57" t="s">
        <v>28</v>
      </c>
      <c r="N449" s="58" t="b">
        <v>0</v>
      </c>
    </row>
    <row r="450" ht="13.5" customHeight="1">
      <c r="A450" s="64"/>
      <c r="B450" s="59"/>
      <c r="C450" s="53" t="s">
        <v>30</v>
      </c>
      <c r="D450" s="54"/>
      <c r="E450" s="60"/>
      <c r="F450" s="60"/>
      <c r="G450" s="60"/>
      <c r="H450" s="60"/>
      <c r="I450" s="60"/>
      <c r="J450" s="60"/>
      <c r="K450" s="61" t="s">
        <v>30</v>
      </c>
      <c r="L450" s="62">
        <f>(E450*E443)+(F450*F443)+(G450*G443)+(H450*H443)+(I450*I443)+(J450*J443)</f>
        <v>0</v>
      </c>
      <c r="M450" s="57" t="s">
        <v>31</v>
      </c>
      <c r="N450" s="63" t="b">
        <v>0</v>
      </c>
    </row>
    <row r="451" ht="13.5" customHeight="1">
      <c r="A451" s="68"/>
      <c r="B451" s="65" t="s">
        <v>42</v>
      </c>
      <c r="C451" s="53" t="s">
        <v>34</v>
      </c>
      <c r="D451" s="54"/>
      <c r="E451" s="66"/>
      <c r="F451" s="66"/>
      <c r="G451" s="66"/>
      <c r="H451" s="66"/>
      <c r="I451" s="66"/>
      <c r="J451" s="66"/>
      <c r="K451" s="67" t="s">
        <v>35</v>
      </c>
      <c r="L451" s="62">
        <f>(E451*E443)+(F451*F443)+(G451*G443)+(H451*H443)+(I451*I443)+(J451*J443)</f>
        <v>0</v>
      </c>
      <c r="M451" s="57" t="s">
        <v>36</v>
      </c>
      <c r="N451" s="63" t="b">
        <v>0</v>
      </c>
    </row>
    <row r="452" ht="13.5" customHeight="1">
      <c r="A452" s="46" t="s">
        <v>43</v>
      </c>
      <c r="B452" s="69" t="str">
        <f>IFS(L452=0,"",B452&lt;&gt;"",B452,TRUE,NOW())</f>
        <v/>
      </c>
      <c r="C452" s="70" t="s">
        <v>37</v>
      </c>
      <c r="D452" s="33"/>
      <c r="E452" s="71"/>
      <c r="F452" s="71"/>
      <c r="G452" s="71"/>
      <c r="H452" s="71"/>
      <c r="I452" s="71"/>
      <c r="J452" s="71"/>
      <c r="K452" s="72" t="s">
        <v>38</v>
      </c>
      <c r="L452" s="73">
        <f>L451-L450</f>
        <v>0</v>
      </c>
      <c r="M452" s="74" t="s">
        <v>39</v>
      </c>
      <c r="N452" s="75" t="b">
        <v>0</v>
      </c>
    </row>
    <row r="453" ht="13.5" customHeight="1">
      <c r="A453" s="64"/>
      <c r="B453" s="52" t="s">
        <v>116</v>
      </c>
      <c r="C453" s="53" t="s">
        <v>27</v>
      </c>
      <c r="D453" s="54"/>
      <c r="E453" s="55">
        <f t="shared" ref="E453:J453" si="124">E451-E454</f>
        <v>0</v>
      </c>
      <c r="F453" s="55">
        <f t="shared" si="124"/>
        <v>0</v>
      </c>
      <c r="G453" s="55">
        <f t="shared" si="124"/>
        <v>0</v>
      </c>
      <c r="H453" s="55">
        <f t="shared" si="124"/>
        <v>0</v>
      </c>
      <c r="I453" s="55">
        <f t="shared" si="124"/>
        <v>0</v>
      </c>
      <c r="J453" s="55">
        <f t="shared" si="124"/>
        <v>0</v>
      </c>
      <c r="K453" s="56"/>
      <c r="L453" s="30"/>
      <c r="M453" s="57" t="s">
        <v>28</v>
      </c>
      <c r="N453" s="58" t="b">
        <v>0</v>
      </c>
    </row>
    <row r="454" ht="15.0" customHeight="1">
      <c r="A454" s="46" t="s">
        <v>45</v>
      </c>
      <c r="B454" s="59"/>
      <c r="C454" s="53" t="s">
        <v>30</v>
      </c>
      <c r="D454" s="54"/>
      <c r="E454" s="60"/>
      <c r="F454" s="60"/>
      <c r="G454" s="60"/>
      <c r="H454" s="60"/>
      <c r="I454" s="60"/>
      <c r="J454" s="60"/>
      <c r="K454" s="61" t="s">
        <v>30</v>
      </c>
      <c r="L454" s="62">
        <f>(E454*E443)+(F454*F443)+(G454*G443)+(H454*H443)+(I454*I443)+(J454*J443)</f>
        <v>0</v>
      </c>
      <c r="M454" s="57" t="s">
        <v>31</v>
      </c>
      <c r="N454" s="63" t="b">
        <v>0</v>
      </c>
    </row>
    <row r="455" ht="13.5" customHeight="1">
      <c r="A455" s="77"/>
      <c r="B455" s="65" t="s">
        <v>47</v>
      </c>
      <c r="C455" s="53" t="s">
        <v>34</v>
      </c>
      <c r="D455" s="54"/>
      <c r="E455" s="66"/>
      <c r="F455" s="66"/>
      <c r="G455" s="66"/>
      <c r="H455" s="66"/>
      <c r="I455" s="66"/>
      <c r="J455" s="66"/>
      <c r="K455" s="67" t="s">
        <v>35</v>
      </c>
      <c r="L455" s="62">
        <f>(E455*E443)+(F455*F443)+(G455*G443)+(H455*H443)+(I455*I443)+(J455*J443)</f>
        <v>0</v>
      </c>
      <c r="M455" s="57" t="s">
        <v>36</v>
      </c>
      <c r="N455" s="63" t="b">
        <v>0</v>
      </c>
    </row>
    <row r="456" ht="13.5" customHeight="1">
      <c r="A456" s="68"/>
      <c r="B456" s="69" t="str">
        <f>IFS(L456=0,"",B456&lt;&gt;"",B456,TRUE,NOW())</f>
        <v/>
      </c>
      <c r="C456" s="70" t="s">
        <v>37</v>
      </c>
      <c r="D456" s="33"/>
      <c r="E456" s="71"/>
      <c r="F456" s="71"/>
      <c r="G456" s="71"/>
      <c r="H456" s="71"/>
      <c r="I456" s="71"/>
      <c r="J456" s="71"/>
      <c r="K456" s="72" t="s">
        <v>38</v>
      </c>
      <c r="L456" s="73">
        <f>L455-L454</f>
        <v>0</v>
      </c>
      <c r="M456" s="74" t="s">
        <v>39</v>
      </c>
      <c r="N456" s="75" t="b">
        <v>0</v>
      </c>
    </row>
    <row r="457" ht="13.5" customHeight="1">
      <c r="A457" s="78" t="s">
        <v>48</v>
      </c>
      <c r="B457" s="52" t="s">
        <v>116</v>
      </c>
      <c r="C457" s="53" t="s">
        <v>27</v>
      </c>
      <c r="D457" s="54"/>
      <c r="E457" s="55">
        <f t="shared" ref="E457:J457" si="125">E455-E458</f>
        <v>0</v>
      </c>
      <c r="F457" s="55">
        <f t="shared" si="125"/>
        <v>0</v>
      </c>
      <c r="G457" s="55">
        <f t="shared" si="125"/>
        <v>0</v>
      </c>
      <c r="H457" s="55">
        <f t="shared" si="125"/>
        <v>0</v>
      </c>
      <c r="I457" s="55">
        <f t="shared" si="125"/>
        <v>0</v>
      </c>
      <c r="J457" s="55">
        <f t="shared" si="125"/>
        <v>0</v>
      </c>
      <c r="K457" s="56"/>
      <c r="L457" s="30"/>
      <c r="M457" s="57" t="s">
        <v>28</v>
      </c>
      <c r="N457" s="58" t="b">
        <v>0</v>
      </c>
    </row>
    <row r="458" ht="13.5" customHeight="1">
      <c r="A458" s="87"/>
      <c r="B458" s="59"/>
      <c r="C458" s="53" t="s">
        <v>30</v>
      </c>
      <c r="D458" s="54"/>
      <c r="E458" s="60"/>
      <c r="F458" s="60"/>
      <c r="G458" s="60"/>
      <c r="H458" s="60"/>
      <c r="I458" s="60"/>
      <c r="J458" s="60"/>
      <c r="K458" s="61" t="s">
        <v>30</v>
      </c>
      <c r="L458" s="62">
        <f>(E458*E443)+(F458*F443)+(G458*G443)+(H458*H443)+(I458*I443)+(J458*J443)</f>
        <v>0</v>
      </c>
      <c r="M458" s="57" t="s">
        <v>31</v>
      </c>
      <c r="N458" s="63" t="b">
        <v>0</v>
      </c>
    </row>
    <row r="459" ht="15.0" customHeight="1">
      <c r="A459" s="68"/>
      <c r="B459" s="65" t="s">
        <v>49</v>
      </c>
      <c r="C459" s="53" t="s">
        <v>34</v>
      </c>
      <c r="D459" s="54"/>
      <c r="E459" s="66"/>
      <c r="F459" s="66"/>
      <c r="G459" s="66"/>
      <c r="H459" s="66"/>
      <c r="I459" s="66"/>
      <c r="J459" s="66"/>
      <c r="K459" s="67" t="s">
        <v>35</v>
      </c>
      <c r="L459" s="62">
        <f>(E459*E443)+(F459*F443)+(G459*G443)+(H459*H443)+(I459*I443)+(J459*J443)</f>
        <v>0</v>
      </c>
      <c r="M459" s="57" t="s">
        <v>36</v>
      </c>
      <c r="N459" s="63" t="b">
        <v>0</v>
      </c>
    </row>
    <row r="460" ht="13.5" customHeight="1">
      <c r="A460" s="80"/>
      <c r="B460" s="69" t="str">
        <f>IFS(L460=0,"",B460&lt;&gt;"",B460,TRUE,NOW())</f>
        <v/>
      </c>
      <c r="C460" s="86" t="s">
        <v>37</v>
      </c>
      <c r="D460" s="59"/>
      <c r="E460" s="93"/>
      <c r="F460" s="93"/>
      <c r="G460" s="93"/>
      <c r="H460" s="93"/>
      <c r="I460" s="93"/>
      <c r="J460" s="93"/>
      <c r="K460" s="72" t="s">
        <v>38</v>
      </c>
      <c r="L460" s="73">
        <f>L459-L458</f>
        <v>0</v>
      </c>
      <c r="M460" s="74" t="s">
        <v>39</v>
      </c>
      <c r="N460" s="75" t="b">
        <v>0</v>
      </c>
    </row>
    <row r="461" ht="13.5" customHeight="1">
      <c r="A461" s="94" t="s">
        <v>117</v>
      </c>
      <c r="B461" s="95" t="s">
        <v>20</v>
      </c>
      <c r="C461" s="96"/>
      <c r="D461" s="10"/>
      <c r="E461" s="97">
        <f t="shared" ref="E461:J461" si="126">E6</f>
        <v>17</v>
      </c>
      <c r="F461" s="97">
        <f t="shared" si="126"/>
        <v>27</v>
      </c>
      <c r="G461" s="97">
        <f t="shared" si="126"/>
        <v>27</v>
      </c>
      <c r="H461" s="97">
        <f t="shared" si="126"/>
        <v>27</v>
      </c>
      <c r="I461" s="97">
        <f t="shared" si="126"/>
        <v>32</v>
      </c>
      <c r="J461" s="97">
        <f t="shared" si="126"/>
        <v>37</v>
      </c>
      <c r="K461" s="95" t="s">
        <v>21</v>
      </c>
      <c r="L461" s="10"/>
      <c r="M461" s="98" t="s">
        <v>118</v>
      </c>
      <c r="N461" s="10"/>
    </row>
    <row r="462" ht="20.25" customHeight="1">
      <c r="A462" s="99" t="s">
        <v>23</v>
      </c>
      <c r="B462" s="100" t="s">
        <v>117</v>
      </c>
      <c r="C462" s="53" t="s">
        <v>30</v>
      </c>
      <c r="D462" s="54"/>
      <c r="E462" s="60"/>
      <c r="F462" s="60"/>
      <c r="G462" s="60"/>
      <c r="H462" s="60"/>
      <c r="I462" s="60"/>
      <c r="J462" s="60"/>
      <c r="K462" s="61" t="s">
        <v>30</v>
      </c>
      <c r="L462" s="62">
        <f>(E462*E461)+(F462*F461)+(G462*G461)+(H462*H461)+(I462*I461)+(J462*J461)</f>
        <v>0</v>
      </c>
      <c r="M462" s="57" t="s">
        <v>119</v>
      </c>
      <c r="N462" s="63" t="b">
        <v>0</v>
      </c>
    </row>
    <row r="463" ht="13.5" customHeight="1">
      <c r="A463" s="101"/>
      <c r="B463" s="59"/>
      <c r="C463" s="53" t="s">
        <v>34</v>
      </c>
      <c r="D463" s="54"/>
      <c r="E463" s="66"/>
      <c r="F463" s="66"/>
      <c r="G463" s="66"/>
      <c r="H463" s="66"/>
      <c r="I463" s="66"/>
      <c r="J463" s="66"/>
      <c r="K463" s="67" t="s">
        <v>35</v>
      </c>
      <c r="L463" s="62">
        <f>(E463*E461)+(F463*F461)+(G463*G461)+(H463*H461)+(I463*I461)+(J463*J461)</f>
        <v>0</v>
      </c>
      <c r="M463" s="57" t="s">
        <v>121</v>
      </c>
      <c r="N463" s="63" t="b">
        <v>0</v>
      </c>
    </row>
    <row r="464" ht="13.5" customHeight="1">
      <c r="A464" s="80"/>
      <c r="B464" s="102" t="s">
        <v>33</v>
      </c>
      <c r="C464" s="70" t="s">
        <v>37</v>
      </c>
      <c r="D464" s="33"/>
      <c r="E464" s="71"/>
      <c r="F464" s="71"/>
      <c r="G464" s="71"/>
      <c r="H464" s="71"/>
      <c r="I464" s="71"/>
      <c r="J464" s="71"/>
      <c r="K464" s="72" t="s">
        <v>38</v>
      </c>
      <c r="L464" s="73">
        <f>L463-L462</f>
        <v>0</v>
      </c>
      <c r="M464" s="74" t="s">
        <v>122</v>
      </c>
      <c r="N464" s="75" t="b">
        <v>0</v>
      </c>
    </row>
    <row r="465" ht="13.5" customHeight="1">
      <c r="A465" s="99" t="s">
        <v>23</v>
      </c>
      <c r="B465" s="100" t="s">
        <v>117</v>
      </c>
      <c r="C465" s="53" t="s">
        <v>30</v>
      </c>
      <c r="D465" s="54"/>
      <c r="E465" s="60"/>
      <c r="F465" s="60"/>
      <c r="G465" s="60"/>
      <c r="H465" s="60"/>
      <c r="I465" s="60"/>
      <c r="J465" s="60"/>
      <c r="K465" s="61" t="s">
        <v>30</v>
      </c>
      <c r="L465" s="62">
        <f>(E465*E461)+(F465*F461)+(G465*G461)+(H465*H461)+(I465*I461)+(J465*J461)</f>
        <v>0</v>
      </c>
      <c r="M465" s="57" t="s">
        <v>119</v>
      </c>
      <c r="N465" s="63" t="b">
        <v>0</v>
      </c>
    </row>
    <row r="466" ht="13.5" customHeight="1">
      <c r="A466" s="101" t="s">
        <v>172</v>
      </c>
      <c r="B466" s="59"/>
      <c r="C466" s="53" t="s">
        <v>34</v>
      </c>
      <c r="D466" s="54"/>
      <c r="E466" s="66"/>
      <c r="F466" s="66"/>
      <c r="G466" s="66"/>
      <c r="H466" s="66"/>
      <c r="I466" s="66"/>
      <c r="J466" s="66"/>
      <c r="K466" s="67" t="s">
        <v>35</v>
      </c>
      <c r="L466" s="62">
        <f>(E466*E461)+(F466*F461)+(G466*G461)+(H466*H461)+(I466*I461)+(J466*J461)</f>
        <v>0</v>
      </c>
      <c r="M466" s="57" t="s">
        <v>121</v>
      </c>
      <c r="N466" s="63" t="b">
        <v>0</v>
      </c>
    </row>
    <row r="467" ht="13.5" customHeight="1">
      <c r="A467" s="80"/>
      <c r="B467" s="102" t="s">
        <v>42</v>
      </c>
      <c r="C467" s="70" t="s">
        <v>37</v>
      </c>
      <c r="D467" s="33"/>
      <c r="E467" s="71"/>
      <c r="F467" s="71"/>
      <c r="G467" s="71"/>
      <c r="H467" s="71"/>
      <c r="I467" s="71"/>
      <c r="J467" s="71"/>
      <c r="K467" s="72" t="s">
        <v>38</v>
      </c>
      <c r="L467" s="73">
        <f>L466-L465</f>
        <v>0</v>
      </c>
      <c r="M467" s="74" t="s">
        <v>122</v>
      </c>
      <c r="N467" s="75" t="b">
        <v>0</v>
      </c>
    </row>
    <row r="468" ht="13.5" customHeight="1">
      <c r="A468" s="99" t="s">
        <v>23</v>
      </c>
      <c r="B468" s="100" t="s">
        <v>117</v>
      </c>
      <c r="C468" s="53" t="s">
        <v>30</v>
      </c>
      <c r="D468" s="54"/>
      <c r="E468" s="60"/>
      <c r="F468" s="60"/>
      <c r="G468" s="60"/>
      <c r="H468" s="60"/>
      <c r="I468" s="60"/>
      <c r="J468" s="60"/>
      <c r="K468" s="61" t="s">
        <v>30</v>
      </c>
      <c r="L468" s="62">
        <f>(E468*E461)+(F468*F461)+(G468*G461)+(H468*H461)+(I468*I461)+(J468*J461)</f>
        <v>0</v>
      </c>
      <c r="M468" s="57" t="s">
        <v>119</v>
      </c>
      <c r="N468" s="63" t="b">
        <v>0</v>
      </c>
    </row>
    <row r="469" ht="13.5" customHeight="1">
      <c r="A469" s="103"/>
      <c r="B469" s="59"/>
      <c r="C469" s="53" t="s">
        <v>34</v>
      </c>
      <c r="D469" s="54"/>
      <c r="E469" s="66"/>
      <c r="F469" s="66"/>
      <c r="G469" s="66"/>
      <c r="H469" s="66"/>
      <c r="I469" s="66"/>
      <c r="J469" s="66"/>
      <c r="K469" s="67" t="s">
        <v>35</v>
      </c>
      <c r="L469" s="62">
        <f>(E469*E461)+(F469*F461)+(G469*G461)+(H469*H461)+(I469*I461)+(J469*J461)</f>
        <v>0</v>
      </c>
      <c r="M469" s="57" t="s">
        <v>121</v>
      </c>
      <c r="N469" s="63" t="b">
        <v>0</v>
      </c>
    </row>
    <row r="470" ht="13.5" customHeight="1">
      <c r="A470" s="80"/>
      <c r="B470" s="102" t="s">
        <v>47</v>
      </c>
      <c r="C470" s="70" t="s">
        <v>37</v>
      </c>
      <c r="D470" s="33"/>
      <c r="E470" s="71"/>
      <c r="F470" s="71"/>
      <c r="G470" s="71"/>
      <c r="H470" s="71"/>
      <c r="I470" s="71"/>
      <c r="J470" s="71"/>
      <c r="K470" s="72" t="s">
        <v>38</v>
      </c>
      <c r="L470" s="73">
        <f>L469-L468</f>
        <v>0</v>
      </c>
      <c r="M470" s="74" t="s">
        <v>122</v>
      </c>
      <c r="N470" s="75" t="b">
        <v>0</v>
      </c>
    </row>
    <row r="471" ht="18.75" customHeight="1">
      <c r="A471" s="99" t="s">
        <v>23</v>
      </c>
      <c r="B471" s="100" t="s">
        <v>117</v>
      </c>
      <c r="C471" s="53" t="s">
        <v>30</v>
      </c>
      <c r="D471" s="54"/>
      <c r="E471" s="60"/>
      <c r="F471" s="60"/>
      <c r="G471" s="60"/>
      <c r="H471" s="60"/>
      <c r="I471" s="60"/>
      <c r="J471" s="60"/>
      <c r="K471" s="61" t="s">
        <v>30</v>
      </c>
      <c r="L471" s="62">
        <f>(E471*E461)+(F471*F461)+(G471*G461)+(H471*H461)+(I471*I461)+(J471*J461)</f>
        <v>0</v>
      </c>
      <c r="M471" s="57" t="s">
        <v>119</v>
      </c>
      <c r="N471" s="63" t="b">
        <v>0</v>
      </c>
    </row>
    <row r="472" ht="13.5" customHeight="1">
      <c r="A472" s="101" t="s">
        <v>172</v>
      </c>
      <c r="B472" s="59"/>
      <c r="C472" s="53" t="s">
        <v>34</v>
      </c>
      <c r="D472" s="54"/>
      <c r="E472" s="66"/>
      <c r="F472" s="66"/>
      <c r="G472" s="66"/>
      <c r="H472" s="66"/>
      <c r="I472" s="66"/>
      <c r="J472" s="66"/>
      <c r="K472" s="67" t="s">
        <v>35</v>
      </c>
      <c r="L472" s="62">
        <f>(E472*E461)+(F472*F461)+(G472*G461)+(H472*H461)+(I472*I461)+(J472*J461)</f>
        <v>0</v>
      </c>
      <c r="M472" s="57" t="s">
        <v>121</v>
      </c>
      <c r="N472" s="63" t="b">
        <v>0</v>
      </c>
    </row>
    <row r="473" ht="13.5" customHeight="1">
      <c r="A473" s="80"/>
      <c r="B473" s="102" t="s">
        <v>49</v>
      </c>
      <c r="C473" s="70" t="s">
        <v>37</v>
      </c>
      <c r="D473" s="33"/>
      <c r="E473" s="71"/>
      <c r="F473" s="71"/>
      <c r="G473" s="71"/>
      <c r="H473" s="71"/>
      <c r="I473" s="71"/>
      <c r="J473" s="71"/>
      <c r="K473" s="72" t="s">
        <v>38</v>
      </c>
      <c r="L473" s="73">
        <f>L472-L471</f>
        <v>0</v>
      </c>
      <c r="M473" s="74" t="s">
        <v>122</v>
      </c>
      <c r="N473" s="75" t="b">
        <v>0</v>
      </c>
    </row>
    <row r="474" ht="13.5" customHeight="1">
      <c r="A474" s="94" t="s">
        <v>123</v>
      </c>
      <c r="B474" s="95" t="s">
        <v>20</v>
      </c>
      <c r="C474" s="96"/>
      <c r="D474" s="10"/>
      <c r="E474" s="97">
        <f t="shared" ref="E474:J474" si="127">E6</f>
        <v>17</v>
      </c>
      <c r="F474" s="97">
        <f t="shared" si="127"/>
        <v>27</v>
      </c>
      <c r="G474" s="97">
        <f t="shared" si="127"/>
        <v>27</v>
      </c>
      <c r="H474" s="97">
        <f t="shared" si="127"/>
        <v>27</v>
      </c>
      <c r="I474" s="97">
        <f t="shared" si="127"/>
        <v>32</v>
      </c>
      <c r="J474" s="97">
        <f t="shared" si="127"/>
        <v>37</v>
      </c>
      <c r="K474" s="95" t="s">
        <v>21</v>
      </c>
      <c r="L474" s="10"/>
      <c r="M474" s="98" t="s">
        <v>118</v>
      </c>
      <c r="N474" s="10"/>
    </row>
    <row r="475" ht="13.5" customHeight="1">
      <c r="A475" s="99" t="s">
        <v>23</v>
      </c>
      <c r="B475" s="100" t="s">
        <v>123</v>
      </c>
      <c r="C475" s="53" t="s">
        <v>30</v>
      </c>
      <c r="D475" s="54"/>
      <c r="E475" s="60"/>
      <c r="F475" s="60"/>
      <c r="G475" s="60"/>
      <c r="H475" s="60"/>
      <c r="I475" s="60"/>
      <c r="J475" s="60"/>
      <c r="K475" s="61" t="s">
        <v>30</v>
      </c>
      <c r="L475" s="62">
        <f>(E475*E474)+(F475*F474)+(G475*G474)+(H475*H474)+(I475*I474)+(J475*J474)</f>
        <v>0</v>
      </c>
      <c r="M475" s="57" t="s">
        <v>119</v>
      </c>
      <c r="N475" s="63" t="b">
        <v>0</v>
      </c>
    </row>
    <row r="476" ht="13.5" customHeight="1">
      <c r="A476" s="103"/>
      <c r="B476" s="59"/>
      <c r="C476" s="53" t="s">
        <v>34</v>
      </c>
      <c r="D476" s="54"/>
      <c r="E476" s="66"/>
      <c r="F476" s="66"/>
      <c r="G476" s="66"/>
      <c r="H476" s="66"/>
      <c r="I476" s="66"/>
      <c r="J476" s="66"/>
      <c r="K476" s="67" t="s">
        <v>35</v>
      </c>
      <c r="L476" s="62">
        <f>(E476*E474)+(F476*F474)+(G476*G474)+(H476*H474)+(I476*I474)+(J476*J474)</f>
        <v>0</v>
      </c>
      <c r="M476" s="57" t="s">
        <v>121</v>
      </c>
      <c r="N476" s="63" t="b">
        <v>0</v>
      </c>
    </row>
    <row r="477" ht="13.5" customHeight="1">
      <c r="A477" s="80"/>
      <c r="B477" s="102" t="s">
        <v>33</v>
      </c>
      <c r="C477" s="70" t="s">
        <v>37</v>
      </c>
      <c r="D477" s="33"/>
      <c r="E477" s="71"/>
      <c r="F477" s="71"/>
      <c r="G477" s="71"/>
      <c r="H477" s="71"/>
      <c r="I477" s="71"/>
      <c r="J477" s="71"/>
      <c r="K477" s="72" t="s">
        <v>38</v>
      </c>
      <c r="L477" s="73">
        <f>L476-L475</f>
        <v>0</v>
      </c>
      <c r="M477" s="74" t="s">
        <v>122</v>
      </c>
      <c r="N477" s="75" t="b">
        <v>0</v>
      </c>
    </row>
    <row r="478" ht="15.0" customHeight="1">
      <c r="A478" s="99" t="s">
        <v>23</v>
      </c>
      <c r="B478" s="100" t="s">
        <v>123</v>
      </c>
      <c r="C478" s="53" t="s">
        <v>30</v>
      </c>
      <c r="D478" s="54"/>
      <c r="E478" s="60"/>
      <c r="F478" s="60"/>
      <c r="G478" s="60"/>
      <c r="H478" s="60"/>
      <c r="I478" s="60"/>
      <c r="J478" s="60"/>
      <c r="K478" s="61" t="s">
        <v>30</v>
      </c>
      <c r="L478" s="62">
        <f>(E478*E474)+(F478*F474)+(G478*G474)+(H478*H474)+(I478*I474)+(J478*J474)</f>
        <v>0</v>
      </c>
      <c r="M478" s="57" t="s">
        <v>119</v>
      </c>
      <c r="N478" s="63" t="b">
        <v>0</v>
      </c>
    </row>
    <row r="479" ht="13.5" customHeight="1">
      <c r="A479" s="101" t="s">
        <v>172</v>
      </c>
      <c r="B479" s="59"/>
      <c r="C479" s="53" t="s">
        <v>34</v>
      </c>
      <c r="D479" s="54"/>
      <c r="E479" s="66"/>
      <c r="F479" s="66"/>
      <c r="G479" s="66"/>
      <c r="H479" s="66"/>
      <c r="I479" s="66"/>
      <c r="J479" s="66"/>
      <c r="K479" s="67" t="s">
        <v>35</v>
      </c>
      <c r="L479" s="62">
        <f>(E479*E474)+(F479*F474)+(G479*G474)+(H479*H474)+(I479*I474)+(J479*J474)</f>
        <v>0</v>
      </c>
      <c r="M479" s="57" t="s">
        <v>121</v>
      </c>
      <c r="N479" s="63" t="b">
        <v>0</v>
      </c>
    </row>
    <row r="480" ht="13.5" customHeight="1">
      <c r="A480" s="80"/>
      <c r="B480" s="102" t="s">
        <v>42</v>
      </c>
      <c r="C480" s="70" t="s">
        <v>37</v>
      </c>
      <c r="D480" s="33"/>
      <c r="E480" s="71"/>
      <c r="F480" s="71"/>
      <c r="G480" s="71"/>
      <c r="H480" s="71"/>
      <c r="I480" s="71"/>
      <c r="J480" s="71"/>
      <c r="K480" s="72" t="s">
        <v>38</v>
      </c>
      <c r="L480" s="73">
        <f>L479-L478</f>
        <v>0</v>
      </c>
      <c r="M480" s="74" t="s">
        <v>122</v>
      </c>
      <c r="N480" s="75" t="b">
        <v>0</v>
      </c>
    </row>
    <row r="481" ht="13.5" customHeight="1">
      <c r="A481" s="99" t="s">
        <v>23</v>
      </c>
      <c r="B481" s="100" t="s">
        <v>123</v>
      </c>
      <c r="C481" s="53" t="s">
        <v>30</v>
      </c>
      <c r="D481" s="54"/>
      <c r="E481" s="60"/>
      <c r="F481" s="60"/>
      <c r="G481" s="60"/>
      <c r="H481" s="60"/>
      <c r="I481" s="60"/>
      <c r="J481" s="60"/>
      <c r="K481" s="61" t="s">
        <v>30</v>
      </c>
      <c r="L481" s="62">
        <f>(E481*E474)+(F481*F474)+(G481*G474)+(H481*H474)+(I481*I474)+(J481*J474)</f>
        <v>0</v>
      </c>
      <c r="M481" s="57" t="s">
        <v>119</v>
      </c>
      <c r="N481" s="63" t="b">
        <v>0</v>
      </c>
    </row>
    <row r="482" ht="13.5" customHeight="1">
      <c r="A482" s="103"/>
      <c r="B482" s="59"/>
      <c r="C482" s="53" t="s">
        <v>34</v>
      </c>
      <c r="D482" s="54"/>
      <c r="E482" s="66"/>
      <c r="F482" s="66"/>
      <c r="G482" s="66"/>
      <c r="H482" s="66"/>
      <c r="I482" s="66"/>
      <c r="J482" s="66"/>
      <c r="K482" s="67" t="s">
        <v>35</v>
      </c>
      <c r="L482" s="62">
        <f>(E482*E474)+(F482*F474)+(G482*G474)+(H482*H474)+(I482*I474)+(J482*J474)</f>
        <v>0</v>
      </c>
      <c r="M482" s="57" t="s">
        <v>121</v>
      </c>
      <c r="N482" s="63" t="b">
        <v>0</v>
      </c>
    </row>
    <row r="483" ht="13.5" customHeight="1">
      <c r="A483" s="80"/>
      <c r="B483" s="102" t="s">
        <v>47</v>
      </c>
      <c r="C483" s="70" t="s">
        <v>37</v>
      </c>
      <c r="D483" s="33"/>
      <c r="E483" s="71"/>
      <c r="F483" s="71"/>
      <c r="G483" s="71"/>
      <c r="H483" s="71"/>
      <c r="I483" s="71"/>
      <c r="J483" s="71"/>
      <c r="K483" s="72" t="s">
        <v>38</v>
      </c>
      <c r="L483" s="73">
        <f>L482-L481</f>
        <v>0</v>
      </c>
      <c r="M483" s="74" t="s">
        <v>122</v>
      </c>
      <c r="N483" s="75" t="b">
        <v>0</v>
      </c>
    </row>
    <row r="484" ht="13.5" customHeight="1">
      <c r="A484" s="99" t="s">
        <v>23</v>
      </c>
      <c r="B484" s="100" t="s">
        <v>123</v>
      </c>
      <c r="C484" s="53" t="s">
        <v>30</v>
      </c>
      <c r="D484" s="54"/>
      <c r="E484" s="60"/>
      <c r="F484" s="60"/>
      <c r="G484" s="60"/>
      <c r="H484" s="60"/>
      <c r="I484" s="60"/>
      <c r="J484" s="60"/>
      <c r="K484" s="61" t="s">
        <v>30</v>
      </c>
      <c r="L484" s="62">
        <f>(E484*E474)+(F484*F474)+(G484*G474)+(H484*H474)+(I484*I474)+(J484*J474)</f>
        <v>0</v>
      </c>
      <c r="M484" s="57" t="s">
        <v>119</v>
      </c>
      <c r="N484" s="63" t="b">
        <v>0</v>
      </c>
    </row>
    <row r="485" ht="13.5" customHeight="1">
      <c r="A485" s="101" t="s">
        <v>120</v>
      </c>
      <c r="B485" s="59"/>
      <c r="C485" s="53" t="s">
        <v>34</v>
      </c>
      <c r="D485" s="54"/>
      <c r="E485" s="66"/>
      <c r="F485" s="66"/>
      <c r="G485" s="66"/>
      <c r="H485" s="66"/>
      <c r="I485" s="66"/>
      <c r="J485" s="66"/>
      <c r="K485" s="67" t="s">
        <v>35</v>
      </c>
      <c r="L485" s="62">
        <f>(E485*E474)+(F485*F474)+(G485*G474)+(H485*H474)+(I485*I474)+(J485*J474)</f>
        <v>0</v>
      </c>
      <c r="M485" s="57" t="s">
        <v>121</v>
      </c>
      <c r="N485" s="63" t="b">
        <v>0</v>
      </c>
    </row>
    <row r="486" ht="13.5" customHeight="1">
      <c r="A486" s="80"/>
      <c r="B486" s="102" t="s">
        <v>49</v>
      </c>
      <c r="C486" s="70" t="s">
        <v>37</v>
      </c>
      <c r="D486" s="33"/>
      <c r="E486" s="71"/>
      <c r="F486" s="71"/>
      <c r="G486" s="71"/>
      <c r="H486" s="71"/>
      <c r="I486" s="71"/>
      <c r="J486" s="71"/>
      <c r="K486" s="72" t="s">
        <v>38</v>
      </c>
      <c r="L486" s="73">
        <f>L485-L484</f>
        <v>0</v>
      </c>
      <c r="M486" s="74" t="s">
        <v>122</v>
      </c>
      <c r="N486" s="75" t="b">
        <v>0</v>
      </c>
    </row>
    <row r="487" ht="13.5" customHeight="1">
      <c r="A487" s="94" t="s">
        <v>124</v>
      </c>
      <c r="B487" s="95" t="s">
        <v>20</v>
      </c>
      <c r="C487" s="96"/>
      <c r="D487" s="10"/>
      <c r="E487" s="97">
        <f t="shared" ref="E487:J487" si="128">E6</f>
        <v>17</v>
      </c>
      <c r="F487" s="97">
        <f t="shared" si="128"/>
        <v>27</v>
      </c>
      <c r="G487" s="97">
        <f t="shared" si="128"/>
        <v>27</v>
      </c>
      <c r="H487" s="97">
        <f t="shared" si="128"/>
        <v>27</v>
      </c>
      <c r="I487" s="97">
        <f t="shared" si="128"/>
        <v>32</v>
      </c>
      <c r="J487" s="97">
        <f t="shared" si="128"/>
        <v>37</v>
      </c>
      <c r="K487" s="95" t="s">
        <v>21</v>
      </c>
      <c r="L487" s="10"/>
      <c r="M487" s="98" t="s">
        <v>118</v>
      </c>
      <c r="N487" s="10"/>
    </row>
    <row r="488" ht="13.5" customHeight="1">
      <c r="A488" s="99" t="s">
        <v>23</v>
      </c>
      <c r="B488" s="100" t="s">
        <v>124</v>
      </c>
      <c r="C488" s="53" t="s">
        <v>30</v>
      </c>
      <c r="D488" s="54"/>
      <c r="E488" s="60"/>
      <c r="F488" s="60"/>
      <c r="G488" s="60"/>
      <c r="H488" s="60"/>
      <c r="I488" s="60"/>
      <c r="J488" s="60"/>
      <c r="K488" s="61" t="s">
        <v>30</v>
      </c>
      <c r="L488" s="62">
        <f>(E488*E487)+(F488*F487)+(G488*G487)+(H488*H487)+(I488*I487)+(J488*J487)</f>
        <v>0</v>
      </c>
      <c r="M488" s="57" t="s">
        <v>119</v>
      </c>
      <c r="N488" s="63" t="b">
        <v>0</v>
      </c>
    </row>
    <row r="489" ht="13.5" customHeight="1">
      <c r="A489" s="103"/>
      <c r="B489" s="59"/>
      <c r="C489" s="53" t="s">
        <v>34</v>
      </c>
      <c r="D489" s="54"/>
      <c r="E489" s="66"/>
      <c r="F489" s="66"/>
      <c r="G489" s="66"/>
      <c r="H489" s="66"/>
      <c r="I489" s="66"/>
      <c r="J489" s="66"/>
      <c r="K489" s="67" t="s">
        <v>35</v>
      </c>
      <c r="L489" s="62">
        <f>(E489*E487)+(F489*F487)+(G489*G487)+(H489*H487)+(I489*I487)+(J489*J487)</f>
        <v>0</v>
      </c>
      <c r="M489" s="57" t="s">
        <v>121</v>
      </c>
      <c r="N489" s="63" t="b">
        <v>0</v>
      </c>
    </row>
    <row r="490" ht="13.5" customHeight="1">
      <c r="A490" s="80"/>
      <c r="B490" s="102" t="s">
        <v>33</v>
      </c>
      <c r="C490" s="70" t="s">
        <v>37</v>
      </c>
      <c r="D490" s="33"/>
      <c r="E490" s="71"/>
      <c r="F490" s="71"/>
      <c r="G490" s="71"/>
      <c r="H490" s="71"/>
      <c r="I490" s="71"/>
      <c r="J490" s="71"/>
      <c r="K490" s="72" t="s">
        <v>38</v>
      </c>
      <c r="L490" s="73">
        <f>L489-L488</f>
        <v>0</v>
      </c>
      <c r="M490" s="74" t="s">
        <v>122</v>
      </c>
      <c r="N490" s="75" t="b">
        <v>0</v>
      </c>
    </row>
    <row r="491" ht="13.5" customHeight="1">
      <c r="A491" s="99" t="s">
        <v>23</v>
      </c>
      <c r="B491" s="100" t="s">
        <v>124</v>
      </c>
      <c r="C491" s="53" t="s">
        <v>30</v>
      </c>
      <c r="D491" s="54"/>
      <c r="E491" s="60"/>
      <c r="F491" s="60"/>
      <c r="G491" s="60"/>
      <c r="H491" s="60"/>
      <c r="I491" s="60"/>
      <c r="J491" s="60"/>
      <c r="K491" s="61" t="s">
        <v>30</v>
      </c>
      <c r="L491" s="62">
        <f>(E491*E487)+(F491*F487)+(G491*G487)+(H491*H487)+(I491*I487)+(J491*J487)</f>
        <v>0</v>
      </c>
      <c r="M491" s="57" t="s">
        <v>119</v>
      </c>
      <c r="N491" s="63" t="b">
        <v>0</v>
      </c>
    </row>
    <row r="492" ht="13.5" customHeight="1">
      <c r="A492" s="101" t="s">
        <v>171</v>
      </c>
      <c r="B492" s="59"/>
      <c r="C492" s="53" t="s">
        <v>34</v>
      </c>
      <c r="D492" s="54"/>
      <c r="E492" s="66"/>
      <c r="F492" s="66"/>
      <c r="G492" s="66"/>
      <c r="H492" s="66"/>
      <c r="I492" s="66"/>
      <c r="J492" s="66"/>
      <c r="K492" s="67" t="s">
        <v>35</v>
      </c>
      <c r="L492" s="62">
        <f>(E492*E487)+(F492*F487)+(G492*G487)+(H492*H487)+(I492*I487)+(J492*J487)</f>
        <v>0</v>
      </c>
      <c r="M492" s="57" t="s">
        <v>121</v>
      </c>
      <c r="N492" s="63" t="b">
        <v>0</v>
      </c>
    </row>
    <row r="493" ht="13.5" customHeight="1">
      <c r="A493" s="80"/>
      <c r="B493" s="102" t="s">
        <v>42</v>
      </c>
      <c r="C493" s="70" t="s">
        <v>37</v>
      </c>
      <c r="D493" s="33"/>
      <c r="E493" s="71"/>
      <c r="F493" s="71"/>
      <c r="G493" s="71"/>
      <c r="H493" s="71"/>
      <c r="I493" s="71"/>
      <c r="J493" s="71"/>
      <c r="K493" s="72" t="s">
        <v>38</v>
      </c>
      <c r="L493" s="73">
        <f>L492-L491</f>
        <v>0</v>
      </c>
      <c r="M493" s="74" t="s">
        <v>122</v>
      </c>
      <c r="N493" s="75" t="b">
        <v>0</v>
      </c>
    </row>
    <row r="494" ht="15.0" customHeight="1">
      <c r="A494" s="99" t="s">
        <v>23</v>
      </c>
      <c r="B494" s="100" t="s">
        <v>124</v>
      </c>
      <c r="C494" s="53" t="s">
        <v>30</v>
      </c>
      <c r="D494" s="54"/>
      <c r="E494" s="60"/>
      <c r="F494" s="60"/>
      <c r="G494" s="60"/>
      <c r="H494" s="60"/>
      <c r="I494" s="60"/>
      <c r="J494" s="60"/>
      <c r="K494" s="61" t="s">
        <v>30</v>
      </c>
      <c r="L494" s="62">
        <f>(E494*E487)+(F494*F487)+(G494*G487)+(H494*H487)+(I494*I487)+(J494*J487)</f>
        <v>0</v>
      </c>
      <c r="M494" s="57" t="s">
        <v>119</v>
      </c>
      <c r="N494" s="63" t="b">
        <v>0</v>
      </c>
    </row>
    <row r="495" ht="13.5" customHeight="1">
      <c r="A495" s="103"/>
      <c r="B495" s="59"/>
      <c r="C495" s="53" t="s">
        <v>34</v>
      </c>
      <c r="D495" s="54"/>
      <c r="E495" s="66"/>
      <c r="F495" s="66"/>
      <c r="G495" s="66"/>
      <c r="H495" s="66"/>
      <c r="I495" s="66"/>
      <c r="J495" s="66"/>
      <c r="K495" s="67" t="s">
        <v>35</v>
      </c>
      <c r="L495" s="62">
        <f>(E495*E487)+(F495*F487)+(G495*G487)+(H495*H487)+(I495*I487)+(J495*J487)</f>
        <v>0</v>
      </c>
      <c r="M495" s="57" t="s">
        <v>121</v>
      </c>
      <c r="N495" s="63" t="b">
        <v>0</v>
      </c>
    </row>
    <row r="496" ht="13.5" customHeight="1">
      <c r="A496" s="80"/>
      <c r="B496" s="102" t="s">
        <v>47</v>
      </c>
      <c r="C496" s="70" t="s">
        <v>37</v>
      </c>
      <c r="D496" s="33"/>
      <c r="E496" s="71"/>
      <c r="F496" s="71"/>
      <c r="G496" s="71"/>
      <c r="H496" s="71"/>
      <c r="I496" s="71"/>
      <c r="J496" s="71"/>
      <c r="K496" s="72" t="s">
        <v>38</v>
      </c>
      <c r="L496" s="73">
        <f>L495-L494</f>
        <v>0</v>
      </c>
      <c r="M496" s="74" t="s">
        <v>122</v>
      </c>
      <c r="N496" s="75" t="b">
        <v>0</v>
      </c>
    </row>
    <row r="497" ht="13.5" customHeight="1">
      <c r="A497" s="99" t="s">
        <v>23</v>
      </c>
      <c r="B497" s="100" t="s">
        <v>124</v>
      </c>
      <c r="C497" s="53" t="s">
        <v>30</v>
      </c>
      <c r="D497" s="54"/>
      <c r="E497" s="60"/>
      <c r="F497" s="60"/>
      <c r="G497" s="60"/>
      <c r="H497" s="60"/>
      <c r="I497" s="60"/>
      <c r="J497" s="60"/>
      <c r="K497" s="61" t="s">
        <v>30</v>
      </c>
      <c r="L497" s="62">
        <f>(E497*E487)+(F497*F487)+(G497*G487)+(H497*H487)+(I497*I487)+(J497*J487)</f>
        <v>0</v>
      </c>
      <c r="M497" s="57" t="s">
        <v>119</v>
      </c>
      <c r="N497" s="63" t="b">
        <v>0</v>
      </c>
    </row>
    <row r="498" ht="13.5" customHeight="1">
      <c r="A498" s="101" t="s">
        <v>189</v>
      </c>
      <c r="B498" s="59"/>
      <c r="C498" s="53" t="s">
        <v>34</v>
      </c>
      <c r="D498" s="54"/>
      <c r="E498" s="66"/>
      <c r="F498" s="66"/>
      <c r="G498" s="66"/>
      <c r="H498" s="66"/>
      <c r="I498" s="66"/>
      <c r="J498" s="66"/>
      <c r="K498" s="67" t="s">
        <v>35</v>
      </c>
      <c r="L498" s="62">
        <f>(E498*E487)+(F498*F487)+(G498*G487)+(H498*H487)+(I498*I487)+(J498*J487)</f>
        <v>0</v>
      </c>
      <c r="M498" s="57" t="s">
        <v>121</v>
      </c>
      <c r="N498" s="63" t="b">
        <v>0</v>
      </c>
    </row>
    <row r="499" ht="13.5" customHeight="1">
      <c r="A499" s="80"/>
      <c r="B499" s="102" t="s">
        <v>49</v>
      </c>
      <c r="C499" s="70" t="s">
        <v>37</v>
      </c>
      <c r="D499" s="33"/>
      <c r="E499" s="71"/>
      <c r="F499" s="71"/>
      <c r="G499" s="71"/>
      <c r="H499" s="71"/>
      <c r="I499" s="71"/>
      <c r="J499" s="71"/>
      <c r="K499" s="72" t="s">
        <v>38</v>
      </c>
      <c r="L499" s="73">
        <f>L498-L497</f>
        <v>0</v>
      </c>
      <c r="M499" s="74" t="s">
        <v>122</v>
      </c>
      <c r="N499" s="75" t="b">
        <v>0</v>
      </c>
    </row>
    <row r="500" ht="18.75" customHeight="1">
      <c r="A500" s="94" t="s">
        <v>125</v>
      </c>
      <c r="B500" s="95" t="s">
        <v>20</v>
      </c>
      <c r="C500" s="96"/>
      <c r="D500" s="10"/>
      <c r="E500" s="97">
        <f t="shared" ref="E500:J500" si="129">E6</f>
        <v>17</v>
      </c>
      <c r="F500" s="97">
        <f t="shared" si="129"/>
        <v>27</v>
      </c>
      <c r="G500" s="97">
        <f t="shared" si="129"/>
        <v>27</v>
      </c>
      <c r="H500" s="97">
        <f t="shared" si="129"/>
        <v>27</v>
      </c>
      <c r="I500" s="97">
        <f t="shared" si="129"/>
        <v>32</v>
      </c>
      <c r="J500" s="97">
        <f t="shared" si="129"/>
        <v>37</v>
      </c>
      <c r="K500" s="95" t="s">
        <v>21</v>
      </c>
      <c r="L500" s="10"/>
      <c r="M500" s="98" t="s">
        <v>118</v>
      </c>
      <c r="N500" s="10"/>
    </row>
    <row r="501" ht="13.5" customHeight="1">
      <c r="A501" s="99" t="s">
        <v>23</v>
      </c>
      <c r="B501" s="100" t="s">
        <v>125</v>
      </c>
      <c r="C501" s="53" t="s">
        <v>30</v>
      </c>
      <c r="D501" s="54"/>
      <c r="E501" s="60"/>
      <c r="F501" s="60"/>
      <c r="G501" s="60"/>
      <c r="H501" s="60"/>
      <c r="I501" s="60"/>
      <c r="J501" s="60"/>
      <c r="K501" s="61" t="s">
        <v>30</v>
      </c>
      <c r="L501" s="62">
        <f>(E501*E500)+(F501*F500)+(G501*G500)+(H501*H500)+(I501*I500)+(J501*J500)</f>
        <v>0</v>
      </c>
      <c r="M501" s="57" t="s">
        <v>119</v>
      </c>
      <c r="N501" s="63" t="b">
        <v>0</v>
      </c>
    </row>
    <row r="502" ht="13.5" customHeight="1">
      <c r="A502" s="103"/>
      <c r="B502" s="59"/>
      <c r="C502" s="53" t="s">
        <v>34</v>
      </c>
      <c r="D502" s="54"/>
      <c r="E502" s="66"/>
      <c r="F502" s="66"/>
      <c r="G502" s="66"/>
      <c r="H502" s="66"/>
      <c r="I502" s="66"/>
      <c r="J502" s="66"/>
      <c r="K502" s="67" t="s">
        <v>35</v>
      </c>
      <c r="L502" s="62">
        <f>(E502*E500)+(F502*F500)+(G502*G500)+(H502*H500)+(I502*I500)+(J502*J500)</f>
        <v>0</v>
      </c>
      <c r="M502" s="57" t="s">
        <v>121</v>
      </c>
      <c r="N502" s="63" t="b">
        <v>0</v>
      </c>
    </row>
    <row r="503" ht="17.25" customHeight="1">
      <c r="A503" s="80"/>
      <c r="B503" s="102" t="s">
        <v>33</v>
      </c>
      <c r="C503" s="70" t="s">
        <v>37</v>
      </c>
      <c r="D503" s="33"/>
      <c r="E503" s="71"/>
      <c r="F503" s="71"/>
      <c r="G503" s="71"/>
      <c r="H503" s="71"/>
      <c r="I503" s="71"/>
      <c r="J503" s="71"/>
      <c r="K503" s="72" t="s">
        <v>38</v>
      </c>
      <c r="L503" s="73">
        <f>L502-L501</f>
        <v>0</v>
      </c>
      <c r="M503" s="74" t="s">
        <v>122</v>
      </c>
      <c r="N503" s="75" t="b">
        <v>0</v>
      </c>
    </row>
    <row r="504" ht="13.5" customHeight="1">
      <c r="A504" s="99" t="s">
        <v>23</v>
      </c>
      <c r="B504" s="100" t="s">
        <v>125</v>
      </c>
      <c r="C504" s="53" t="s">
        <v>30</v>
      </c>
      <c r="D504" s="54"/>
      <c r="E504" s="60"/>
      <c r="F504" s="60"/>
      <c r="G504" s="60"/>
      <c r="H504" s="60"/>
      <c r="I504" s="60"/>
      <c r="J504" s="60"/>
      <c r="K504" s="61" t="s">
        <v>30</v>
      </c>
      <c r="L504" s="62">
        <f>(E504*E500)+(F504*F500)+(G504*G500)+(H504*H500)+(I504*I500)+(J504*J500)</f>
        <v>0</v>
      </c>
      <c r="M504" s="57" t="s">
        <v>119</v>
      </c>
      <c r="N504" s="63" t="b">
        <v>0</v>
      </c>
    </row>
    <row r="505" ht="13.5" customHeight="1">
      <c r="A505" s="101" t="s">
        <v>190</v>
      </c>
      <c r="B505" s="59"/>
      <c r="C505" s="53" t="s">
        <v>34</v>
      </c>
      <c r="D505" s="54"/>
      <c r="E505" s="66"/>
      <c r="F505" s="66"/>
      <c r="G505" s="66"/>
      <c r="H505" s="66"/>
      <c r="I505" s="66"/>
      <c r="J505" s="66"/>
      <c r="K505" s="67" t="s">
        <v>35</v>
      </c>
      <c r="L505" s="62">
        <f>(E505*E500)+(F505*F500)+(G505*G500)+(H505*H500)+(I505*I500)+(J505*J500)</f>
        <v>0</v>
      </c>
      <c r="M505" s="57" t="s">
        <v>121</v>
      </c>
      <c r="N505" s="63" t="b">
        <v>0</v>
      </c>
    </row>
    <row r="506" ht="13.5" customHeight="1">
      <c r="A506" s="80"/>
      <c r="B506" s="102" t="s">
        <v>42</v>
      </c>
      <c r="C506" s="70" t="s">
        <v>37</v>
      </c>
      <c r="D506" s="33"/>
      <c r="E506" s="71"/>
      <c r="F506" s="71"/>
      <c r="G506" s="71"/>
      <c r="H506" s="71"/>
      <c r="I506" s="71"/>
      <c r="J506" s="71"/>
      <c r="K506" s="72" t="s">
        <v>38</v>
      </c>
      <c r="L506" s="73">
        <f>L505-L504</f>
        <v>0</v>
      </c>
      <c r="M506" s="74" t="s">
        <v>122</v>
      </c>
      <c r="N506" s="75" t="b">
        <v>0</v>
      </c>
    </row>
    <row r="507" ht="13.5" customHeight="1">
      <c r="A507" s="99" t="s">
        <v>23</v>
      </c>
      <c r="B507" s="100" t="s">
        <v>125</v>
      </c>
      <c r="C507" s="53" t="s">
        <v>30</v>
      </c>
      <c r="D507" s="54"/>
      <c r="E507" s="60"/>
      <c r="F507" s="60"/>
      <c r="G507" s="60"/>
      <c r="H507" s="60"/>
      <c r="I507" s="60"/>
      <c r="J507" s="60"/>
      <c r="K507" s="61" t="s">
        <v>30</v>
      </c>
      <c r="L507" s="62">
        <f>(E507*E500)+(F507*F500)+(G507*G500)+(H507*H500)+(I507*I500)+(J507*J500)</f>
        <v>0</v>
      </c>
      <c r="M507" s="57" t="s">
        <v>119</v>
      </c>
      <c r="N507" s="63" t="b">
        <v>0</v>
      </c>
    </row>
    <row r="508" ht="13.5" customHeight="1">
      <c r="A508" s="103"/>
      <c r="B508" s="59"/>
      <c r="C508" s="53" t="s">
        <v>34</v>
      </c>
      <c r="D508" s="54"/>
      <c r="E508" s="66"/>
      <c r="F508" s="66"/>
      <c r="G508" s="66"/>
      <c r="H508" s="66"/>
      <c r="I508" s="66"/>
      <c r="J508" s="66"/>
      <c r="K508" s="67" t="s">
        <v>35</v>
      </c>
      <c r="L508" s="62">
        <f>(E508*E500)+(F508*F500)+(G508*G500)+(H508*H500)+(I508*I500)+(J508*J500)</f>
        <v>0</v>
      </c>
      <c r="M508" s="57" t="s">
        <v>121</v>
      </c>
      <c r="N508" s="63" t="b">
        <v>0</v>
      </c>
    </row>
    <row r="509" ht="13.5" customHeight="1">
      <c r="A509" s="80"/>
      <c r="B509" s="102" t="s">
        <v>47</v>
      </c>
      <c r="C509" s="70" t="s">
        <v>37</v>
      </c>
      <c r="D509" s="33"/>
      <c r="E509" s="71"/>
      <c r="F509" s="71"/>
      <c r="G509" s="71"/>
      <c r="H509" s="71"/>
      <c r="I509" s="71"/>
      <c r="J509" s="71"/>
      <c r="K509" s="72" t="s">
        <v>38</v>
      </c>
      <c r="L509" s="73">
        <f>L508-L507</f>
        <v>0</v>
      </c>
      <c r="M509" s="74" t="s">
        <v>122</v>
      </c>
      <c r="N509" s="75" t="b">
        <v>0</v>
      </c>
    </row>
    <row r="510" ht="18.75" customHeight="1">
      <c r="A510" s="99" t="s">
        <v>23</v>
      </c>
      <c r="B510" s="100" t="s">
        <v>125</v>
      </c>
      <c r="C510" s="53" t="s">
        <v>30</v>
      </c>
      <c r="D510" s="54"/>
      <c r="E510" s="60"/>
      <c r="F510" s="60"/>
      <c r="G510" s="60"/>
      <c r="H510" s="60"/>
      <c r="I510" s="60"/>
      <c r="J510" s="60"/>
      <c r="K510" s="61" t="s">
        <v>30</v>
      </c>
      <c r="L510" s="62">
        <f>(E510*E500)+(F510*F500)+(G510*G500)+(H510*H500)+(I510*I500)+(J510*J500)</f>
        <v>0</v>
      </c>
      <c r="M510" s="57" t="s">
        <v>119</v>
      </c>
      <c r="N510" s="63" t="b">
        <v>0</v>
      </c>
    </row>
    <row r="511" ht="13.5" customHeight="1">
      <c r="A511" s="103"/>
      <c r="B511" s="59"/>
      <c r="C511" s="53" t="s">
        <v>34</v>
      </c>
      <c r="D511" s="54"/>
      <c r="E511" s="66"/>
      <c r="F511" s="66"/>
      <c r="G511" s="66"/>
      <c r="H511" s="66"/>
      <c r="I511" s="66"/>
      <c r="J511" s="66"/>
      <c r="K511" s="67" t="s">
        <v>35</v>
      </c>
      <c r="L511" s="62">
        <f>(E511*E500)+(F511*F500)+(G511*G500)+(H511*H500)+(I511*I500)+(J511*J500)</f>
        <v>0</v>
      </c>
      <c r="M511" s="57" t="s">
        <v>121</v>
      </c>
      <c r="N511" s="63" t="b">
        <v>0</v>
      </c>
    </row>
    <row r="512" ht="13.5" customHeight="1">
      <c r="A512" s="80"/>
      <c r="B512" s="102" t="s">
        <v>49</v>
      </c>
      <c r="C512" s="70" t="s">
        <v>37</v>
      </c>
      <c r="D512" s="33"/>
      <c r="E512" s="71"/>
      <c r="F512" s="71"/>
      <c r="G512" s="71"/>
      <c r="H512" s="71"/>
      <c r="I512" s="71"/>
      <c r="J512" s="71"/>
      <c r="K512" s="72" t="s">
        <v>38</v>
      </c>
      <c r="L512" s="73">
        <f>L511-L510</f>
        <v>0</v>
      </c>
      <c r="M512" s="74" t="s">
        <v>122</v>
      </c>
      <c r="N512" s="75" t="b">
        <v>0</v>
      </c>
    </row>
    <row r="513" ht="13.5" customHeight="1">
      <c r="A513" s="94" t="s">
        <v>126</v>
      </c>
      <c r="B513" s="95" t="s">
        <v>20</v>
      </c>
      <c r="C513" s="96"/>
      <c r="D513" s="10"/>
      <c r="E513" s="97">
        <f t="shared" ref="E513:J513" si="130">E6</f>
        <v>17</v>
      </c>
      <c r="F513" s="97">
        <f t="shared" si="130"/>
        <v>27</v>
      </c>
      <c r="G513" s="97">
        <f t="shared" si="130"/>
        <v>27</v>
      </c>
      <c r="H513" s="97">
        <f t="shared" si="130"/>
        <v>27</v>
      </c>
      <c r="I513" s="97">
        <f t="shared" si="130"/>
        <v>32</v>
      </c>
      <c r="J513" s="97">
        <f t="shared" si="130"/>
        <v>37</v>
      </c>
      <c r="K513" s="95" t="s">
        <v>21</v>
      </c>
      <c r="L513" s="10"/>
      <c r="M513" s="98" t="s">
        <v>118</v>
      </c>
      <c r="N513" s="10"/>
    </row>
    <row r="514" ht="13.5" customHeight="1">
      <c r="A514" s="99" t="s">
        <v>23</v>
      </c>
      <c r="B514" s="100" t="s">
        <v>126</v>
      </c>
      <c r="C514" s="53" t="s">
        <v>30</v>
      </c>
      <c r="D514" s="54"/>
      <c r="E514" s="60"/>
      <c r="F514" s="60"/>
      <c r="G514" s="60"/>
      <c r="H514" s="60"/>
      <c r="I514" s="60"/>
      <c r="J514" s="60"/>
      <c r="K514" s="61" t="s">
        <v>30</v>
      </c>
      <c r="L514" s="62">
        <f>(E514*E513)+(F514*F513)+(G514*G513)+(H514*H513)+(I514*I513)+(J514*J513)</f>
        <v>0</v>
      </c>
      <c r="M514" s="57" t="s">
        <v>119</v>
      </c>
      <c r="N514" s="63" t="b">
        <v>0</v>
      </c>
    </row>
    <row r="515" ht="15.0" customHeight="1">
      <c r="A515" s="103"/>
      <c r="B515" s="59"/>
      <c r="C515" s="53" t="s">
        <v>34</v>
      </c>
      <c r="D515" s="54"/>
      <c r="E515" s="66"/>
      <c r="F515" s="66"/>
      <c r="G515" s="66"/>
      <c r="H515" s="66"/>
      <c r="I515" s="66"/>
      <c r="J515" s="66"/>
      <c r="K515" s="67" t="s">
        <v>35</v>
      </c>
      <c r="L515" s="62">
        <f>(E515*E513)+(F515*F513)+(G515*G513)+(H515*H513)+(I515*I513)+(J515*J513)</f>
        <v>0</v>
      </c>
      <c r="M515" s="57" t="s">
        <v>121</v>
      </c>
      <c r="N515" s="63" t="b">
        <v>0</v>
      </c>
    </row>
    <row r="516" ht="13.5" customHeight="1">
      <c r="A516" s="80"/>
      <c r="B516" s="102" t="s">
        <v>33</v>
      </c>
      <c r="C516" s="70" t="s">
        <v>37</v>
      </c>
      <c r="D516" s="33"/>
      <c r="E516" s="71"/>
      <c r="F516" s="71"/>
      <c r="G516" s="71"/>
      <c r="H516" s="71"/>
      <c r="I516" s="71"/>
      <c r="J516" s="71"/>
      <c r="K516" s="72" t="s">
        <v>38</v>
      </c>
      <c r="L516" s="73">
        <f>L515-L514</f>
        <v>0</v>
      </c>
      <c r="M516" s="74" t="s">
        <v>122</v>
      </c>
      <c r="N516" s="75" t="b">
        <v>0</v>
      </c>
    </row>
    <row r="517" ht="13.5" customHeight="1">
      <c r="A517" s="99" t="s">
        <v>23</v>
      </c>
      <c r="B517" s="100" t="s">
        <v>126</v>
      </c>
      <c r="C517" s="53" t="s">
        <v>30</v>
      </c>
      <c r="D517" s="54"/>
      <c r="E517" s="60"/>
      <c r="F517" s="60"/>
      <c r="G517" s="60"/>
      <c r="H517" s="60"/>
      <c r="I517" s="60"/>
      <c r="J517" s="60"/>
      <c r="K517" s="61" t="s">
        <v>30</v>
      </c>
      <c r="L517" s="62">
        <f>(E517*E513)+(F517*F513)+(G517*G513)+(H517*H513)+(I517*I513)+(J517*J513)</f>
        <v>0</v>
      </c>
      <c r="M517" s="57" t="s">
        <v>119</v>
      </c>
      <c r="N517" s="63" t="b">
        <v>0</v>
      </c>
    </row>
    <row r="518" ht="13.5" customHeight="1">
      <c r="A518" s="101" t="s">
        <v>191</v>
      </c>
      <c r="B518" s="59"/>
      <c r="C518" s="53" t="s">
        <v>34</v>
      </c>
      <c r="D518" s="54"/>
      <c r="E518" s="66"/>
      <c r="F518" s="66"/>
      <c r="G518" s="66"/>
      <c r="H518" s="66"/>
      <c r="I518" s="66"/>
      <c r="J518" s="66"/>
      <c r="K518" s="67" t="s">
        <v>35</v>
      </c>
      <c r="L518" s="62">
        <f>(E518*E513)+(F518*F513)+(G518*G513)+(H518*H513)+(I518*I513)+(J518*J513)</f>
        <v>0</v>
      </c>
      <c r="M518" s="57" t="s">
        <v>121</v>
      </c>
      <c r="N518" s="63" t="b">
        <v>0</v>
      </c>
    </row>
    <row r="519" ht="20.25" customHeight="1">
      <c r="A519" s="80"/>
      <c r="B519" s="102" t="s">
        <v>42</v>
      </c>
      <c r="C519" s="70" t="s">
        <v>37</v>
      </c>
      <c r="D519" s="33"/>
      <c r="E519" s="71"/>
      <c r="F519" s="71"/>
      <c r="G519" s="71"/>
      <c r="H519" s="71"/>
      <c r="I519" s="71"/>
      <c r="J519" s="71"/>
      <c r="K519" s="72" t="s">
        <v>38</v>
      </c>
      <c r="L519" s="73">
        <f>L518-L517</f>
        <v>0</v>
      </c>
      <c r="M519" s="74" t="s">
        <v>122</v>
      </c>
      <c r="N519" s="75" t="b">
        <v>0</v>
      </c>
    </row>
    <row r="520" ht="13.5" customHeight="1">
      <c r="A520" s="99" t="s">
        <v>23</v>
      </c>
      <c r="B520" s="100" t="s">
        <v>126</v>
      </c>
      <c r="C520" s="53" t="s">
        <v>30</v>
      </c>
      <c r="D520" s="54"/>
      <c r="E520" s="60"/>
      <c r="F520" s="60"/>
      <c r="G520" s="60"/>
      <c r="H520" s="60"/>
      <c r="I520" s="60"/>
      <c r="J520" s="60"/>
      <c r="K520" s="61" t="s">
        <v>30</v>
      </c>
      <c r="L520" s="62">
        <f>(E520*E513)+(F520*F513)+(G520*G513)+(H520*H513)+(I520*I513)+(J520*J513)</f>
        <v>0</v>
      </c>
      <c r="M520" s="57" t="s">
        <v>119</v>
      </c>
      <c r="N520" s="63" t="b">
        <v>0</v>
      </c>
    </row>
    <row r="521" ht="13.5" customHeight="1">
      <c r="A521" s="103"/>
      <c r="B521" s="59"/>
      <c r="C521" s="53" t="s">
        <v>34</v>
      </c>
      <c r="D521" s="54"/>
      <c r="E521" s="66"/>
      <c r="F521" s="66"/>
      <c r="G521" s="66"/>
      <c r="H521" s="66"/>
      <c r="I521" s="66"/>
      <c r="J521" s="66"/>
      <c r="K521" s="67" t="s">
        <v>35</v>
      </c>
      <c r="L521" s="62">
        <f>(E521*E513)+(F521*F513)+(G521*G513)+(H521*H513)+(I521*I513)+(J521*J513)</f>
        <v>0</v>
      </c>
      <c r="M521" s="57" t="s">
        <v>121</v>
      </c>
      <c r="N521" s="63" t="b">
        <v>0</v>
      </c>
    </row>
    <row r="522" ht="13.5" customHeight="1">
      <c r="A522" s="80"/>
      <c r="B522" s="102" t="s">
        <v>47</v>
      </c>
      <c r="C522" s="70" t="s">
        <v>37</v>
      </c>
      <c r="D522" s="33"/>
      <c r="E522" s="71"/>
      <c r="F522" s="71"/>
      <c r="G522" s="71"/>
      <c r="H522" s="71"/>
      <c r="I522" s="71"/>
      <c r="J522" s="71"/>
      <c r="K522" s="72" t="s">
        <v>38</v>
      </c>
      <c r="L522" s="73">
        <f>L521-L520</f>
        <v>0</v>
      </c>
      <c r="M522" s="74" t="s">
        <v>122</v>
      </c>
      <c r="N522" s="75" t="b">
        <v>0</v>
      </c>
    </row>
    <row r="523" ht="13.5" customHeight="1">
      <c r="A523" s="99" t="s">
        <v>23</v>
      </c>
      <c r="B523" s="100" t="s">
        <v>126</v>
      </c>
      <c r="C523" s="53" t="s">
        <v>30</v>
      </c>
      <c r="D523" s="54"/>
      <c r="E523" s="60"/>
      <c r="F523" s="60"/>
      <c r="G523" s="60"/>
      <c r="H523" s="60"/>
      <c r="I523" s="60"/>
      <c r="J523" s="60"/>
      <c r="K523" s="61" t="s">
        <v>30</v>
      </c>
      <c r="L523" s="62">
        <f>(E523*E513)+(F523*F513)+(G523*G513)+(H523*H513)+(I523*I513)+(J523*J513)</f>
        <v>0</v>
      </c>
      <c r="M523" s="57" t="s">
        <v>119</v>
      </c>
      <c r="N523" s="63" t="b">
        <v>0</v>
      </c>
    </row>
    <row r="524" ht="13.5" customHeight="1">
      <c r="A524" s="103"/>
      <c r="B524" s="59"/>
      <c r="C524" s="53" t="s">
        <v>34</v>
      </c>
      <c r="D524" s="54"/>
      <c r="E524" s="66"/>
      <c r="F524" s="66"/>
      <c r="G524" s="66"/>
      <c r="H524" s="66"/>
      <c r="I524" s="66"/>
      <c r="J524" s="66"/>
      <c r="K524" s="67" t="s">
        <v>35</v>
      </c>
      <c r="L524" s="62">
        <f>(E524*E513)+(F524*F513)+(G524*G513)+(H524*H513)+(I524*I513)+(J524*J513)</f>
        <v>0</v>
      </c>
      <c r="M524" s="57" t="s">
        <v>121</v>
      </c>
      <c r="N524" s="63" t="b">
        <v>0</v>
      </c>
    </row>
    <row r="525" ht="13.5" customHeight="1">
      <c r="A525" s="80"/>
      <c r="B525" s="102" t="s">
        <v>49</v>
      </c>
      <c r="C525" s="70" t="s">
        <v>37</v>
      </c>
      <c r="D525" s="33"/>
      <c r="E525" s="71"/>
      <c r="F525" s="71"/>
      <c r="G525" s="71"/>
      <c r="H525" s="71"/>
      <c r="I525" s="71"/>
      <c r="J525" s="71"/>
      <c r="K525" s="72" t="s">
        <v>38</v>
      </c>
      <c r="L525" s="73">
        <f>L524-L523</f>
        <v>0</v>
      </c>
      <c r="M525" s="74" t="s">
        <v>122</v>
      </c>
      <c r="N525" s="75" t="b">
        <v>0</v>
      </c>
    </row>
    <row r="526" ht="13.5" customHeight="1">
      <c r="A526" s="94" t="s">
        <v>127</v>
      </c>
      <c r="B526" s="95" t="s">
        <v>20</v>
      </c>
      <c r="C526" s="96"/>
      <c r="D526" s="10"/>
      <c r="E526" s="97">
        <f t="shared" ref="E526:J526" si="131">E6</f>
        <v>17</v>
      </c>
      <c r="F526" s="97">
        <f t="shared" si="131"/>
        <v>27</v>
      </c>
      <c r="G526" s="97">
        <f t="shared" si="131"/>
        <v>27</v>
      </c>
      <c r="H526" s="97">
        <f t="shared" si="131"/>
        <v>27</v>
      </c>
      <c r="I526" s="97">
        <f t="shared" si="131"/>
        <v>32</v>
      </c>
      <c r="J526" s="97">
        <f t="shared" si="131"/>
        <v>37</v>
      </c>
      <c r="K526" s="95" t="s">
        <v>21</v>
      </c>
      <c r="L526" s="10"/>
      <c r="M526" s="98" t="s">
        <v>118</v>
      </c>
      <c r="N526" s="10"/>
    </row>
    <row r="527" ht="13.5" customHeight="1">
      <c r="A527" s="99" t="s">
        <v>23</v>
      </c>
      <c r="B527" s="100" t="s">
        <v>127</v>
      </c>
      <c r="C527" s="53" t="s">
        <v>30</v>
      </c>
      <c r="D527" s="54"/>
      <c r="E527" s="60"/>
      <c r="F527" s="60"/>
      <c r="G527" s="60"/>
      <c r="H527" s="60"/>
      <c r="I527" s="60"/>
      <c r="J527" s="60"/>
      <c r="K527" s="61" t="s">
        <v>30</v>
      </c>
      <c r="L527" s="62">
        <f>(E527*E526)+(F527*F526)+(G527*G526)+(H527*H526)+(I527*I526)+(J527*J526)</f>
        <v>0</v>
      </c>
      <c r="M527" s="57" t="s">
        <v>119</v>
      </c>
      <c r="N527" s="63" t="b">
        <v>0</v>
      </c>
    </row>
    <row r="528" ht="13.5" customHeight="1">
      <c r="A528" s="103"/>
      <c r="B528" s="59"/>
      <c r="C528" s="53" t="s">
        <v>34</v>
      </c>
      <c r="D528" s="54"/>
      <c r="E528" s="66"/>
      <c r="F528" s="66"/>
      <c r="G528" s="66"/>
      <c r="H528" s="66"/>
      <c r="I528" s="66"/>
      <c r="J528" s="66"/>
      <c r="K528" s="67" t="s">
        <v>35</v>
      </c>
      <c r="L528" s="62">
        <f>(E528*E526)+(F528*F526)+(G528*G526)+(H528*H526)+(I528*I526)+(J528*J526)</f>
        <v>0</v>
      </c>
      <c r="M528" s="57" t="s">
        <v>121</v>
      </c>
      <c r="N528" s="63" t="b">
        <v>0</v>
      </c>
    </row>
    <row r="529" ht="13.5" customHeight="1">
      <c r="A529" s="80"/>
      <c r="B529" s="102" t="s">
        <v>33</v>
      </c>
      <c r="C529" s="70" t="s">
        <v>37</v>
      </c>
      <c r="D529" s="33"/>
      <c r="E529" s="71"/>
      <c r="F529" s="71"/>
      <c r="G529" s="71"/>
      <c r="H529" s="71"/>
      <c r="I529" s="71"/>
      <c r="J529" s="71"/>
      <c r="K529" s="72" t="s">
        <v>38</v>
      </c>
      <c r="L529" s="73">
        <f>L528-L527</f>
        <v>0</v>
      </c>
      <c r="M529" s="74" t="s">
        <v>122</v>
      </c>
      <c r="N529" s="75" t="b">
        <v>0</v>
      </c>
    </row>
    <row r="530" ht="13.5" customHeight="1">
      <c r="A530" s="99" t="s">
        <v>23</v>
      </c>
      <c r="B530" s="100" t="s">
        <v>127</v>
      </c>
      <c r="C530" s="53" t="s">
        <v>30</v>
      </c>
      <c r="D530" s="54"/>
      <c r="E530" s="60"/>
      <c r="F530" s="60"/>
      <c r="G530" s="60"/>
      <c r="H530" s="60"/>
      <c r="I530" s="60"/>
      <c r="J530" s="60"/>
      <c r="K530" s="61" t="s">
        <v>30</v>
      </c>
      <c r="L530" s="62">
        <f>(E530*E526)+(F530*F526)+(G530*G526)+(H530*H526)+(I530*I526)+(J530*J526)</f>
        <v>0</v>
      </c>
      <c r="M530" s="57" t="s">
        <v>119</v>
      </c>
      <c r="N530" s="63" t="b">
        <v>0</v>
      </c>
    </row>
    <row r="531" ht="19.5" customHeight="1">
      <c r="A531" s="101" t="s">
        <v>192</v>
      </c>
      <c r="B531" s="59"/>
      <c r="C531" s="53" t="s">
        <v>34</v>
      </c>
      <c r="D531" s="54"/>
      <c r="E531" s="66"/>
      <c r="F531" s="66"/>
      <c r="G531" s="66"/>
      <c r="H531" s="66"/>
      <c r="I531" s="66"/>
      <c r="J531" s="66"/>
      <c r="K531" s="67" t="s">
        <v>35</v>
      </c>
      <c r="L531" s="62">
        <f>(E531*E526)+(F531*F526)+(G531*G526)+(H531*H526)+(I531*I526)+(J531*J526)</f>
        <v>0</v>
      </c>
      <c r="M531" s="57" t="s">
        <v>121</v>
      </c>
      <c r="N531" s="63" t="b">
        <v>0</v>
      </c>
    </row>
    <row r="532" ht="13.5" customHeight="1">
      <c r="A532" s="80"/>
      <c r="B532" s="102" t="s">
        <v>42</v>
      </c>
      <c r="C532" s="70" t="s">
        <v>37</v>
      </c>
      <c r="D532" s="33"/>
      <c r="E532" s="71"/>
      <c r="F532" s="71"/>
      <c r="G532" s="71"/>
      <c r="H532" s="71"/>
      <c r="I532" s="71"/>
      <c r="J532" s="71"/>
      <c r="K532" s="72" t="s">
        <v>38</v>
      </c>
      <c r="L532" s="73">
        <f>L531-L530</f>
        <v>0</v>
      </c>
      <c r="M532" s="74" t="s">
        <v>122</v>
      </c>
      <c r="N532" s="75" t="b">
        <v>0</v>
      </c>
    </row>
    <row r="533" ht="13.5" customHeight="1">
      <c r="A533" s="99" t="s">
        <v>23</v>
      </c>
      <c r="B533" s="100" t="s">
        <v>127</v>
      </c>
      <c r="C533" s="53" t="s">
        <v>30</v>
      </c>
      <c r="D533" s="54"/>
      <c r="E533" s="60"/>
      <c r="F533" s="60"/>
      <c r="G533" s="60"/>
      <c r="H533" s="60"/>
      <c r="I533" s="60"/>
      <c r="J533" s="60"/>
      <c r="K533" s="61" t="s">
        <v>30</v>
      </c>
      <c r="L533" s="62">
        <f>(E533*E526)+(F533*F526)+(G533*G526)+(H533*H526)+(I533*I526)+(J533*J526)</f>
        <v>0</v>
      </c>
      <c r="M533" s="57" t="s">
        <v>119</v>
      </c>
      <c r="N533" s="63" t="b">
        <v>0</v>
      </c>
    </row>
    <row r="534" ht="13.5" customHeight="1">
      <c r="A534" s="103"/>
      <c r="B534" s="59"/>
      <c r="C534" s="53" t="s">
        <v>34</v>
      </c>
      <c r="D534" s="54"/>
      <c r="E534" s="66"/>
      <c r="F534" s="66"/>
      <c r="G534" s="66"/>
      <c r="H534" s="66"/>
      <c r="I534" s="66"/>
      <c r="J534" s="66"/>
      <c r="K534" s="67" t="s">
        <v>35</v>
      </c>
      <c r="L534" s="62">
        <f>(E534*E526)+(F534*F526)+(G534*G526)+(H534*H526)+(I534*I526)+(J534*J526)</f>
        <v>0</v>
      </c>
      <c r="M534" s="57" t="s">
        <v>121</v>
      </c>
      <c r="N534" s="63" t="b">
        <v>0</v>
      </c>
    </row>
    <row r="535" ht="15.0" customHeight="1">
      <c r="A535" s="80"/>
      <c r="B535" s="102" t="s">
        <v>47</v>
      </c>
      <c r="C535" s="70" t="s">
        <v>37</v>
      </c>
      <c r="D535" s="33"/>
      <c r="E535" s="71"/>
      <c r="F535" s="71"/>
      <c r="G535" s="71"/>
      <c r="H535" s="71"/>
      <c r="I535" s="71"/>
      <c r="J535" s="71"/>
      <c r="K535" s="72" t="s">
        <v>38</v>
      </c>
      <c r="L535" s="73">
        <f>L534-L533</f>
        <v>0</v>
      </c>
      <c r="M535" s="74" t="s">
        <v>122</v>
      </c>
      <c r="N535" s="75" t="b">
        <v>0</v>
      </c>
    </row>
    <row r="536" ht="13.5" customHeight="1">
      <c r="A536" s="99" t="s">
        <v>23</v>
      </c>
      <c r="B536" s="100" t="s">
        <v>127</v>
      </c>
      <c r="C536" s="53" t="s">
        <v>30</v>
      </c>
      <c r="D536" s="54"/>
      <c r="E536" s="60"/>
      <c r="F536" s="60"/>
      <c r="G536" s="60"/>
      <c r="H536" s="60"/>
      <c r="I536" s="60"/>
      <c r="J536" s="60"/>
      <c r="K536" s="61" t="s">
        <v>30</v>
      </c>
      <c r="L536" s="62">
        <f>(E536*E526)+(F536*F526)+(G536*G526)+(H536*H526)+(I536*I526)+(J536*J526)</f>
        <v>0</v>
      </c>
      <c r="M536" s="57" t="s">
        <v>119</v>
      </c>
      <c r="N536" s="63" t="b">
        <v>0</v>
      </c>
    </row>
    <row r="537" ht="13.5" customHeight="1">
      <c r="A537" s="103"/>
      <c r="B537" s="59"/>
      <c r="C537" s="53" t="s">
        <v>34</v>
      </c>
      <c r="D537" s="54"/>
      <c r="E537" s="66"/>
      <c r="F537" s="66"/>
      <c r="G537" s="66"/>
      <c r="H537" s="66"/>
      <c r="I537" s="66"/>
      <c r="J537" s="66"/>
      <c r="K537" s="67" t="s">
        <v>35</v>
      </c>
      <c r="L537" s="62">
        <f>(E537*E526)+(F537*F526)+(G537*G526)+(H537*H526)+(I537*I526)+(J537*J526)</f>
        <v>0</v>
      </c>
      <c r="M537" s="57" t="s">
        <v>121</v>
      </c>
      <c r="N537" s="63" t="b">
        <v>0</v>
      </c>
    </row>
    <row r="538" ht="13.5" customHeight="1">
      <c r="A538" s="80"/>
      <c r="B538" s="102" t="s">
        <v>49</v>
      </c>
      <c r="C538" s="70" t="s">
        <v>37</v>
      </c>
      <c r="D538" s="33"/>
      <c r="E538" s="71"/>
      <c r="F538" s="71"/>
      <c r="G538" s="71"/>
      <c r="H538" s="71"/>
      <c r="I538" s="71"/>
      <c r="J538" s="71"/>
      <c r="K538" s="72" t="s">
        <v>38</v>
      </c>
      <c r="L538" s="73">
        <f>L537-L536</f>
        <v>0</v>
      </c>
      <c r="M538" s="74" t="s">
        <v>122</v>
      </c>
      <c r="N538" s="75" t="b">
        <v>0</v>
      </c>
    </row>
    <row r="539" ht="18.75" customHeight="1">
      <c r="A539" s="94" t="s">
        <v>128</v>
      </c>
      <c r="B539" s="95" t="s">
        <v>20</v>
      </c>
      <c r="C539" s="96"/>
      <c r="D539" s="10"/>
      <c r="E539" s="97">
        <f t="shared" ref="E539:J539" si="132">E6</f>
        <v>17</v>
      </c>
      <c r="F539" s="97">
        <f t="shared" si="132"/>
        <v>27</v>
      </c>
      <c r="G539" s="97">
        <f t="shared" si="132"/>
        <v>27</v>
      </c>
      <c r="H539" s="97">
        <f t="shared" si="132"/>
        <v>27</v>
      </c>
      <c r="I539" s="97">
        <f t="shared" si="132"/>
        <v>32</v>
      </c>
      <c r="J539" s="97">
        <f t="shared" si="132"/>
        <v>37</v>
      </c>
      <c r="K539" s="95" t="s">
        <v>21</v>
      </c>
      <c r="L539" s="10"/>
      <c r="M539" s="98" t="s">
        <v>118</v>
      </c>
      <c r="N539" s="10"/>
    </row>
    <row r="540" ht="13.5" customHeight="1">
      <c r="A540" s="99" t="s">
        <v>23</v>
      </c>
      <c r="B540" s="100" t="s">
        <v>128</v>
      </c>
      <c r="C540" s="53" t="s">
        <v>30</v>
      </c>
      <c r="D540" s="54"/>
      <c r="E540" s="60"/>
      <c r="F540" s="60"/>
      <c r="G540" s="60"/>
      <c r="H540" s="60"/>
      <c r="I540" s="60"/>
      <c r="J540" s="60"/>
      <c r="K540" s="61" t="s">
        <v>30</v>
      </c>
      <c r="L540" s="62">
        <f>(E540*E539)+(F540*F539)+(G540*G539)+(H540*H539)+(I540*I539)+(J540*J539)</f>
        <v>0</v>
      </c>
      <c r="M540" s="57" t="s">
        <v>119</v>
      </c>
      <c r="N540" s="63" t="b">
        <v>0</v>
      </c>
    </row>
    <row r="541" ht="13.5" customHeight="1">
      <c r="A541" s="103"/>
      <c r="B541" s="59"/>
      <c r="C541" s="53" t="s">
        <v>34</v>
      </c>
      <c r="D541" s="54"/>
      <c r="E541" s="66"/>
      <c r="F541" s="66"/>
      <c r="G541" s="66"/>
      <c r="H541" s="66"/>
      <c r="I541" s="66"/>
      <c r="J541" s="66"/>
      <c r="K541" s="67" t="s">
        <v>35</v>
      </c>
      <c r="L541" s="62">
        <f>(E541*E539)+(F541*F539)+(G541*G539)+(H541*H539)+(I541*I539)+(J541*J539)</f>
        <v>0</v>
      </c>
      <c r="M541" s="57" t="s">
        <v>121</v>
      </c>
      <c r="N541" s="63" t="b">
        <v>0</v>
      </c>
    </row>
    <row r="542" ht="20.25" customHeight="1">
      <c r="A542" s="80"/>
      <c r="B542" s="102" t="s">
        <v>33</v>
      </c>
      <c r="C542" s="70" t="s">
        <v>37</v>
      </c>
      <c r="D542" s="33"/>
      <c r="E542" s="71"/>
      <c r="F542" s="71"/>
      <c r="G542" s="71"/>
      <c r="H542" s="71"/>
      <c r="I542" s="71"/>
      <c r="J542" s="71"/>
      <c r="K542" s="72" t="s">
        <v>38</v>
      </c>
      <c r="L542" s="73">
        <f>L541-L540</f>
        <v>0</v>
      </c>
      <c r="M542" s="74" t="s">
        <v>122</v>
      </c>
      <c r="N542" s="75" t="b">
        <v>0</v>
      </c>
    </row>
    <row r="543" ht="13.5" customHeight="1">
      <c r="A543" s="99" t="s">
        <v>23</v>
      </c>
      <c r="B543" s="100" t="s">
        <v>128</v>
      </c>
      <c r="C543" s="53" t="s">
        <v>30</v>
      </c>
      <c r="D543" s="54"/>
      <c r="E543" s="60"/>
      <c r="F543" s="60"/>
      <c r="G543" s="60"/>
      <c r="H543" s="60"/>
      <c r="I543" s="60"/>
      <c r="J543" s="60"/>
      <c r="K543" s="61" t="s">
        <v>30</v>
      </c>
      <c r="L543" s="62">
        <f>(E543*E539)+(F543*F539)+(G543*G539)+(H543*H539)+(I543*I539)+(J543*J539)</f>
        <v>0</v>
      </c>
      <c r="M543" s="57" t="s">
        <v>119</v>
      </c>
      <c r="N543" s="63" t="b">
        <v>0</v>
      </c>
    </row>
    <row r="544" ht="13.5" customHeight="1">
      <c r="A544" s="101"/>
      <c r="B544" s="59"/>
      <c r="C544" s="53" t="s">
        <v>34</v>
      </c>
      <c r="D544" s="54"/>
      <c r="E544" s="66"/>
      <c r="F544" s="66"/>
      <c r="G544" s="66"/>
      <c r="H544" s="66"/>
      <c r="I544" s="66"/>
      <c r="J544" s="66"/>
      <c r="K544" s="67" t="s">
        <v>35</v>
      </c>
      <c r="L544" s="62">
        <f>(E544*E539)+(F544*F539)+(G544*G539)+(H544*H539)+(I544*I539)+(J544*J539)</f>
        <v>0</v>
      </c>
      <c r="M544" s="57" t="s">
        <v>121</v>
      </c>
      <c r="N544" s="63" t="b">
        <v>0</v>
      </c>
    </row>
    <row r="545" ht="13.5" customHeight="1">
      <c r="A545" s="80"/>
      <c r="B545" s="102" t="s">
        <v>42</v>
      </c>
      <c r="C545" s="70" t="s">
        <v>37</v>
      </c>
      <c r="D545" s="33"/>
      <c r="E545" s="71"/>
      <c r="F545" s="71"/>
      <c r="G545" s="71"/>
      <c r="H545" s="71"/>
      <c r="I545" s="71"/>
      <c r="J545" s="71"/>
      <c r="K545" s="72" t="s">
        <v>38</v>
      </c>
      <c r="L545" s="73">
        <f>L544-L543</f>
        <v>0</v>
      </c>
      <c r="M545" s="74" t="s">
        <v>122</v>
      </c>
      <c r="N545" s="75" t="b">
        <v>0</v>
      </c>
    </row>
    <row r="546" ht="13.5" customHeight="1">
      <c r="A546" s="99" t="s">
        <v>23</v>
      </c>
      <c r="B546" s="100" t="s">
        <v>128</v>
      </c>
      <c r="C546" s="53" t="s">
        <v>30</v>
      </c>
      <c r="D546" s="54"/>
      <c r="E546" s="60"/>
      <c r="F546" s="60"/>
      <c r="G546" s="60"/>
      <c r="H546" s="60"/>
      <c r="I546" s="60"/>
      <c r="J546" s="60"/>
      <c r="K546" s="61" t="s">
        <v>30</v>
      </c>
      <c r="L546" s="62">
        <f>(E546*E539)+(F546*F539)+(G546*G539)+(H546*H539)+(I546*I539)+(J546*J539)</f>
        <v>0</v>
      </c>
      <c r="M546" s="57" t="s">
        <v>119</v>
      </c>
      <c r="N546" s="63" t="b">
        <v>0</v>
      </c>
    </row>
    <row r="547" ht="15.0" customHeight="1">
      <c r="A547" s="101"/>
      <c r="B547" s="59"/>
      <c r="C547" s="53" t="s">
        <v>34</v>
      </c>
      <c r="D547" s="54"/>
      <c r="E547" s="66"/>
      <c r="F547" s="66"/>
      <c r="G547" s="66"/>
      <c r="H547" s="66"/>
      <c r="I547" s="66"/>
      <c r="J547" s="66"/>
      <c r="K547" s="67" t="s">
        <v>35</v>
      </c>
      <c r="L547" s="62">
        <f>(E547*E539)+(F547*F539)+(G547*G539)+(H547*H539)+(I547*I539)+(J547*J539)</f>
        <v>0</v>
      </c>
      <c r="M547" s="57" t="s">
        <v>121</v>
      </c>
      <c r="N547" s="63" t="b">
        <v>0</v>
      </c>
    </row>
    <row r="548" ht="13.5" customHeight="1">
      <c r="A548" s="80"/>
      <c r="B548" s="102" t="s">
        <v>47</v>
      </c>
      <c r="C548" s="70" t="s">
        <v>37</v>
      </c>
      <c r="D548" s="33"/>
      <c r="E548" s="71"/>
      <c r="F548" s="71"/>
      <c r="G548" s="71"/>
      <c r="H548" s="71"/>
      <c r="I548" s="71"/>
      <c r="J548" s="71"/>
      <c r="K548" s="72" t="s">
        <v>38</v>
      </c>
      <c r="L548" s="73">
        <f>L547-L546</f>
        <v>0</v>
      </c>
      <c r="M548" s="74" t="s">
        <v>122</v>
      </c>
      <c r="N548" s="75" t="b">
        <v>0</v>
      </c>
    </row>
    <row r="549" ht="13.5" customHeight="1">
      <c r="A549" s="171" t="s">
        <v>23</v>
      </c>
      <c r="B549" s="100" t="s">
        <v>128</v>
      </c>
      <c r="C549" s="53" t="s">
        <v>30</v>
      </c>
      <c r="D549" s="54"/>
      <c r="E549" s="60"/>
      <c r="F549" s="60"/>
      <c r="G549" s="60"/>
      <c r="H549" s="60"/>
      <c r="I549" s="60"/>
      <c r="J549" s="60"/>
      <c r="K549" s="61" t="s">
        <v>30</v>
      </c>
      <c r="L549" s="62">
        <f>(E549*E539)+(F549*F539)+(G549*G539)+(H549*H539)+(I549*I539)+(J549*J539)</f>
        <v>0</v>
      </c>
      <c r="M549" s="57" t="s">
        <v>119</v>
      </c>
      <c r="N549" s="63" t="b">
        <v>0</v>
      </c>
    </row>
    <row r="550" ht="13.5" customHeight="1">
      <c r="A550" s="101" t="s">
        <v>189</v>
      </c>
      <c r="B550" s="59"/>
      <c r="C550" s="53" t="s">
        <v>34</v>
      </c>
      <c r="D550" s="54"/>
      <c r="E550" s="66"/>
      <c r="F550" s="66"/>
      <c r="G550" s="66"/>
      <c r="H550" s="66"/>
      <c r="I550" s="66"/>
      <c r="J550" s="66"/>
      <c r="K550" s="67" t="s">
        <v>35</v>
      </c>
      <c r="L550" s="62">
        <f>(E550*E539)+(F550*F539)+(G550*G539)+(H550*H539)+(I550*I539)+(J550*J539)</f>
        <v>0</v>
      </c>
      <c r="M550" s="57" t="s">
        <v>121</v>
      </c>
      <c r="N550" s="63" t="b">
        <v>0</v>
      </c>
    </row>
    <row r="551" ht="18.0" customHeight="1">
      <c r="A551" s="80"/>
      <c r="B551" s="102" t="s">
        <v>49</v>
      </c>
      <c r="C551" s="70" t="s">
        <v>37</v>
      </c>
      <c r="D551" s="33"/>
      <c r="E551" s="71"/>
      <c r="F551" s="71"/>
      <c r="G551" s="71"/>
      <c r="H551" s="71"/>
      <c r="I551" s="71"/>
      <c r="J551" s="71"/>
      <c r="K551" s="72" t="s">
        <v>38</v>
      </c>
      <c r="L551" s="73">
        <f>L550-L549</f>
        <v>0</v>
      </c>
      <c r="M551" s="74" t="s">
        <v>122</v>
      </c>
      <c r="N551" s="75" t="b">
        <v>0</v>
      </c>
    </row>
    <row r="552" ht="13.5" customHeight="1">
      <c r="A552" s="94" t="s">
        <v>129</v>
      </c>
      <c r="B552" s="95" t="s">
        <v>20</v>
      </c>
      <c r="C552" s="96"/>
      <c r="D552" s="10"/>
      <c r="E552" s="97">
        <f t="shared" ref="E552:J552" si="133">E6</f>
        <v>17</v>
      </c>
      <c r="F552" s="97">
        <f t="shared" si="133"/>
        <v>27</v>
      </c>
      <c r="G552" s="97">
        <f t="shared" si="133"/>
        <v>27</v>
      </c>
      <c r="H552" s="97">
        <f t="shared" si="133"/>
        <v>27</v>
      </c>
      <c r="I552" s="97">
        <f t="shared" si="133"/>
        <v>32</v>
      </c>
      <c r="J552" s="97">
        <f t="shared" si="133"/>
        <v>37</v>
      </c>
      <c r="K552" s="95" t="s">
        <v>21</v>
      </c>
      <c r="L552" s="10"/>
      <c r="M552" s="98" t="s">
        <v>118</v>
      </c>
      <c r="N552" s="10"/>
    </row>
    <row r="553" ht="13.5" customHeight="1">
      <c r="A553" s="99" t="s">
        <v>23</v>
      </c>
      <c r="B553" s="100" t="s">
        <v>129</v>
      </c>
      <c r="C553" s="53" t="s">
        <v>30</v>
      </c>
      <c r="D553" s="54"/>
      <c r="E553" s="60"/>
      <c r="F553" s="60"/>
      <c r="G553" s="60"/>
      <c r="H553" s="60"/>
      <c r="I553" s="60"/>
      <c r="J553" s="60"/>
      <c r="K553" s="61" t="s">
        <v>30</v>
      </c>
      <c r="L553" s="62">
        <f>(E553*E552)+(F553*F552)+(G553*G552)+(H553*H552)+(I553*I552)+(J553*J552)</f>
        <v>0</v>
      </c>
      <c r="M553" s="57" t="s">
        <v>119</v>
      </c>
      <c r="N553" s="63" t="b">
        <v>0</v>
      </c>
    </row>
    <row r="554" ht="18.0" customHeight="1">
      <c r="A554" s="103"/>
      <c r="B554" s="59"/>
      <c r="C554" s="53" t="s">
        <v>34</v>
      </c>
      <c r="D554" s="54"/>
      <c r="E554" s="66"/>
      <c r="F554" s="66"/>
      <c r="G554" s="66"/>
      <c r="H554" s="66"/>
      <c r="I554" s="66"/>
      <c r="J554" s="66"/>
      <c r="K554" s="67" t="s">
        <v>35</v>
      </c>
      <c r="L554" s="62">
        <f>(E554*E552)+(F554*F552)+(G554*G552)+(H554*H552)+(I554*I552)+(J554*J552)</f>
        <v>0</v>
      </c>
      <c r="M554" s="57" t="s">
        <v>121</v>
      </c>
      <c r="N554" s="63" t="b">
        <v>0</v>
      </c>
    </row>
    <row r="555" ht="13.5" customHeight="1">
      <c r="A555" s="80"/>
      <c r="B555" s="102" t="s">
        <v>33</v>
      </c>
      <c r="C555" s="70" t="s">
        <v>37</v>
      </c>
      <c r="D555" s="33"/>
      <c r="E555" s="71"/>
      <c r="F555" s="71"/>
      <c r="G555" s="71"/>
      <c r="H555" s="71"/>
      <c r="I555" s="71"/>
      <c r="J555" s="71"/>
      <c r="K555" s="72" t="s">
        <v>38</v>
      </c>
      <c r="L555" s="73">
        <f>L554-L553</f>
        <v>0</v>
      </c>
      <c r="M555" s="74" t="s">
        <v>122</v>
      </c>
      <c r="N555" s="75" t="b">
        <v>0</v>
      </c>
    </row>
    <row r="556" ht="13.5" customHeight="1">
      <c r="A556" s="99" t="s">
        <v>23</v>
      </c>
      <c r="B556" s="100" t="s">
        <v>129</v>
      </c>
      <c r="C556" s="53" t="s">
        <v>30</v>
      </c>
      <c r="D556" s="54"/>
      <c r="E556" s="60"/>
      <c r="F556" s="60"/>
      <c r="G556" s="60"/>
      <c r="H556" s="60"/>
      <c r="I556" s="60"/>
      <c r="J556" s="60"/>
      <c r="K556" s="61" t="s">
        <v>30</v>
      </c>
      <c r="L556" s="62">
        <f>(E556*E552)+(F556*F552)+(G556*G552)+(H556*H552)+(I556*I552)+(J556*J552)</f>
        <v>0</v>
      </c>
      <c r="M556" s="57" t="s">
        <v>119</v>
      </c>
      <c r="N556" s="63" t="b">
        <v>0</v>
      </c>
    </row>
    <row r="557" ht="13.5" customHeight="1">
      <c r="A557" s="103"/>
      <c r="B557" s="59"/>
      <c r="C557" s="53" t="s">
        <v>34</v>
      </c>
      <c r="D557" s="54"/>
      <c r="E557" s="66"/>
      <c r="F557" s="66"/>
      <c r="G557" s="66"/>
      <c r="H557" s="66"/>
      <c r="I557" s="66"/>
      <c r="J557" s="66"/>
      <c r="K557" s="67" t="s">
        <v>35</v>
      </c>
      <c r="L557" s="62">
        <f>(E557*E552)+(F557*F552)+(G557*G552)+(H557*H552)+(I557*I552)+(J557*J552)</f>
        <v>0</v>
      </c>
      <c r="M557" s="57" t="s">
        <v>121</v>
      </c>
      <c r="N557" s="63" t="b">
        <v>0</v>
      </c>
    </row>
    <row r="558" ht="18.75" customHeight="1">
      <c r="A558" s="80"/>
      <c r="B558" s="102" t="s">
        <v>42</v>
      </c>
      <c r="C558" s="70" t="s">
        <v>37</v>
      </c>
      <c r="D558" s="33"/>
      <c r="E558" s="71"/>
      <c r="F558" s="71"/>
      <c r="G558" s="71"/>
      <c r="H558" s="71"/>
      <c r="I558" s="71"/>
      <c r="J558" s="71"/>
      <c r="K558" s="72" t="s">
        <v>38</v>
      </c>
      <c r="L558" s="73">
        <f>L557-L556</f>
        <v>0</v>
      </c>
      <c r="M558" s="74" t="s">
        <v>122</v>
      </c>
      <c r="N558" s="75" t="b">
        <v>0</v>
      </c>
    </row>
    <row r="559" ht="13.5" customHeight="1">
      <c r="A559" s="99" t="s">
        <v>23</v>
      </c>
      <c r="B559" s="100" t="s">
        <v>129</v>
      </c>
      <c r="C559" s="53" t="s">
        <v>30</v>
      </c>
      <c r="D559" s="54"/>
      <c r="E559" s="60"/>
      <c r="F559" s="60"/>
      <c r="G559" s="60"/>
      <c r="H559" s="60"/>
      <c r="I559" s="60"/>
      <c r="J559" s="60"/>
      <c r="K559" s="61" t="s">
        <v>30</v>
      </c>
      <c r="L559" s="62">
        <f>(E559*E552)+(F559*F552)+(G559*G552)+(H559*H552)+(I559*I552)+(J559*J552)</f>
        <v>0</v>
      </c>
      <c r="M559" s="57" t="s">
        <v>119</v>
      </c>
      <c r="N559" s="63" t="b">
        <v>0</v>
      </c>
    </row>
    <row r="560" ht="13.5" customHeight="1">
      <c r="A560" s="101"/>
      <c r="B560" s="59"/>
      <c r="C560" s="53" t="s">
        <v>34</v>
      </c>
      <c r="D560" s="54"/>
      <c r="E560" s="66"/>
      <c r="F560" s="66"/>
      <c r="G560" s="66"/>
      <c r="H560" s="66"/>
      <c r="I560" s="66"/>
      <c r="J560" s="66"/>
      <c r="K560" s="67" t="s">
        <v>35</v>
      </c>
      <c r="L560" s="62">
        <f>(E560*E552)+(F560*F552)+(G560*G552)+(H560*H552)+(I560*I552)+(J560*J552)</f>
        <v>0</v>
      </c>
      <c r="M560" s="57" t="s">
        <v>121</v>
      </c>
      <c r="N560" s="63" t="b">
        <v>0</v>
      </c>
    </row>
    <row r="561" ht="13.5" customHeight="1">
      <c r="A561" s="80"/>
      <c r="B561" s="102" t="s">
        <v>47</v>
      </c>
      <c r="C561" s="70" t="s">
        <v>37</v>
      </c>
      <c r="D561" s="33"/>
      <c r="E561" s="71"/>
      <c r="F561" s="71"/>
      <c r="G561" s="71"/>
      <c r="H561" s="71"/>
      <c r="I561" s="71"/>
      <c r="J561" s="71"/>
      <c r="K561" s="72" t="s">
        <v>38</v>
      </c>
      <c r="L561" s="73">
        <f>L560-L559</f>
        <v>0</v>
      </c>
      <c r="M561" s="74" t="s">
        <v>122</v>
      </c>
      <c r="N561" s="75" t="b">
        <v>0</v>
      </c>
    </row>
    <row r="562" ht="13.5" customHeight="1">
      <c r="A562" s="99" t="s">
        <v>23</v>
      </c>
      <c r="B562" s="100" t="s">
        <v>129</v>
      </c>
      <c r="C562" s="53" t="s">
        <v>30</v>
      </c>
      <c r="D562" s="54"/>
      <c r="E562" s="60"/>
      <c r="F562" s="60"/>
      <c r="G562" s="60"/>
      <c r="H562" s="60"/>
      <c r="I562" s="60"/>
      <c r="J562" s="60"/>
      <c r="K562" s="61" t="s">
        <v>30</v>
      </c>
      <c r="L562" s="62">
        <f>(E562*E552)+(F562*F552)+(G562*G552)+(H562*H552)+(I562*I552)+(J562*J552)</f>
        <v>0</v>
      </c>
      <c r="M562" s="57" t="s">
        <v>119</v>
      </c>
      <c r="N562" s="63" t="b">
        <v>0</v>
      </c>
    </row>
    <row r="563" ht="15.0" customHeight="1">
      <c r="A563" s="101" t="s">
        <v>70</v>
      </c>
      <c r="B563" s="59"/>
      <c r="C563" s="53" t="s">
        <v>34</v>
      </c>
      <c r="D563" s="54"/>
      <c r="E563" s="66"/>
      <c r="F563" s="66"/>
      <c r="G563" s="66"/>
      <c r="H563" s="66"/>
      <c r="I563" s="66"/>
      <c r="J563" s="66"/>
      <c r="K563" s="67" t="s">
        <v>35</v>
      </c>
      <c r="L563" s="62">
        <f>(E563*E552)+(F563*F552)+(G563*G552)+(H563*H552)+(I563*I552)+(J563*J552)</f>
        <v>0</v>
      </c>
      <c r="M563" s="57" t="s">
        <v>121</v>
      </c>
      <c r="N563" s="63" t="b">
        <v>0</v>
      </c>
    </row>
    <row r="564" ht="13.5" customHeight="1">
      <c r="A564" s="80"/>
      <c r="B564" s="102" t="s">
        <v>49</v>
      </c>
      <c r="C564" s="70" t="s">
        <v>37</v>
      </c>
      <c r="D564" s="33"/>
      <c r="E564" s="71"/>
      <c r="F564" s="71"/>
      <c r="G564" s="71"/>
      <c r="H564" s="71"/>
      <c r="I564" s="71"/>
      <c r="J564" s="71"/>
      <c r="K564" s="72" t="s">
        <v>38</v>
      </c>
      <c r="L564" s="73">
        <f>L563-L562</f>
        <v>0</v>
      </c>
      <c r="M564" s="74" t="s">
        <v>122</v>
      </c>
      <c r="N564" s="75" t="b">
        <v>0</v>
      </c>
    </row>
    <row r="565" ht="13.5" customHeight="1">
      <c r="A565" s="94" t="s">
        <v>130</v>
      </c>
      <c r="B565" s="95" t="s">
        <v>20</v>
      </c>
      <c r="C565" s="96"/>
      <c r="D565" s="10"/>
      <c r="E565" s="97">
        <f t="shared" ref="E565:J565" si="134">E6</f>
        <v>17</v>
      </c>
      <c r="F565" s="97">
        <f t="shared" si="134"/>
        <v>27</v>
      </c>
      <c r="G565" s="97">
        <f t="shared" si="134"/>
        <v>27</v>
      </c>
      <c r="H565" s="97">
        <f t="shared" si="134"/>
        <v>27</v>
      </c>
      <c r="I565" s="97">
        <f t="shared" si="134"/>
        <v>32</v>
      </c>
      <c r="J565" s="97">
        <f t="shared" si="134"/>
        <v>37</v>
      </c>
      <c r="K565" s="95" t="s">
        <v>21</v>
      </c>
      <c r="L565" s="10"/>
      <c r="M565" s="98" t="s">
        <v>118</v>
      </c>
      <c r="N565" s="10"/>
    </row>
    <row r="566" ht="20.25" customHeight="1">
      <c r="A566" s="99" t="s">
        <v>23</v>
      </c>
      <c r="B566" s="100" t="s">
        <v>130</v>
      </c>
      <c r="C566" s="53" t="s">
        <v>30</v>
      </c>
      <c r="D566" s="54"/>
      <c r="E566" s="60"/>
      <c r="F566" s="60"/>
      <c r="G566" s="60"/>
      <c r="H566" s="60"/>
      <c r="I566" s="60"/>
      <c r="J566" s="60"/>
      <c r="K566" s="61" t="s">
        <v>30</v>
      </c>
      <c r="L566" s="62">
        <f>(E566*E565)+(F566*F565)+(G566*G565)+(H566*H565)+(I566*I565)+(J566*J565)</f>
        <v>0</v>
      </c>
      <c r="M566" s="57" t="s">
        <v>119</v>
      </c>
      <c r="N566" s="63" t="b">
        <v>0</v>
      </c>
    </row>
    <row r="567" ht="13.5" customHeight="1">
      <c r="A567" s="103"/>
      <c r="B567" s="59"/>
      <c r="C567" s="53" t="s">
        <v>34</v>
      </c>
      <c r="D567" s="54"/>
      <c r="E567" s="66"/>
      <c r="F567" s="66"/>
      <c r="G567" s="66"/>
      <c r="H567" s="66"/>
      <c r="I567" s="66"/>
      <c r="J567" s="66"/>
      <c r="K567" s="67" t="s">
        <v>35</v>
      </c>
      <c r="L567" s="62">
        <f>(E567*E565)+(F567*F565)+(G567*G565)+(H567*H565)+(I567*I565)+(J567*J565)</f>
        <v>0</v>
      </c>
      <c r="M567" s="57" t="s">
        <v>121</v>
      </c>
      <c r="N567" s="63" t="b">
        <v>0</v>
      </c>
    </row>
    <row r="568" ht="13.5" customHeight="1">
      <c r="A568" s="80"/>
      <c r="B568" s="102" t="s">
        <v>33</v>
      </c>
      <c r="C568" s="70" t="s">
        <v>37</v>
      </c>
      <c r="D568" s="33"/>
      <c r="E568" s="71"/>
      <c r="F568" s="71"/>
      <c r="G568" s="71"/>
      <c r="H568" s="71"/>
      <c r="I568" s="71"/>
      <c r="J568" s="71"/>
      <c r="K568" s="72" t="s">
        <v>38</v>
      </c>
      <c r="L568" s="73">
        <f>L567-L566</f>
        <v>0</v>
      </c>
      <c r="M568" s="74" t="s">
        <v>122</v>
      </c>
      <c r="N568" s="75" t="b">
        <v>0</v>
      </c>
    </row>
    <row r="569" ht="13.5" customHeight="1">
      <c r="A569" s="99" t="s">
        <v>23</v>
      </c>
      <c r="B569" s="100" t="s">
        <v>130</v>
      </c>
      <c r="C569" s="53" t="s">
        <v>30</v>
      </c>
      <c r="D569" s="54"/>
      <c r="E569" s="60"/>
      <c r="F569" s="60"/>
      <c r="G569" s="60"/>
      <c r="H569" s="60"/>
      <c r="I569" s="60"/>
      <c r="J569" s="60"/>
      <c r="K569" s="61" t="s">
        <v>30</v>
      </c>
      <c r="L569" s="62">
        <f>(E569*E565)+(F569*F565)+(G569*G565)+(H569*H565)+(I569*I565)+(J569*J565)</f>
        <v>0</v>
      </c>
      <c r="M569" s="57" t="s">
        <v>119</v>
      </c>
      <c r="N569" s="63" t="b">
        <v>0</v>
      </c>
    </row>
    <row r="570" ht="15.0" customHeight="1">
      <c r="A570" s="103"/>
      <c r="B570" s="59"/>
      <c r="C570" s="53" t="s">
        <v>34</v>
      </c>
      <c r="D570" s="54"/>
      <c r="E570" s="66"/>
      <c r="F570" s="66"/>
      <c r="G570" s="66"/>
      <c r="H570" s="66"/>
      <c r="I570" s="66"/>
      <c r="J570" s="66"/>
      <c r="K570" s="67" t="s">
        <v>35</v>
      </c>
      <c r="L570" s="62">
        <f>(E570*E565)+(F570*F565)+(G570*G565)+(H570*H565)+(I570*I565)+(J570*J565)</f>
        <v>0</v>
      </c>
      <c r="M570" s="57" t="s">
        <v>121</v>
      </c>
      <c r="N570" s="63" t="b">
        <v>0</v>
      </c>
    </row>
    <row r="571" ht="22.5" customHeight="1">
      <c r="A571" s="80"/>
      <c r="B571" s="102" t="s">
        <v>42</v>
      </c>
      <c r="C571" s="70" t="s">
        <v>37</v>
      </c>
      <c r="D571" s="33"/>
      <c r="E571" s="71"/>
      <c r="F571" s="71"/>
      <c r="G571" s="71"/>
      <c r="H571" s="71"/>
      <c r="I571" s="71"/>
      <c r="J571" s="71"/>
      <c r="K571" s="72" t="s">
        <v>38</v>
      </c>
      <c r="L571" s="73">
        <f>L570-L569</f>
        <v>0</v>
      </c>
      <c r="M571" s="74" t="s">
        <v>122</v>
      </c>
      <c r="N571" s="75" t="b">
        <v>0</v>
      </c>
    </row>
    <row r="572" ht="13.5" customHeight="1">
      <c r="A572" s="99" t="s">
        <v>23</v>
      </c>
      <c r="B572" s="100" t="s">
        <v>130</v>
      </c>
      <c r="C572" s="53" t="s">
        <v>30</v>
      </c>
      <c r="D572" s="54"/>
      <c r="E572" s="60"/>
      <c r="F572" s="60"/>
      <c r="G572" s="60"/>
      <c r="H572" s="60"/>
      <c r="I572" s="60"/>
      <c r="J572" s="60"/>
      <c r="K572" s="61" t="s">
        <v>30</v>
      </c>
      <c r="L572" s="62">
        <f>(E572*E565)+(F572*F565)+(G572*G565)+(H572*H565)+(I572*I565)+(J572*J565)</f>
        <v>0</v>
      </c>
      <c r="M572" s="57" t="s">
        <v>119</v>
      </c>
      <c r="N572" s="63" t="b">
        <v>0</v>
      </c>
    </row>
    <row r="573" ht="13.5" customHeight="1">
      <c r="A573" s="101"/>
      <c r="B573" s="59"/>
      <c r="C573" s="53" t="s">
        <v>34</v>
      </c>
      <c r="D573" s="54"/>
      <c r="E573" s="66"/>
      <c r="F573" s="66"/>
      <c r="G573" s="66"/>
      <c r="H573" s="66"/>
      <c r="I573" s="66"/>
      <c r="J573" s="66"/>
      <c r="K573" s="67" t="s">
        <v>35</v>
      </c>
      <c r="L573" s="62">
        <f>(E573*E565)+(F573*F565)+(G573*G565)+(H573*H565)+(I573*I565)+(J573*J565)</f>
        <v>0</v>
      </c>
      <c r="M573" s="57" t="s">
        <v>121</v>
      </c>
      <c r="N573" s="63" t="b">
        <v>0</v>
      </c>
    </row>
    <row r="574" ht="19.5" customHeight="1">
      <c r="A574" s="80"/>
      <c r="B574" s="102" t="s">
        <v>47</v>
      </c>
      <c r="C574" s="70" t="s">
        <v>37</v>
      </c>
      <c r="D574" s="33"/>
      <c r="E574" s="71"/>
      <c r="F574" s="71"/>
      <c r="G574" s="71"/>
      <c r="H574" s="71"/>
      <c r="I574" s="71"/>
      <c r="J574" s="71"/>
      <c r="K574" s="72" t="s">
        <v>38</v>
      </c>
      <c r="L574" s="73">
        <f>L573-L572</f>
        <v>0</v>
      </c>
      <c r="M574" s="74" t="s">
        <v>122</v>
      </c>
      <c r="N574" s="75" t="b">
        <v>0</v>
      </c>
    </row>
    <row r="575" ht="13.5" customHeight="1">
      <c r="A575" s="99" t="s">
        <v>23</v>
      </c>
      <c r="B575" s="100" t="s">
        <v>130</v>
      </c>
      <c r="C575" s="53" t="s">
        <v>30</v>
      </c>
      <c r="D575" s="54"/>
      <c r="E575" s="60"/>
      <c r="F575" s="60"/>
      <c r="G575" s="60"/>
      <c r="H575" s="60"/>
      <c r="I575" s="60"/>
      <c r="J575" s="60"/>
      <c r="K575" s="61" t="s">
        <v>30</v>
      </c>
      <c r="L575" s="62">
        <f>(E575*E565)+(F575*F565)+(G575*G565)+(H575*H565)+(I575*I565)+(J575*J565)</f>
        <v>0</v>
      </c>
      <c r="M575" s="57" t="s">
        <v>119</v>
      </c>
      <c r="N575" s="63" t="b">
        <v>0</v>
      </c>
    </row>
    <row r="576" ht="13.5" customHeight="1">
      <c r="A576" s="101" t="s">
        <v>186</v>
      </c>
      <c r="B576" s="59"/>
      <c r="C576" s="53" t="s">
        <v>34</v>
      </c>
      <c r="D576" s="54"/>
      <c r="E576" s="66"/>
      <c r="F576" s="66"/>
      <c r="G576" s="66"/>
      <c r="H576" s="66"/>
      <c r="I576" s="66"/>
      <c r="J576" s="66"/>
      <c r="K576" s="67" t="s">
        <v>35</v>
      </c>
      <c r="L576" s="62">
        <f>(E576*E565)+(F576*F565)+(G576*G565)+(H576*H565)+(I576*I565)+(J576*J565)</f>
        <v>0</v>
      </c>
      <c r="M576" s="57" t="s">
        <v>121</v>
      </c>
      <c r="N576" s="63" t="b">
        <v>0</v>
      </c>
    </row>
    <row r="577" ht="13.5" customHeight="1">
      <c r="A577" s="80"/>
      <c r="B577" s="102" t="s">
        <v>49</v>
      </c>
      <c r="C577" s="70" t="s">
        <v>37</v>
      </c>
      <c r="D577" s="33"/>
      <c r="E577" s="71"/>
      <c r="F577" s="71"/>
      <c r="G577" s="71"/>
      <c r="H577" s="71"/>
      <c r="I577" s="71"/>
      <c r="J577" s="71"/>
      <c r="K577" s="72" t="s">
        <v>38</v>
      </c>
      <c r="L577" s="73">
        <f>L576-L575</f>
        <v>0</v>
      </c>
      <c r="M577" s="74" t="s">
        <v>122</v>
      </c>
      <c r="N577" s="75" t="b">
        <v>0</v>
      </c>
    </row>
    <row r="578" ht="13.5" customHeight="1">
      <c r="A578" s="94" t="s">
        <v>131</v>
      </c>
      <c r="B578" s="95" t="s">
        <v>20</v>
      </c>
      <c r="C578" s="96"/>
      <c r="D578" s="10"/>
      <c r="E578" s="97">
        <f t="shared" ref="E578:J578" si="135">E6</f>
        <v>17</v>
      </c>
      <c r="F578" s="97">
        <f t="shared" si="135"/>
        <v>27</v>
      </c>
      <c r="G578" s="97">
        <f t="shared" si="135"/>
        <v>27</v>
      </c>
      <c r="H578" s="97">
        <f t="shared" si="135"/>
        <v>27</v>
      </c>
      <c r="I578" s="97">
        <f t="shared" si="135"/>
        <v>32</v>
      </c>
      <c r="J578" s="97">
        <f t="shared" si="135"/>
        <v>37</v>
      </c>
      <c r="K578" s="95" t="s">
        <v>21</v>
      </c>
      <c r="L578" s="10"/>
      <c r="M578" s="98" t="s">
        <v>118</v>
      </c>
      <c r="N578" s="10"/>
    </row>
    <row r="579" ht="13.5" customHeight="1">
      <c r="A579" s="99" t="s">
        <v>23</v>
      </c>
      <c r="B579" s="100" t="s">
        <v>131</v>
      </c>
      <c r="C579" s="53" t="s">
        <v>30</v>
      </c>
      <c r="D579" s="54"/>
      <c r="E579" s="60"/>
      <c r="F579" s="60"/>
      <c r="G579" s="60"/>
      <c r="H579" s="60"/>
      <c r="I579" s="60"/>
      <c r="J579" s="60"/>
      <c r="K579" s="61" t="s">
        <v>30</v>
      </c>
      <c r="L579" s="62">
        <f>(E579*E578)+(F579*F578)+(G579*G578)+(H579*H578)+(I579*I578)+(J579*J578)</f>
        <v>0</v>
      </c>
      <c r="M579" s="57" t="s">
        <v>119</v>
      </c>
      <c r="N579" s="63" t="b">
        <v>0</v>
      </c>
    </row>
    <row r="580" ht="13.5" customHeight="1">
      <c r="A580" s="103"/>
      <c r="B580" s="59"/>
      <c r="C580" s="53" t="s">
        <v>34</v>
      </c>
      <c r="D580" s="54"/>
      <c r="E580" s="66"/>
      <c r="F580" s="66"/>
      <c r="G580" s="66"/>
      <c r="H580" s="66"/>
      <c r="I580" s="66"/>
      <c r="J580" s="66"/>
      <c r="K580" s="67" t="s">
        <v>35</v>
      </c>
      <c r="L580" s="62">
        <f>(E580*E578)+(F580*F578)+(G580*G578)+(H580*H578)+(I580*I578)+(J580*J578)</f>
        <v>0</v>
      </c>
      <c r="M580" s="57" t="s">
        <v>121</v>
      </c>
      <c r="N580" s="63" t="b">
        <v>0</v>
      </c>
    </row>
    <row r="581" ht="13.5" customHeight="1">
      <c r="A581" s="80"/>
      <c r="B581" s="102" t="s">
        <v>33</v>
      </c>
      <c r="C581" s="70" t="s">
        <v>37</v>
      </c>
      <c r="D581" s="33"/>
      <c r="E581" s="71"/>
      <c r="F581" s="71"/>
      <c r="G581" s="71"/>
      <c r="H581" s="71"/>
      <c r="I581" s="71"/>
      <c r="J581" s="71"/>
      <c r="K581" s="72" t="s">
        <v>38</v>
      </c>
      <c r="L581" s="73">
        <f>L580-L579</f>
        <v>0</v>
      </c>
      <c r="M581" s="74" t="s">
        <v>122</v>
      </c>
      <c r="N581" s="75" t="b">
        <v>0</v>
      </c>
    </row>
    <row r="582" ht="19.5" customHeight="1">
      <c r="A582" s="99" t="s">
        <v>23</v>
      </c>
      <c r="B582" s="100" t="s">
        <v>131</v>
      </c>
      <c r="C582" s="53" t="s">
        <v>30</v>
      </c>
      <c r="D582" s="54"/>
      <c r="E582" s="60"/>
      <c r="F582" s="60"/>
      <c r="G582" s="60"/>
      <c r="H582" s="60"/>
      <c r="I582" s="60"/>
      <c r="J582" s="60"/>
      <c r="K582" s="61" t="s">
        <v>30</v>
      </c>
      <c r="L582" s="62">
        <f>(E582*E578)+(F582*F578)+(G582*G578)+(H582*H578)+(I582*I578)+(J582*J578)</f>
        <v>0</v>
      </c>
      <c r="M582" s="57" t="s">
        <v>119</v>
      </c>
      <c r="N582" s="63" t="b">
        <v>0</v>
      </c>
    </row>
    <row r="583" ht="13.5" customHeight="1">
      <c r="A583" s="103"/>
      <c r="B583" s="59"/>
      <c r="C583" s="53" t="s">
        <v>34</v>
      </c>
      <c r="D583" s="54"/>
      <c r="E583" s="66"/>
      <c r="F583" s="66"/>
      <c r="G583" s="66"/>
      <c r="H583" s="66"/>
      <c r="I583" s="66"/>
      <c r="J583" s="66"/>
      <c r="K583" s="67" t="s">
        <v>35</v>
      </c>
      <c r="L583" s="62">
        <f>(E583*E578)+(F583*F578)+(G583*G578)+(H583*H578)+(I583*I578)+(J583*J578)</f>
        <v>0</v>
      </c>
      <c r="M583" s="57" t="s">
        <v>121</v>
      </c>
      <c r="N583" s="63" t="b">
        <v>0</v>
      </c>
    </row>
    <row r="584" ht="13.5" customHeight="1">
      <c r="A584" s="80"/>
      <c r="B584" s="102" t="s">
        <v>42</v>
      </c>
      <c r="C584" s="70" t="s">
        <v>37</v>
      </c>
      <c r="D584" s="33"/>
      <c r="E584" s="71"/>
      <c r="F584" s="71"/>
      <c r="G584" s="71"/>
      <c r="H584" s="71"/>
      <c r="I584" s="71"/>
      <c r="J584" s="71"/>
      <c r="K584" s="72" t="s">
        <v>38</v>
      </c>
      <c r="L584" s="73">
        <f>L583-L582</f>
        <v>0</v>
      </c>
      <c r="M584" s="74" t="s">
        <v>122</v>
      </c>
      <c r="N584" s="75" t="b">
        <v>0</v>
      </c>
    </row>
    <row r="585" ht="13.5" customHeight="1">
      <c r="A585" s="99" t="s">
        <v>23</v>
      </c>
      <c r="B585" s="100" t="s">
        <v>131</v>
      </c>
      <c r="C585" s="53" t="s">
        <v>30</v>
      </c>
      <c r="D585" s="54"/>
      <c r="E585" s="60"/>
      <c r="F585" s="60"/>
      <c r="G585" s="60"/>
      <c r="H585" s="60"/>
      <c r="I585" s="60"/>
      <c r="J585" s="60"/>
      <c r="K585" s="61" t="s">
        <v>30</v>
      </c>
      <c r="L585" s="62">
        <f>(E585*E578)+(F585*F578)+(G585*G578)+(H585*H578)+(I585*I578)+(J585*J578)</f>
        <v>0</v>
      </c>
      <c r="M585" s="57" t="s">
        <v>119</v>
      </c>
      <c r="N585" s="63" t="b">
        <v>0</v>
      </c>
    </row>
    <row r="586" ht="15.0" customHeight="1">
      <c r="A586" s="101"/>
      <c r="B586" s="59"/>
      <c r="C586" s="53" t="s">
        <v>34</v>
      </c>
      <c r="D586" s="54"/>
      <c r="E586" s="66"/>
      <c r="F586" s="66"/>
      <c r="G586" s="66"/>
      <c r="H586" s="66"/>
      <c r="I586" s="66"/>
      <c r="J586" s="66"/>
      <c r="K586" s="67" t="s">
        <v>35</v>
      </c>
      <c r="L586" s="62">
        <f>(E586*E578)+(F586*F578)+(G586*G578)+(H586*H578)+(I586*I578)+(J586*J578)</f>
        <v>0</v>
      </c>
      <c r="M586" s="57" t="s">
        <v>121</v>
      </c>
      <c r="N586" s="63" t="b">
        <v>0</v>
      </c>
    </row>
    <row r="587" ht="13.5" customHeight="1">
      <c r="A587" s="80"/>
      <c r="B587" s="102" t="s">
        <v>47</v>
      </c>
      <c r="C587" s="70" t="s">
        <v>37</v>
      </c>
      <c r="D587" s="33"/>
      <c r="E587" s="71"/>
      <c r="F587" s="71"/>
      <c r="G587" s="71"/>
      <c r="H587" s="71"/>
      <c r="I587" s="71"/>
      <c r="J587" s="71"/>
      <c r="K587" s="72" t="s">
        <v>38</v>
      </c>
      <c r="L587" s="73">
        <f>L586-L585</f>
        <v>0</v>
      </c>
      <c r="M587" s="74" t="s">
        <v>122</v>
      </c>
      <c r="N587" s="75" t="b">
        <v>0</v>
      </c>
    </row>
    <row r="588" ht="13.5" customHeight="1">
      <c r="A588" s="99" t="s">
        <v>23</v>
      </c>
      <c r="B588" s="100" t="s">
        <v>131</v>
      </c>
      <c r="C588" s="53" t="s">
        <v>30</v>
      </c>
      <c r="D588" s="54"/>
      <c r="E588" s="60"/>
      <c r="F588" s="60"/>
      <c r="G588" s="60"/>
      <c r="H588" s="60"/>
      <c r="I588" s="60"/>
      <c r="J588" s="60"/>
      <c r="K588" s="61" t="s">
        <v>30</v>
      </c>
      <c r="L588" s="62">
        <f>(E588*E578)+(F588*F578)+(G588*G578)+(H588*H578)+(I588*I578)+(J588*J578)</f>
        <v>0</v>
      </c>
      <c r="M588" s="57" t="s">
        <v>119</v>
      </c>
      <c r="N588" s="63" t="b">
        <v>0</v>
      </c>
    </row>
    <row r="589" ht="13.5" customHeight="1">
      <c r="A589" s="101" t="s">
        <v>76</v>
      </c>
      <c r="B589" s="59"/>
      <c r="C589" s="53" t="s">
        <v>34</v>
      </c>
      <c r="D589" s="54"/>
      <c r="E589" s="66"/>
      <c r="F589" s="66"/>
      <c r="G589" s="66"/>
      <c r="H589" s="66"/>
      <c r="I589" s="66"/>
      <c r="J589" s="66"/>
      <c r="K589" s="67" t="s">
        <v>35</v>
      </c>
      <c r="L589" s="62">
        <f>(E589*E578)+(F589*F578)+(G589*G578)+(H589*H578)+(I589*I578)+(J589*J578)</f>
        <v>0</v>
      </c>
      <c r="M589" s="57" t="s">
        <v>121</v>
      </c>
      <c r="N589" s="63" t="b">
        <v>0</v>
      </c>
    </row>
    <row r="590" ht="18.75" customHeight="1">
      <c r="A590" s="80"/>
      <c r="B590" s="102" t="s">
        <v>49</v>
      </c>
      <c r="C590" s="70" t="s">
        <v>37</v>
      </c>
      <c r="D590" s="33"/>
      <c r="E590" s="71"/>
      <c r="F590" s="71"/>
      <c r="G590" s="71"/>
      <c r="H590" s="71"/>
      <c r="I590" s="71"/>
      <c r="J590" s="71"/>
      <c r="K590" s="72" t="s">
        <v>38</v>
      </c>
      <c r="L590" s="73">
        <f>L589-L588</f>
        <v>0</v>
      </c>
      <c r="M590" s="74" t="s">
        <v>122</v>
      </c>
      <c r="N590" s="75" t="b">
        <v>0</v>
      </c>
    </row>
    <row r="591" ht="13.5" customHeight="1">
      <c r="A591" s="104" t="s">
        <v>132</v>
      </c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5"/>
    </row>
    <row r="592" ht="13.5" customHeight="1">
      <c r="A592" s="105"/>
      <c r="B592" s="10"/>
      <c r="C592" s="106" t="s">
        <v>133</v>
      </c>
      <c r="D592" s="24"/>
      <c r="E592" s="24"/>
      <c r="F592" s="24"/>
      <c r="G592" s="24"/>
      <c r="H592" s="24"/>
      <c r="I592" s="24"/>
      <c r="J592" s="24"/>
      <c r="K592" s="24"/>
      <c r="L592" s="25"/>
      <c r="M592" s="107"/>
      <c r="N592" s="108"/>
    </row>
    <row r="593" ht="13.5" customHeight="1">
      <c r="A593" s="109" t="s">
        <v>133</v>
      </c>
      <c r="B593" s="59"/>
      <c r="C593" s="110" t="s">
        <v>15</v>
      </c>
      <c r="D593" s="111"/>
      <c r="E593" s="112">
        <f t="shared" ref="E593:J593" si="136">E7-(E15+E33+E51+E69+E87+E105+E123+E141+E159+E177+E195+E213+E231+E249+E267+E285+E303+E321+E339+E357+E375+E393+E411+E429+E447+E463+E476+E489+E502+E515+E528+E541+E554+E567+E580)</f>
        <v>0</v>
      </c>
      <c r="F593" s="112">
        <f t="shared" si="136"/>
        <v>-29</v>
      </c>
      <c r="G593" s="112">
        <f t="shared" si="136"/>
        <v>-27</v>
      </c>
      <c r="H593" s="112">
        <f t="shared" si="136"/>
        <v>-11</v>
      </c>
      <c r="I593" s="112">
        <f t="shared" si="136"/>
        <v>-17</v>
      </c>
      <c r="J593" s="113">
        <f t="shared" si="136"/>
        <v>-31</v>
      </c>
      <c r="K593" s="114" t="s">
        <v>134</v>
      </c>
      <c r="L593" s="115">
        <f>L16+L34+L52+L70+L88+L106+L124+L142+L160+L178+L196+L214+L232+L250+L268+L286+L304+L322+L340+L358+L376+L394+L412+L430+L448+L464+L477+L490+L503+L516+L529+L542+L555+L568+L581</f>
        <v>2484</v>
      </c>
      <c r="M593" s="116"/>
      <c r="N593" s="117"/>
    </row>
    <row r="594" ht="13.5" customHeight="1">
      <c r="A594" s="38"/>
      <c r="B594" s="59"/>
      <c r="C594" s="118" t="s">
        <v>135</v>
      </c>
      <c r="D594" s="111"/>
      <c r="E594" s="119"/>
      <c r="F594" s="119"/>
      <c r="G594" s="119"/>
      <c r="H594" s="119"/>
      <c r="I594" s="119"/>
      <c r="J594" s="120"/>
      <c r="K594" s="59"/>
      <c r="L594" s="5"/>
      <c r="N594" s="59"/>
    </row>
    <row r="595" ht="13.5" customHeight="1">
      <c r="A595" s="38"/>
      <c r="B595" s="59"/>
      <c r="C595" s="121" t="s">
        <v>136</v>
      </c>
      <c r="D595" s="25"/>
      <c r="E595" s="122">
        <f t="shared" ref="E595:J595" si="137">E593-E594</f>
        <v>0</v>
      </c>
      <c r="F595" s="122">
        <f t="shared" si="137"/>
        <v>-29</v>
      </c>
      <c r="G595" s="122">
        <f t="shared" si="137"/>
        <v>-27</v>
      </c>
      <c r="H595" s="122">
        <f t="shared" si="137"/>
        <v>-11</v>
      </c>
      <c r="I595" s="122">
        <f t="shared" si="137"/>
        <v>-17</v>
      </c>
      <c r="J595" s="123">
        <f t="shared" si="137"/>
        <v>-31</v>
      </c>
      <c r="K595" s="59"/>
      <c r="L595" s="5"/>
      <c r="N595" s="59"/>
    </row>
    <row r="596" ht="13.5" customHeight="1">
      <c r="A596" s="38"/>
      <c r="B596" s="59"/>
      <c r="C596" s="110" t="s">
        <v>137</v>
      </c>
      <c r="D596" s="111"/>
      <c r="E596" s="112">
        <f t="shared" ref="E596:J596" si="138">E14+E32+E50+E68+E86+E104+E122+E140+E158+E176+E194+E212+E230+E248+E266+E284+E302+E320+E338+E356+E374+E392+E410+E428+E446+E462+E475+E488+E501+E514+E527+E540+E553+E566+E579</f>
        <v>0</v>
      </c>
      <c r="F596" s="112">
        <f t="shared" si="138"/>
        <v>9</v>
      </c>
      <c r="G596" s="112">
        <f t="shared" si="138"/>
        <v>5</v>
      </c>
      <c r="H596" s="112">
        <f t="shared" si="138"/>
        <v>4</v>
      </c>
      <c r="I596" s="112">
        <f t="shared" si="138"/>
        <v>5</v>
      </c>
      <c r="J596" s="113">
        <f t="shared" si="138"/>
        <v>10</v>
      </c>
      <c r="K596" s="54"/>
      <c r="L596" s="111"/>
      <c r="N596" s="59"/>
    </row>
    <row r="597" ht="13.5" customHeight="1">
      <c r="A597" s="38"/>
      <c r="B597" s="59"/>
      <c r="C597" s="118" t="s">
        <v>135</v>
      </c>
      <c r="D597" s="111"/>
      <c r="E597" s="119"/>
      <c r="F597" s="119"/>
      <c r="G597" s="119"/>
      <c r="H597" s="119"/>
      <c r="I597" s="119"/>
      <c r="J597" s="120"/>
      <c r="K597" s="124" t="s">
        <v>135</v>
      </c>
      <c r="L597" s="125"/>
      <c r="N597" s="59"/>
    </row>
    <row r="598" ht="13.5" customHeight="1">
      <c r="A598" s="126"/>
      <c r="B598" s="33"/>
      <c r="C598" s="121" t="s">
        <v>136</v>
      </c>
      <c r="D598" s="25"/>
      <c r="E598" s="122">
        <f t="shared" ref="E598:J598" si="139">E596-E597</f>
        <v>0</v>
      </c>
      <c r="F598" s="122">
        <f t="shared" si="139"/>
        <v>9</v>
      </c>
      <c r="G598" s="122">
        <f t="shared" si="139"/>
        <v>5</v>
      </c>
      <c r="H598" s="122">
        <f t="shared" si="139"/>
        <v>4</v>
      </c>
      <c r="I598" s="122">
        <f t="shared" si="139"/>
        <v>5</v>
      </c>
      <c r="J598" s="123">
        <f t="shared" si="139"/>
        <v>10</v>
      </c>
      <c r="K598" s="127" t="s">
        <v>136</v>
      </c>
      <c r="L598" s="128">
        <f>L593-L597</f>
        <v>2484</v>
      </c>
      <c r="M598" s="129"/>
      <c r="N598" s="54"/>
    </row>
    <row r="599" ht="13.5" customHeight="1">
      <c r="A599" s="105"/>
      <c r="B599" s="10"/>
      <c r="C599" s="130" t="s">
        <v>138</v>
      </c>
      <c r="D599" s="24"/>
      <c r="E599" s="24"/>
      <c r="F599" s="24"/>
      <c r="G599" s="24"/>
      <c r="H599" s="24"/>
      <c r="I599" s="24"/>
      <c r="J599" s="24"/>
      <c r="K599" s="24"/>
      <c r="L599" s="25"/>
      <c r="M599" s="131"/>
      <c r="N599" s="108"/>
    </row>
    <row r="600" ht="13.5" customHeight="1">
      <c r="A600" s="109" t="s">
        <v>138</v>
      </c>
      <c r="B600" s="59"/>
      <c r="C600" s="110" t="s">
        <v>15</v>
      </c>
      <c r="D600" s="111"/>
      <c r="E600" s="112">
        <f t="shared" ref="E600:J600" si="140">E8-(E19+E37+E55+E73+E91+E109+E127+E145+E163+E181+E199+E217+E235+E253+E271+E289+E307+E325+E343+E361+E379+E397+E415+E433+E451+E466+E479+E492+E505+E518+E531+E544+E557+E570+E583)</f>
        <v>0</v>
      </c>
      <c r="F600" s="112">
        <f t="shared" si="140"/>
        <v>0</v>
      </c>
      <c r="G600" s="112">
        <f t="shared" si="140"/>
        <v>0</v>
      </c>
      <c r="H600" s="112">
        <f t="shared" si="140"/>
        <v>0</v>
      </c>
      <c r="I600" s="112">
        <f t="shared" si="140"/>
        <v>0</v>
      </c>
      <c r="J600" s="113">
        <f t="shared" si="140"/>
        <v>0</v>
      </c>
      <c r="K600" s="114" t="s">
        <v>139</v>
      </c>
      <c r="L600" s="115">
        <f>L20+L38+L56+L74+L92+L110+L128+L146+L164+L182+L200+L218+L236+L254+L272+L290+L308+L326+L344+L362+L380+L398+L416+L434+L452+L467+L480+L493+L506+L519+L532+L545+L558+L571+L584</f>
        <v>0</v>
      </c>
      <c r="M600" s="116"/>
      <c r="N600" s="117"/>
    </row>
    <row r="601" ht="13.5" customHeight="1">
      <c r="A601" s="38"/>
      <c r="B601" s="59"/>
      <c r="C601" s="118" t="s">
        <v>135</v>
      </c>
      <c r="D601" s="111"/>
      <c r="E601" s="119"/>
      <c r="F601" s="169">
        <v>3.0</v>
      </c>
      <c r="G601" s="169">
        <v>11.0</v>
      </c>
      <c r="H601" s="169">
        <v>0.0</v>
      </c>
      <c r="I601" s="119"/>
      <c r="J601" s="170">
        <v>22.0</v>
      </c>
      <c r="K601" s="59"/>
      <c r="L601" s="5"/>
      <c r="N601" s="59"/>
    </row>
    <row r="602" ht="13.5" customHeight="1">
      <c r="A602" s="38"/>
      <c r="B602" s="59"/>
      <c r="C602" s="121" t="s">
        <v>136</v>
      </c>
      <c r="D602" s="25"/>
      <c r="E602" s="122">
        <f t="shared" ref="E602:J602" si="141">E600-E601</f>
        <v>0</v>
      </c>
      <c r="F602" s="122">
        <f t="shared" si="141"/>
        <v>-3</v>
      </c>
      <c r="G602" s="122">
        <f t="shared" si="141"/>
        <v>-11</v>
      </c>
      <c r="H602" s="122">
        <f t="shared" si="141"/>
        <v>0</v>
      </c>
      <c r="I602" s="122">
        <f t="shared" si="141"/>
        <v>0</v>
      </c>
      <c r="J602" s="123">
        <f t="shared" si="141"/>
        <v>-22</v>
      </c>
      <c r="K602" s="59"/>
      <c r="L602" s="5"/>
      <c r="N602" s="59"/>
    </row>
    <row r="603" ht="13.5" customHeight="1">
      <c r="A603" s="38"/>
      <c r="B603" s="59"/>
      <c r="C603" s="110" t="s">
        <v>137</v>
      </c>
      <c r="D603" s="111"/>
      <c r="E603" s="112">
        <f t="shared" ref="E603:J603" si="142">E18+E36+E54+E72+E90+E108+E126+E144+E162+E180+E198+E216+E234+E252+E270+E288+E306+E324+E342+E360+E378+E396+E414+E432+E450+E465+E478+E491+E504+E517+E530+E543+E556+E569+E582</f>
        <v>0</v>
      </c>
      <c r="F603" s="112">
        <f t="shared" si="142"/>
        <v>0</v>
      </c>
      <c r="G603" s="112">
        <f t="shared" si="142"/>
        <v>0</v>
      </c>
      <c r="H603" s="112">
        <f t="shared" si="142"/>
        <v>0</v>
      </c>
      <c r="I603" s="112">
        <f t="shared" si="142"/>
        <v>0</v>
      </c>
      <c r="J603" s="112">
        <f t="shared" si="142"/>
        <v>0</v>
      </c>
      <c r="K603" s="54"/>
      <c r="L603" s="111"/>
      <c r="N603" s="59"/>
    </row>
    <row r="604" ht="13.5" customHeight="1">
      <c r="A604" s="38"/>
      <c r="B604" s="59"/>
      <c r="C604" s="118" t="s">
        <v>135</v>
      </c>
      <c r="D604" s="111"/>
      <c r="E604" s="119"/>
      <c r="F604" s="169">
        <v>1.0</v>
      </c>
      <c r="G604" s="119"/>
      <c r="H604" s="119"/>
      <c r="I604" s="119"/>
      <c r="J604" s="120"/>
      <c r="K604" s="124" t="s">
        <v>135</v>
      </c>
      <c r="L604" s="125"/>
      <c r="N604" s="59"/>
    </row>
    <row r="605" ht="13.5" customHeight="1">
      <c r="A605" s="126"/>
      <c r="B605" s="33"/>
      <c r="C605" s="121" t="s">
        <v>136</v>
      </c>
      <c r="D605" s="25"/>
      <c r="E605" s="122">
        <f t="shared" ref="E605:J605" si="143">E603-E604</f>
        <v>0</v>
      </c>
      <c r="F605" s="122">
        <f t="shared" si="143"/>
        <v>-1</v>
      </c>
      <c r="G605" s="122">
        <f t="shared" si="143"/>
        <v>0</v>
      </c>
      <c r="H605" s="122">
        <f t="shared" si="143"/>
        <v>0</v>
      </c>
      <c r="I605" s="122">
        <f t="shared" si="143"/>
        <v>0</v>
      </c>
      <c r="J605" s="123">
        <f t="shared" si="143"/>
        <v>0</v>
      </c>
      <c r="K605" s="127" t="s">
        <v>136</v>
      </c>
      <c r="L605" s="128">
        <f>L600-L604</f>
        <v>0</v>
      </c>
      <c r="M605" s="129"/>
      <c r="N605" s="54"/>
    </row>
    <row r="606" ht="13.5" customHeight="1">
      <c r="A606" s="105"/>
      <c r="B606" s="10"/>
      <c r="C606" s="130" t="s">
        <v>140</v>
      </c>
      <c r="D606" s="24"/>
      <c r="E606" s="24"/>
      <c r="F606" s="24"/>
      <c r="G606" s="24"/>
      <c r="H606" s="24"/>
      <c r="I606" s="24"/>
      <c r="J606" s="24"/>
      <c r="K606" s="24"/>
      <c r="L606" s="25"/>
      <c r="M606" s="131"/>
      <c r="N606" s="108"/>
    </row>
    <row r="607" ht="13.5" customHeight="1">
      <c r="A607" s="109" t="s">
        <v>140</v>
      </c>
      <c r="B607" s="59"/>
      <c r="C607" s="110" t="s">
        <v>15</v>
      </c>
      <c r="D607" s="111"/>
      <c r="E607" s="112">
        <f t="shared" ref="E607:J607" si="144">E9-(E23+E41+E59+E77+E95+E113+E131+E149+E167+E185+E203+E221+E239+E257+E275+E293+E311+E329+E347+E365+E383+E401+E419+E437+E455+E469+E482+E495+E508+E521+E534+E547+E560+E573+E586)</f>
        <v>0</v>
      </c>
      <c r="F607" s="112">
        <f t="shared" si="144"/>
        <v>0</v>
      </c>
      <c r="G607" s="112">
        <f t="shared" si="144"/>
        <v>0</v>
      </c>
      <c r="H607" s="112">
        <f t="shared" si="144"/>
        <v>0</v>
      </c>
      <c r="I607" s="112">
        <f t="shared" si="144"/>
        <v>0</v>
      </c>
      <c r="J607" s="113">
        <f t="shared" si="144"/>
        <v>0</v>
      </c>
      <c r="K607" s="114" t="s">
        <v>141</v>
      </c>
      <c r="L607" s="115">
        <f>L24+L42+L60+L78+L96+L114+L132+L150+L168+L186+L204+L222+L240+L258+L276+L294+L312+L330+L348+L366+L384+L402+L420+L438+L456+L470+L483+L496+L509+L522+L535+L548+L561+L574+L587</f>
        <v>0</v>
      </c>
      <c r="M607" s="116"/>
      <c r="N607" s="117"/>
    </row>
    <row r="608" ht="13.5" customHeight="1">
      <c r="A608" s="38"/>
      <c r="B608" s="59"/>
      <c r="C608" s="118" t="s">
        <v>135</v>
      </c>
      <c r="D608" s="111"/>
      <c r="E608" s="119"/>
      <c r="F608" s="119"/>
      <c r="G608" s="119"/>
      <c r="H608" s="119"/>
      <c r="I608" s="119"/>
      <c r="J608" s="120"/>
      <c r="K608" s="59"/>
      <c r="L608" s="5"/>
      <c r="N608" s="59"/>
    </row>
    <row r="609" ht="13.5" customHeight="1">
      <c r="A609" s="38"/>
      <c r="B609" s="59"/>
      <c r="C609" s="121" t="s">
        <v>136</v>
      </c>
      <c r="D609" s="25"/>
      <c r="E609" s="122">
        <f t="shared" ref="E609:J609" si="145">E607-E608</f>
        <v>0</v>
      </c>
      <c r="F609" s="122">
        <f t="shared" si="145"/>
        <v>0</v>
      </c>
      <c r="G609" s="122">
        <f t="shared" si="145"/>
        <v>0</v>
      </c>
      <c r="H609" s="122">
        <f t="shared" si="145"/>
        <v>0</v>
      </c>
      <c r="I609" s="122">
        <f t="shared" si="145"/>
        <v>0</v>
      </c>
      <c r="J609" s="123">
        <f t="shared" si="145"/>
        <v>0</v>
      </c>
      <c r="K609" s="59"/>
      <c r="L609" s="5"/>
      <c r="N609" s="59"/>
    </row>
    <row r="610" ht="13.5" customHeight="1">
      <c r="A610" s="38"/>
      <c r="B610" s="59"/>
      <c r="C610" s="110" t="s">
        <v>137</v>
      </c>
      <c r="D610" s="111"/>
      <c r="E610" s="112">
        <f t="shared" ref="E610:J610" si="146">E22+E40+E58+E76+E94+E112+E130+E148+E166+E184+E202+E220+E238+E256+E274+E292+E310+E328+E346+E364+E382+E400+E418+E436+E454+E468+E481+E494+E507+E520+E533+E546+E559+E572+E585</f>
        <v>0</v>
      </c>
      <c r="F610" s="112">
        <f t="shared" si="146"/>
        <v>0</v>
      </c>
      <c r="G610" s="112">
        <f t="shared" si="146"/>
        <v>0</v>
      </c>
      <c r="H610" s="112">
        <f t="shared" si="146"/>
        <v>0</v>
      </c>
      <c r="I610" s="112">
        <f t="shared" si="146"/>
        <v>0</v>
      </c>
      <c r="J610" s="113">
        <f t="shared" si="146"/>
        <v>0</v>
      </c>
      <c r="K610" s="54"/>
      <c r="L610" s="111"/>
      <c r="N610" s="59"/>
    </row>
    <row r="611" ht="13.5" customHeight="1">
      <c r="A611" s="38"/>
      <c r="B611" s="59"/>
      <c r="C611" s="118" t="s">
        <v>135</v>
      </c>
      <c r="D611" s="111"/>
      <c r="E611" s="119"/>
      <c r="F611" s="119"/>
      <c r="G611" s="119"/>
      <c r="H611" s="119"/>
      <c r="I611" s="119"/>
      <c r="J611" s="120"/>
      <c r="K611" s="124" t="s">
        <v>135</v>
      </c>
      <c r="L611" s="125"/>
      <c r="N611" s="59"/>
    </row>
    <row r="612" ht="13.5" customHeight="1">
      <c r="A612" s="126"/>
      <c r="B612" s="33"/>
      <c r="C612" s="121" t="s">
        <v>136</v>
      </c>
      <c r="D612" s="25"/>
      <c r="E612" s="122">
        <f t="shared" ref="E612:J612" si="147">E610-E611</f>
        <v>0</v>
      </c>
      <c r="F612" s="122">
        <f t="shared" si="147"/>
        <v>0</v>
      </c>
      <c r="G612" s="122">
        <f t="shared" si="147"/>
        <v>0</v>
      </c>
      <c r="H612" s="122">
        <f t="shared" si="147"/>
        <v>0</v>
      </c>
      <c r="I612" s="122">
        <f t="shared" si="147"/>
        <v>0</v>
      </c>
      <c r="J612" s="123">
        <f t="shared" si="147"/>
        <v>0</v>
      </c>
      <c r="K612" s="127" t="s">
        <v>136</v>
      </c>
      <c r="L612" s="128">
        <f>L607-L611</f>
        <v>0</v>
      </c>
      <c r="M612" s="129"/>
      <c r="N612" s="54"/>
    </row>
    <row r="613" ht="13.5" customHeight="1">
      <c r="A613" s="105"/>
      <c r="B613" s="10"/>
      <c r="C613" s="106" t="s">
        <v>142</v>
      </c>
      <c r="D613" s="24"/>
      <c r="E613" s="24"/>
      <c r="F613" s="24"/>
      <c r="G613" s="24"/>
      <c r="H613" s="24"/>
      <c r="I613" s="24"/>
      <c r="J613" s="24"/>
      <c r="K613" s="24"/>
      <c r="L613" s="25"/>
      <c r="M613" s="131"/>
      <c r="N613" s="108"/>
    </row>
    <row r="614" ht="13.5" customHeight="1">
      <c r="A614" s="109" t="s">
        <v>142</v>
      </c>
      <c r="B614" s="59"/>
      <c r="C614" s="110" t="s">
        <v>15</v>
      </c>
      <c r="D614" s="111"/>
      <c r="E614" s="112">
        <f t="shared" ref="E614:J614" si="148">E10-(E27+E45+E63+E81+E99+E117+E135+E153+E171+E189+E207+E225+E243+E261+E279+E297+E315+E333+E351+E369+E387+E405+E423+E441+E459+E472+E485+E498+E511+E524+E537+E550+E563+E576+E589)</f>
        <v>0</v>
      </c>
      <c r="F614" s="112">
        <f t="shared" si="148"/>
        <v>0</v>
      </c>
      <c r="G614" s="112">
        <f t="shared" si="148"/>
        <v>0</v>
      </c>
      <c r="H614" s="112">
        <f t="shared" si="148"/>
        <v>0</v>
      </c>
      <c r="I614" s="112">
        <f t="shared" si="148"/>
        <v>0</v>
      </c>
      <c r="J614" s="113">
        <f t="shared" si="148"/>
        <v>0</v>
      </c>
      <c r="K614" s="132" t="s">
        <v>143</v>
      </c>
      <c r="L614" s="133">
        <f>L28+L46+L64+L82+L100+L118+L136+L154+L172+L190+L208+L226+L244+L262+L280+L298+L316+L334+L352+L370+L388+L406+L424+L442+L460+L473+L486+L499+L512+L525+L538+L551+L564+L577+L590</f>
        <v>0</v>
      </c>
      <c r="M614" s="116"/>
      <c r="N614" s="117"/>
    </row>
    <row r="615" ht="13.5" customHeight="1">
      <c r="A615" s="38"/>
      <c r="B615" s="59"/>
      <c r="C615" s="118" t="s">
        <v>135</v>
      </c>
      <c r="D615" s="111"/>
      <c r="E615" s="119"/>
      <c r="F615" s="119"/>
      <c r="G615" s="119"/>
      <c r="H615" s="119"/>
      <c r="I615" s="119"/>
      <c r="J615" s="120"/>
      <c r="K615" s="59"/>
      <c r="L615" s="5"/>
      <c r="N615" s="59"/>
    </row>
    <row r="616" ht="13.5" customHeight="1">
      <c r="A616" s="38"/>
      <c r="B616" s="59"/>
      <c r="C616" s="121" t="s">
        <v>136</v>
      </c>
      <c r="D616" s="25"/>
      <c r="E616" s="122">
        <f t="shared" ref="E616:J616" si="149">E614-E615</f>
        <v>0</v>
      </c>
      <c r="F616" s="122">
        <f t="shared" si="149"/>
        <v>0</v>
      </c>
      <c r="G616" s="122">
        <f t="shared" si="149"/>
        <v>0</v>
      </c>
      <c r="H616" s="122">
        <f t="shared" si="149"/>
        <v>0</v>
      </c>
      <c r="I616" s="122">
        <f t="shared" si="149"/>
        <v>0</v>
      </c>
      <c r="J616" s="123">
        <f t="shared" si="149"/>
        <v>0</v>
      </c>
      <c r="K616" s="59"/>
      <c r="L616" s="5"/>
      <c r="N616" s="59"/>
    </row>
    <row r="617" ht="13.5" customHeight="1">
      <c r="A617" s="38"/>
      <c r="B617" s="59"/>
      <c r="C617" s="110" t="s">
        <v>137</v>
      </c>
      <c r="D617" s="111"/>
      <c r="E617" s="112">
        <f t="shared" ref="E617:J617" si="150">E26+E44+E62+E80+E98+E116+E134+E152+E170+E188+E206+E224+E242+E260+E278+E296+E314+E332+E350+E368+E386+E404+E422+E440+E458+E471+E484+E497+E510+E523+E536+E549+E562+E575+E588</f>
        <v>0</v>
      </c>
      <c r="F617" s="112">
        <f t="shared" si="150"/>
        <v>0</v>
      </c>
      <c r="G617" s="112">
        <f t="shared" si="150"/>
        <v>0</v>
      </c>
      <c r="H617" s="112">
        <f t="shared" si="150"/>
        <v>0</v>
      </c>
      <c r="I617" s="112">
        <f t="shared" si="150"/>
        <v>0</v>
      </c>
      <c r="J617" s="113">
        <f t="shared" si="150"/>
        <v>0</v>
      </c>
      <c r="K617" s="54"/>
      <c r="L617" s="111"/>
      <c r="N617" s="59"/>
    </row>
    <row r="618" ht="13.5" customHeight="1">
      <c r="A618" s="38"/>
      <c r="B618" s="59"/>
      <c r="C618" s="118" t="s">
        <v>135</v>
      </c>
      <c r="D618" s="111"/>
      <c r="E618" s="119"/>
      <c r="F618" s="119"/>
      <c r="G618" s="119"/>
      <c r="H618" s="119"/>
      <c r="I618" s="119"/>
      <c r="J618" s="120"/>
      <c r="K618" s="134" t="s">
        <v>135</v>
      </c>
      <c r="L618" s="135"/>
      <c r="N618" s="59"/>
    </row>
    <row r="619" ht="13.5" customHeight="1">
      <c r="A619" s="126"/>
      <c r="B619" s="33"/>
      <c r="C619" s="121" t="s">
        <v>136</v>
      </c>
      <c r="D619" s="25"/>
      <c r="E619" s="122">
        <f t="shared" ref="E619:J619" si="151">E617-E618</f>
        <v>0</v>
      </c>
      <c r="F619" s="122">
        <f t="shared" si="151"/>
        <v>0</v>
      </c>
      <c r="G619" s="122">
        <f t="shared" si="151"/>
        <v>0</v>
      </c>
      <c r="H619" s="122">
        <f t="shared" si="151"/>
        <v>0</v>
      </c>
      <c r="I619" s="122">
        <f t="shared" si="151"/>
        <v>0</v>
      </c>
      <c r="J619" s="123">
        <f t="shared" si="151"/>
        <v>0</v>
      </c>
      <c r="K619" s="136" t="s">
        <v>136</v>
      </c>
      <c r="L619" s="137">
        <f>L614-L618</f>
        <v>0</v>
      </c>
      <c r="M619" s="129"/>
      <c r="N619" s="54"/>
    </row>
    <row r="620" ht="13.5" customHeight="1">
      <c r="A620" s="138" t="s">
        <v>144</v>
      </c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5"/>
    </row>
    <row r="621" ht="13.5" customHeight="1">
      <c r="A621" s="139"/>
      <c r="B621" s="140"/>
      <c r="C621" s="140"/>
      <c r="D621" s="140"/>
      <c r="E621" s="141" t="s">
        <v>7</v>
      </c>
      <c r="F621" s="141" t="s">
        <v>145</v>
      </c>
      <c r="G621" s="141" t="s">
        <v>9</v>
      </c>
      <c r="H621" s="141" t="s">
        <v>10</v>
      </c>
      <c r="I621" s="141" t="s">
        <v>11</v>
      </c>
      <c r="J621" s="142" t="s">
        <v>146</v>
      </c>
      <c r="K621" s="140"/>
      <c r="L621" s="140"/>
      <c r="M621" s="140"/>
      <c r="N621" s="140"/>
    </row>
    <row r="622" ht="13.5" customHeight="1">
      <c r="A622" s="143">
        <v>1.0</v>
      </c>
      <c r="B622" s="144" t="s">
        <v>147</v>
      </c>
      <c r="C622" s="129"/>
      <c r="D622" s="111"/>
      <c r="E622" s="145">
        <f t="shared" ref="E622:J622" si="152">E13+E31+E49+E67+E85+E103+E121+E139+E157+E175+E193+E211+E229+E247+E265+E283+E301+E319+E337+E355+E373+E391+E409+E427+E445</f>
        <v>0</v>
      </c>
      <c r="F622" s="145">
        <f t="shared" si="152"/>
        <v>-9</v>
      </c>
      <c r="G622" s="145">
        <f t="shared" si="152"/>
        <v>-5</v>
      </c>
      <c r="H622" s="145">
        <f t="shared" si="152"/>
        <v>-4</v>
      </c>
      <c r="I622" s="145">
        <f t="shared" si="152"/>
        <v>-5</v>
      </c>
      <c r="J622" s="146">
        <f t="shared" si="152"/>
        <v>-10</v>
      </c>
      <c r="K622" s="147"/>
      <c r="L622" s="2"/>
      <c r="M622" s="2"/>
      <c r="N622" s="3"/>
    </row>
    <row r="623" ht="13.5" customHeight="1">
      <c r="A623" s="68"/>
      <c r="B623" s="148" t="s">
        <v>148</v>
      </c>
      <c r="C623" s="129"/>
      <c r="D623" s="54"/>
      <c r="E623" s="149">
        <f t="shared" ref="E623:J623" si="153">E15+E33+E51+E69+E87+E105+E123+E141+E159+E177+E195+E213+E231+E249+E267+E285+E303+E321+E339+E357+E375+E393+E411+E429+E447+E463+E476+E489+E502+E515+E528+E541+E554+E567+E580</f>
        <v>0</v>
      </c>
      <c r="F623" s="149">
        <f t="shared" si="153"/>
        <v>29</v>
      </c>
      <c r="G623" s="149">
        <f t="shared" si="153"/>
        <v>27</v>
      </c>
      <c r="H623" s="149">
        <f t="shared" si="153"/>
        <v>11</v>
      </c>
      <c r="I623" s="149">
        <f t="shared" si="153"/>
        <v>17</v>
      </c>
      <c r="J623" s="150">
        <f t="shared" si="153"/>
        <v>31</v>
      </c>
      <c r="K623" s="38"/>
      <c r="N623" s="5"/>
    </row>
    <row r="624" ht="13.5" customHeight="1">
      <c r="A624" s="68"/>
      <c r="B624" s="148" t="s">
        <v>149</v>
      </c>
      <c r="C624" s="129"/>
      <c r="D624" s="54"/>
      <c r="E624" s="151">
        <f t="shared" ref="E624:J624" si="154">E16+E34+E52+E70+E88+E106+E124+E142+E160+E178+E196+E214+E232+E250+E268+E286+E304+E322+E340+E358+E376+E394+E412+E430+E448+E464+E477+E490+E503+E516+E529+E542+E555+E568+E581</f>
        <v>0</v>
      </c>
      <c r="F624" s="151">
        <f t="shared" si="154"/>
        <v>0</v>
      </c>
      <c r="G624" s="151">
        <f t="shared" si="154"/>
        <v>0</v>
      </c>
      <c r="H624" s="151">
        <f t="shared" si="154"/>
        <v>0</v>
      </c>
      <c r="I624" s="151">
        <f t="shared" si="154"/>
        <v>0</v>
      </c>
      <c r="J624" s="152">
        <f t="shared" si="154"/>
        <v>0</v>
      </c>
      <c r="K624" s="38"/>
      <c r="N624" s="5"/>
    </row>
    <row r="625" ht="13.5" customHeight="1">
      <c r="A625" s="68"/>
      <c r="B625" s="148" t="s">
        <v>150</v>
      </c>
      <c r="C625" s="129"/>
      <c r="D625" s="54"/>
      <c r="E625" s="153">
        <f t="shared" ref="E625:J625" si="155">E14+E32+E50+E68+E86+E104+E122+E140+E158+E176+E194+E212+E230+E248+E266+E284+E302+E320+E338+E356+E374+E392+E410+E428+E446+E462+E475+E488+E501+E514+E527+E540+E553+E566+E579</f>
        <v>0</v>
      </c>
      <c r="F625" s="153">
        <f t="shared" si="155"/>
        <v>9</v>
      </c>
      <c r="G625" s="153">
        <f t="shared" si="155"/>
        <v>5</v>
      </c>
      <c r="H625" s="153">
        <f t="shared" si="155"/>
        <v>4</v>
      </c>
      <c r="I625" s="153">
        <f t="shared" si="155"/>
        <v>5</v>
      </c>
      <c r="J625" s="154">
        <f t="shared" si="155"/>
        <v>10</v>
      </c>
      <c r="K625" s="38"/>
      <c r="N625" s="5"/>
    </row>
    <row r="626" ht="13.5" customHeight="1">
      <c r="A626" s="80"/>
      <c r="B626" s="155" t="s">
        <v>151</v>
      </c>
      <c r="C626" s="24"/>
      <c r="D626" s="33"/>
      <c r="E626" s="156">
        <f t="shared" ref="E626:J626" si="156">(E623+E624)</f>
        <v>0</v>
      </c>
      <c r="F626" s="156">
        <f t="shared" si="156"/>
        <v>29</v>
      </c>
      <c r="G626" s="156">
        <f t="shared" si="156"/>
        <v>27</v>
      </c>
      <c r="H626" s="156">
        <f t="shared" si="156"/>
        <v>11</v>
      </c>
      <c r="I626" s="156">
        <f t="shared" si="156"/>
        <v>17</v>
      </c>
      <c r="J626" s="157">
        <f t="shared" si="156"/>
        <v>31</v>
      </c>
      <c r="K626" s="126"/>
      <c r="L626" s="24"/>
      <c r="M626" s="24"/>
      <c r="N626" s="25"/>
    </row>
    <row r="627" ht="13.5" customHeight="1">
      <c r="A627" s="139"/>
      <c r="B627" s="140"/>
      <c r="C627" s="140"/>
      <c r="D627" s="140"/>
      <c r="E627" s="141" t="s">
        <v>7</v>
      </c>
      <c r="F627" s="141" t="s">
        <v>145</v>
      </c>
      <c r="G627" s="141" t="s">
        <v>9</v>
      </c>
      <c r="H627" s="141" t="s">
        <v>10</v>
      </c>
      <c r="I627" s="141" t="s">
        <v>11</v>
      </c>
      <c r="J627" s="142" t="s">
        <v>146</v>
      </c>
      <c r="K627" s="140"/>
      <c r="L627" s="140"/>
      <c r="M627" s="140"/>
      <c r="N627" s="140"/>
    </row>
    <row r="628" ht="13.5" customHeight="1">
      <c r="A628" s="143">
        <v>2.0</v>
      </c>
      <c r="B628" s="144" t="s">
        <v>147</v>
      </c>
      <c r="C628" s="129"/>
      <c r="D628" s="111"/>
      <c r="E628" s="145">
        <f t="shared" ref="E628:J628" si="157">E17+E35+E53+E71+E89+E107+E125+E143+E161+E179+E197+E215+E233+E251+E269+E287+E305+E323+E341+E359+E377+E395+E413+E431+E449</f>
        <v>0</v>
      </c>
      <c r="F628" s="145">
        <f t="shared" si="157"/>
        <v>29</v>
      </c>
      <c r="G628" s="145">
        <f t="shared" si="157"/>
        <v>27</v>
      </c>
      <c r="H628" s="145">
        <f t="shared" si="157"/>
        <v>11</v>
      </c>
      <c r="I628" s="145">
        <f t="shared" si="157"/>
        <v>17</v>
      </c>
      <c r="J628" s="146">
        <f t="shared" si="157"/>
        <v>31</v>
      </c>
      <c r="K628" s="147"/>
      <c r="L628" s="2"/>
      <c r="M628" s="2"/>
      <c r="N628" s="3"/>
    </row>
    <row r="629" ht="13.5" customHeight="1">
      <c r="A629" s="68"/>
      <c r="B629" s="148" t="s">
        <v>148</v>
      </c>
      <c r="C629" s="129"/>
      <c r="D629" s="54"/>
      <c r="E629" s="149">
        <f t="shared" ref="E629:J629" si="158">E19+E37+E55+E73+E91+E109+E127+E145+E163+E181+E199+E217+E235+E253+E271+E289+E307+E325+E343+E361+E379+E397+E415+E433+E451+E466+E479+E492+E505+E518+E531+E544+E557+E570+E583</f>
        <v>0</v>
      </c>
      <c r="F629" s="149">
        <f t="shared" si="158"/>
        <v>0</v>
      </c>
      <c r="G629" s="149">
        <f t="shared" si="158"/>
        <v>0</v>
      </c>
      <c r="H629" s="149">
        <f t="shared" si="158"/>
        <v>0</v>
      </c>
      <c r="I629" s="149">
        <f t="shared" si="158"/>
        <v>0</v>
      </c>
      <c r="J629" s="150">
        <f t="shared" si="158"/>
        <v>0</v>
      </c>
      <c r="K629" s="38"/>
      <c r="N629" s="5"/>
    </row>
    <row r="630" ht="13.5" customHeight="1">
      <c r="A630" s="68"/>
      <c r="B630" s="148" t="s">
        <v>149</v>
      </c>
      <c r="C630" s="129"/>
      <c r="D630" s="54"/>
      <c r="E630" s="151">
        <f t="shared" ref="E630:J630" si="159">E20+E38+E56+E74+E92+E110+E128+E146+E164+E182+E200+E218+E236+E254+E272+E290+E308+E326+E344+E362+E380+E398+E416+E434+E452+E467+E480+E493+E506+E519+E532+E545+E558+E571+E584</f>
        <v>0</v>
      </c>
      <c r="F630" s="151">
        <f t="shared" si="159"/>
        <v>0</v>
      </c>
      <c r="G630" s="151">
        <f t="shared" si="159"/>
        <v>0</v>
      </c>
      <c r="H630" s="151">
        <f t="shared" si="159"/>
        <v>0</v>
      </c>
      <c r="I630" s="151">
        <f t="shared" si="159"/>
        <v>0</v>
      </c>
      <c r="J630" s="152">
        <f t="shared" si="159"/>
        <v>0</v>
      </c>
      <c r="K630" s="38"/>
      <c r="N630" s="5"/>
    </row>
    <row r="631" ht="13.5" customHeight="1">
      <c r="A631" s="68"/>
      <c r="B631" s="148" t="s">
        <v>150</v>
      </c>
      <c r="C631" s="129"/>
      <c r="D631" s="54"/>
      <c r="E631" s="153">
        <f t="shared" ref="E631:J631" si="160">E18+E36+E54+E72+E90+E108+E126+E144+E162+E180+E198+E216+E234+E252+E270+E288+E306+E324+E342+E360+E378+E396+E414+E432+E450+E465+E478+E491+E504+E517+E530+E543+E556+E569+E582</f>
        <v>0</v>
      </c>
      <c r="F631" s="153">
        <f t="shared" si="160"/>
        <v>0</v>
      </c>
      <c r="G631" s="153">
        <f t="shared" si="160"/>
        <v>0</v>
      </c>
      <c r="H631" s="153">
        <f t="shared" si="160"/>
        <v>0</v>
      </c>
      <c r="I631" s="153">
        <f t="shared" si="160"/>
        <v>0</v>
      </c>
      <c r="J631" s="154">
        <f t="shared" si="160"/>
        <v>0</v>
      </c>
      <c r="K631" s="38"/>
      <c r="N631" s="5"/>
    </row>
    <row r="632" ht="13.5" customHeight="1">
      <c r="A632" s="80"/>
      <c r="B632" s="155" t="s">
        <v>151</v>
      </c>
      <c r="C632" s="24"/>
      <c r="D632" s="33"/>
      <c r="E632" s="156">
        <f t="shared" ref="E632:J632" si="161">(E629+E630)</f>
        <v>0</v>
      </c>
      <c r="F632" s="156">
        <f t="shared" si="161"/>
        <v>0</v>
      </c>
      <c r="G632" s="156">
        <f t="shared" si="161"/>
        <v>0</v>
      </c>
      <c r="H632" s="156">
        <f t="shared" si="161"/>
        <v>0</v>
      </c>
      <c r="I632" s="156">
        <f t="shared" si="161"/>
        <v>0</v>
      </c>
      <c r="J632" s="157">
        <f t="shared" si="161"/>
        <v>0</v>
      </c>
      <c r="K632" s="126"/>
      <c r="L632" s="24"/>
      <c r="M632" s="24"/>
      <c r="N632" s="25"/>
    </row>
    <row r="633" ht="13.5" customHeight="1">
      <c r="A633" s="139"/>
      <c r="B633" s="140"/>
      <c r="C633" s="140"/>
      <c r="D633" s="140"/>
      <c r="E633" s="141" t="s">
        <v>7</v>
      </c>
      <c r="F633" s="141" t="s">
        <v>145</v>
      </c>
      <c r="G633" s="141" t="s">
        <v>9</v>
      </c>
      <c r="H633" s="141" t="s">
        <v>10</v>
      </c>
      <c r="I633" s="141" t="s">
        <v>11</v>
      </c>
      <c r="J633" s="142" t="s">
        <v>146</v>
      </c>
      <c r="K633" s="140"/>
      <c r="L633" s="140"/>
      <c r="M633" s="140"/>
      <c r="N633" s="140"/>
    </row>
    <row r="634" ht="13.5" customHeight="1">
      <c r="A634" s="143">
        <v>3.0</v>
      </c>
      <c r="B634" s="144" t="s">
        <v>147</v>
      </c>
      <c r="C634" s="129"/>
      <c r="D634" s="111"/>
      <c r="E634" s="145">
        <f t="shared" ref="E634:J634" si="162">E21+E39+E57+E75+E93+E111+E129+E147+E165+E183+E201+E219+E237+E255+E273+E291+E309+E327+E345+E363+E381+E399+E417+E435+E453</f>
        <v>0</v>
      </c>
      <c r="F634" s="145">
        <f t="shared" si="162"/>
        <v>0</v>
      </c>
      <c r="G634" s="145">
        <f t="shared" si="162"/>
        <v>0</v>
      </c>
      <c r="H634" s="145">
        <f t="shared" si="162"/>
        <v>0</v>
      </c>
      <c r="I634" s="145">
        <f t="shared" si="162"/>
        <v>0</v>
      </c>
      <c r="J634" s="146">
        <f t="shared" si="162"/>
        <v>0</v>
      </c>
      <c r="K634" s="147"/>
      <c r="L634" s="2"/>
      <c r="M634" s="2"/>
      <c r="N634" s="3"/>
    </row>
    <row r="635" ht="13.5" customHeight="1">
      <c r="A635" s="68"/>
      <c r="B635" s="148" t="s">
        <v>148</v>
      </c>
      <c r="C635" s="129"/>
      <c r="D635" s="54"/>
      <c r="E635" s="158">
        <f t="shared" ref="E635:J635" si="163">E23+E41+E59+E77+E95+E113+E131+E149+E167+E185+E203+E221+E239+E257+E275+E293+E311+E329+E347+E365+E383+E401+E419+E437+E455+E469+E482+E495+E508+E521+E534+E547+E573+E586</f>
        <v>0</v>
      </c>
      <c r="F635" s="158">
        <f t="shared" si="163"/>
        <v>0</v>
      </c>
      <c r="G635" s="158">
        <f t="shared" si="163"/>
        <v>0</v>
      </c>
      <c r="H635" s="158">
        <f t="shared" si="163"/>
        <v>0</v>
      </c>
      <c r="I635" s="158">
        <f t="shared" si="163"/>
        <v>0</v>
      </c>
      <c r="J635" s="159">
        <f t="shared" si="163"/>
        <v>0</v>
      </c>
      <c r="K635" s="38"/>
      <c r="N635" s="5"/>
    </row>
    <row r="636" ht="13.5" customHeight="1">
      <c r="A636" s="68"/>
      <c r="B636" s="148" t="s">
        <v>149</v>
      </c>
      <c r="C636" s="129"/>
      <c r="D636" s="54"/>
      <c r="E636" s="160">
        <f t="shared" ref="E636:J636" si="164">E24+E42+E60+E78+E96+E114+E132+E150+E168+E186+E204+E222+E240+E258+E276+E294+E312+E330+E348+E366+E384+E402+E420+E438+E456+E470+E483+E496+E509+E522+E535+E548+E561+E574+E587</f>
        <v>0</v>
      </c>
      <c r="F636" s="160">
        <f t="shared" si="164"/>
        <v>0</v>
      </c>
      <c r="G636" s="160">
        <f t="shared" si="164"/>
        <v>0</v>
      </c>
      <c r="H636" s="160">
        <f t="shared" si="164"/>
        <v>0</v>
      </c>
      <c r="I636" s="160">
        <f t="shared" si="164"/>
        <v>0</v>
      </c>
      <c r="J636" s="161">
        <f t="shared" si="164"/>
        <v>0</v>
      </c>
      <c r="K636" s="38"/>
      <c r="N636" s="5"/>
    </row>
    <row r="637" ht="13.5" customHeight="1">
      <c r="A637" s="68"/>
      <c r="B637" s="148" t="s">
        <v>150</v>
      </c>
      <c r="C637" s="129"/>
      <c r="D637" s="54"/>
      <c r="E637" s="162">
        <f t="shared" ref="E637:J637" si="165">E22+E40+E58+E76+E94+E112+E130+E148+E166+E184+E202+E220+E238+E256+E274+E292+E310+E328+E346+E364+E382+E400+E418+E436+E454+E468+E481+E494+E507+E520+E533+E546+E559+E572+E585</f>
        <v>0</v>
      </c>
      <c r="F637" s="162">
        <f t="shared" si="165"/>
        <v>0</v>
      </c>
      <c r="G637" s="162">
        <f t="shared" si="165"/>
        <v>0</v>
      </c>
      <c r="H637" s="162">
        <f t="shared" si="165"/>
        <v>0</v>
      </c>
      <c r="I637" s="162">
        <f t="shared" si="165"/>
        <v>0</v>
      </c>
      <c r="J637" s="163">
        <f t="shared" si="165"/>
        <v>0</v>
      </c>
      <c r="K637" s="38"/>
      <c r="N637" s="5"/>
    </row>
    <row r="638" ht="13.5" customHeight="1">
      <c r="A638" s="80"/>
      <c r="B638" s="155" t="s">
        <v>151</v>
      </c>
      <c r="C638" s="24"/>
      <c r="D638" s="33"/>
      <c r="E638" s="164">
        <f t="shared" ref="E638:J638" si="166">(E635+E636)</f>
        <v>0</v>
      </c>
      <c r="F638" s="164">
        <f t="shared" si="166"/>
        <v>0</v>
      </c>
      <c r="G638" s="164">
        <f t="shared" si="166"/>
        <v>0</v>
      </c>
      <c r="H638" s="164">
        <f t="shared" si="166"/>
        <v>0</v>
      </c>
      <c r="I638" s="164">
        <f t="shared" si="166"/>
        <v>0</v>
      </c>
      <c r="J638" s="165">
        <f t="shared" si="166"/>
        <v>0</v>
      </c>
      <c r="K638" s="126"/>
      <c r="L638" s="24"/>
      <c r="M638" s="24"/>
      <c r="N638" s="25"/>
    </row>
    <row r="639" ht="13.5" customHeight="1">
      <c r="A639" s="139"/>
      <c r="B639" s="140"/>
      <c r="C639" s="140"/>
      <c r="D639" s="140"/>
      <c r="E639" s="141" t="s">
        <v>7</v>
      </c>
      <c r="F639" s="141" t="s">
        <v>145</v>
      </c>
      <c r="G639" s="141" t="s">
        <v>9</v>
      </c>
      <c r="H639" s="141" t="s">
        <v>10</v>
      </c>
      <c r="I639" s="141" t="s">
        <v>11</v>
      </c>
      <c r="J639" s="142" t="s">
        <v>146</v>
      </c>
      <c r="K639" s="140"/>
      <c r="L639" s="140"/>
      <c r="M639" s="140"/>
      <c r="N639" s="140"/>
    </row>
    <row r="640" ht="13.5" customHeight="1">
      <c r="A640" s="143">
        <v>4.0</v>
      </c>
      <c r="B640" s="144" t="s">
        <v>147</v>
      </c>
      <c r="C640" s="129"/>
      <c r="D640" s="111"/>
      <c r="E640" s="145">
        <f t="shared" ref="E640:J640" si="167">E25+E43+E61+E79+E97+E115+E133+E151+E169+E187+E205+E223+E241+E259+E277+E295+E313+E331+E349+E367+E385+E403+E421+E439+E457</f>
        <v>0</v>
      </c>
      <c r="F640" s="145">
        <f t="shared" si="167"/>
        <v>0</v>
      </c>
      <c r="G640" s="145">
        <f t="shared" si="167"/>
        <v>0</v>
      </c>
      <c r="H640" s="145">
        <f t="shared" si="167"/>
        <v>0</v>
      </c>
      <c r="I640" s="145">
        <f t="shared" si="167"/>
        <v>0</v>
      </c>
      <c r="J640" s="146">
        <f t="shared" si="167"/>
        <v>0</v>
      </c>
      <c r="K640" s="147"/>
      <c r="L640" s="2"/>
      <c r="M640" s="2"/>
      <c r="N640" s="3"/>
    </row>
    <row r="641" ht="13.5" customHeight="1">
      <c r="A641" s="68"/>
      <c r="B641" s="148" t="s">
        <v>148</v>
      </c>
      <c r="C641" s="129"/>
      <c r="D641" s="54"/>
      <c r="E641" s="149">
        <f t="shared" ref="E641:J641" si="168">E27+E45+E63+E81+E99+E117+E135+E153+E171+E189+E207+E225+E243+E261+E279+E297+E315+E333+E351+E369+E387+E405+E423+E441+E459+E472+E485+E498+E511+E524+E537+E550+E563+E576+E589</f>
        <v>0</v>
      </c>
      <c r="F641" s="149">
        <f t="shared" si="168"/>
        <v>0</v>
      </c>
      <c r="G641" s="149">
        <f t="shared" si="168"/>
        <v>0</v>
      </c>
      <c r="H641" s="149">
        <f t="shared" si="168"/>
        <v>0</v>
      </c>
      <c r="I641" s="149">
        <f t="shared" si="168"/>
        <v>0</v>
      </c>
      <c r="J641" s="150">
        <f t="shared" si="168"/>
        <v>0</v>
      </c>
      <c r="K641" s="38"/>
      <c r="N641" s="5"/>
    </row>
    <row r="642" ht="13.5" customHeight="1">
      <c r="A642" s="68"/>
      <c r="B642" s="148" t="s">
        <v>149</v>
      </c>
      <c r="C642" s="129"/>
      <c r="D642" s="54"/>
      <c r="E642" s="151">
        <f t="shared" ref="E642:J642" si="169">E28+E46+E64+E82+E100+E118+E136+E154+E172+E190+E208+E226+E244+E262+E280+E298+E316+E334+E352+E370+E388+E406+E424+E442+E460+E473+E486+E499+E512+E525+E538+E551+E564+E577+E590</f>
        <v>0</v>
      </c>
      <c r="F642" s="151">
        <f t="shared" si="169"/>
        <v>0</v>
      </c>
      <c r="G642" s="151">
        <f t="shared" si="169"/>
        <v>0</v>
      </c>
      <c r="H642" s="151">
        <f t="shared" si="169"/>
        <v>0</v>
      </c>
      <c r="I642" s="151">
        <f t="shared" si="169"/>
        <v>0</v>
      </c>
      <c r="J642" s="152">
        <f t="shared" si="169"/>
        <v>0</v>
      </c>
      <c r="K642" s="38"/>
      <c r="N642" s="5"/>
    </row>
    <row r="643" ht="13.5" customHeight="1">
      <c r="A643" s="68"/>
      <c r="B643" s="148" t="s">
        <v>150</v>
      </c>
      <c r="C643" s="129"/>
      <c r="D643" s="54"/>
      <c r="E643" s="153">
        <f t="shared" ref="E643:J643" si="170">E26+E44+E62+E80+E98+E116+E134+E152+E170+E188+E206+E224+E242+E260+E278+E296+E314+E332+E350+E368+E386+E404+E422+E440+E458+E471+E484+E497+E510+E523+E536+E549+E562+E575+E588</f>
        <v>0</v>
      </c>
      <c r="F643" s="153">
        <f t="shared" si="170"/>
        <v>0</v>
      </c>
      <c r="G643" s="153">
        <f t="shared" si="170"/>
        <v>0</v>
      </c>
      <c r="H643" s="153">
        <f t="shared" si="170"/>
        <v>0</v>
      </c>
      <c r="I643" s="153">
        <f t="shared" si="170"/>
        <v>0</v>
      </c>
      <c r="J643" s="154">
        <f t="shared" si="170"/>
        <v>0</v>
      </c>
      <c r="K643" s="38"/>
      <c r="N643" s="5"/>
    </row>
    <row r="644" ht="13.5" customHeight="1">
      <c r="A644" s="80"/>
      <c r="B644" s="155" t="s">
        <v>151</v>
      </c>
      <c r="C644" s="24"/>
      <c r="D644" s="33"/>
      <c r="E644" s="156">
        <f t="shared" ref="E644:J644" si="171">(E641+E642)</f>
        <v>0</v>
      </c>
      <c r="F644" s="156">
        <f t="shared" si="171"/>
        <v>0</v>
      </c>
      <c r="G644" s="156">
        <f t="shared" si="171"/>
        <v>0</v>
      </c>
      <c r="H644" s="156">
        <f t="shared" si="171"/>
        <v>0</v>
      </c>
      <c r="I644" s="156">
        <f t="shared" si="171"/>
        <v>0</v>
      </c>
      <c r="J644" s="157">
        <f t="shared" si="171"/>
        <v>0</v>
      </c>
      <c r="K644" s="126"/>
      <c r="L644" s="24"/>
      <c r="M644" s="24"/>
      <c r="N644" s="25"/>
    </row>
    <row r="645" ht="13.5" customHeight="1">
      <c r="A645" s="166" t="s">
        <v>152</v>
      </c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5"/>
    </row>
    <row r="646" ht="13.5" customHeight="1">
      <c r="A646" s="139"/>
      <c r="B646" s="140"/>
      <c r="C646" s="140"/>
      <c r="D646" s="140"/>
      <c r="E646" s="141" t="s">
        <v>7</v>
      </c>
      <c r="F646" s="141" t="s">
        <v>145</v>
      </c>
      <c r="G646" s="141" t="s">
        <v>9</v>
      </c>
      <c r="H646" s="141" t="s">
        <v>10</v>
      </c>
      <c r="I646" s="141" t="s">
        <v>11</v>
      </c>
      <c r="J646" s="142" t="s">
        <v>146</v>
      </c>
      <c r="K646" s="140"/>
      <c r="L646" s="140"/>
      <c r="M646" s="140"/>
      <c r="N646" s="140"/>
    </row>
    <row r="647" ht="13.5" customHeight="1">
      <c r="A647" s="167" t="s">
        <v>2</v>
      </c>
      <c r="B647" s="144" t="s">
        <v>147</v>
      </c>
      <c r="C647" s="129"/>
      <c r="D647" s="111"/>
      <c r="E647" s="145">
        <f t="shared" ref="E647:J647" si="172">E622+E628+E634+E640</f>
        <v>0</v>
      </c>
      <c r="F647" s="145">
        <f t="shared" si="172"/>
        <v>20</v>
      </c>
      <c r="G647" s="145">
        <f t="shared" si="172"/>
        <v>22</v>
      </c>
      <c r="H647" s="145">
        <f t="shared" si="172"/>
        <v>7</v>
      </c>
      <c r="I647" s="145">
        <f t="shared" si="172"/>
        <v>12</v>
      </c>
      <c r="J647" s="146">
        <f t="shared" si="172"/>
        <v>21</v>
      </c>
      <c r="K647" s="147"/>
      <c r="L647" s="2"/>
      <c r="M647" s="2"/>
      <c r="N647" s="3"/>
    </row>
    <row r="648" ht="13.5" customHeight="1">
      <c r="A648" s="68"/>
      <c r="B648" s="148" t="s">
        <v>148</v>
      </c>
      <c r="C648" s="129"/>
      <c r="D648" s="54"/>
      <c r="E648" s="149">
        <f t="shared" ref="E648:J648" si="173">E623+E629+E635+E641</f>
        <v>0</v>
      </c>
      <c r="F648" s="149">
        <f t="shared" si="173"/>
        <v>29</v>
      </c>
      <c r="G648" s="149">
        <f t="shared" si="173"/>
        <v>27</v>
      </c>
      <c r="H648" s="149">
        <f t="shared" si="173"/>
        <v>11</v>
      </c>
      <c r="I648" s="149">
        <f t="shared" si="173"/>
        <v>17</v>
      </c>
      <c r="J648" s="150">
        <f t="shared" si="173"/>
        <v>31</v>
      </c>
      <c r="K648" s="38"/>
      <c r="N648" s="5"/>
    </row>
    <row r="649" ht="13.5" customHeight="1">
      <c r="A649" s="68"/>
      <c r="B649" s="148" t="s">
        <v>149</v>
      </c>
      <c r="C649" s="129"/>
      <c r="D649" s="54"/>
      <c r="E649" s="151">
        <f t="shared" ref="E649:J649" si="174">E624+E630+E636+E642</f>
        <v>0</v>
      </c>
      <c r="F649" s="151">
        <f t="shared" si="174"/>
        <v>0</v>
      </c>
      <c r="G649" s="151">
        <f t="shared" si="174"/>
        <v>0</v>
      </c>
      <c r="H649" s="151">
        <f t="shared" si="174"/>
        <v>0</v>
      </c>
      <c r="I649" s="151">
        <f t="shared" si="174"/>
        <v>0</v>
      </c>
      <c r="J649" s="152">
        <f t="shared" si="174"/>
        <v>0</v>
      </c>
      <c r="K649" s="38"/>
      <c r="N649" s="5"/>
    </row>
    <row r="650" ht="13.5" customHeight="1">
      <c r="A650" s="68"/>
      <c r="B650" s="148" t="s">
        <v>153</v>
      </c>
      <c r="C650" s="129"/>
      <c r="D650" s="54"/>
      <c r="E650" s="153">
        <f t="shared" ref="E650:J650" si="175">E625+E631+E637+E643</f>
        <v>0</v>
      </c>
      <c r="F650" s="153">
        <f t="shared" si="175"/>
        <v>9</v>
      </c>
      <c r="G650" s="153">
        <f t="shared" si="175"/>
        <v>5</v>
      </c>
      <c r="H650" s="153">
        <f t="shared" si="175"/>
        <v>4</v>
      </c>
      <c r="I650" s="153">
        <f t="shared" si="175"/>
        <v>5</v>
      </c>
      <c r="J650" s="154">
        <f t="shared" si="175"/>
        <v>10</v>
      </c>
      <c r="K650" s="38"/>
      <c r="N650" s="5"/>
    </row>
    <row r="651" ht="13.5" customHeight="1">
      <c r="A651" s="80"/>
      <c r="B651" s="155" t="s">
        <v>151</v>
      </c>
      <c r="C651" s="24"/>
      <c r="D651" s="25"/>
      <c r="E651" s="156">
        <f t="shared" ref="E651:J651" si="176">(E648+E649)-E650</f>
        <v>0</v>
      </c>
      <c r="F651" s="156">
        <f t="shared" si="176"/>
        <v>20</v>
      </c>
      <c r="G651" s="156">
        <f t="shared" si="176"/>
        <v>22</v>
      </c>
      <c r="H651" s="156">
        <f t="shared" si="176"/>
        <v>7</v>
      </c>
      <c r="I651" s="156">
        <f t="shared" si="176"/>
        <v>12</v>
      </c>
      <c r="J651" s="157">
        <f t="shared" si="176"/>
        <v>21</v>
      </c>
      <c r="K651" s="126"/>
      <c r="L651" s="24"/>
      <c r="M651" s="24"/>
      <c r="N651" s="25"/>
    </row>
  </sheetData>
  <mergeCells count="1188">
    <mergeCell ref="B327:B328"/>
    <mergeCell ref="B331:B332"/>
    <mergeCell ref="C331:D331"/>
    <mergeCell ref="A332:A334"/>
    <mergeCell ref="C332:D332"/>
    <mergeCell ref="C333:D333"/>
    <mergeCell ref="C334:D334"/>
    <mergeCell ref="B335:D335"/>
    <mergeCell ref="C336:D336"/>
    <mergeCell ref="C337:D337"/>
    <mergeCell ref="C338:D338"/>
    <mergeCell ref="A339:A340"/>
    <mergeCell ref="C339:D339"/>
    <mergeCell ref="C340:D340"/>
    <mergeCell ref="C398:D398"/>
    <mergeCell ref="C399:D399"/>
    <mergeCell ref="B391:B392"/>
    <mergeCell ref="B395:B396"/>
    <mergeCell ref="C395:D395"/>
    <mergeCell ref="C396:D396"/>
    <mergeCell ref="C397:D397"/>
    <mergeCell ref="B399:B400"/>
    <mergeCell ref="C400:D400"/>
    <mergeCell ref="C404:D404"/>
    <mergeCell ref="C405:D405"/>
    <mergeCell ref="A396:A397"/>
    <mergeCell ref="A401:A402"/>
    <mergeCell ref="C401:D401"/>
    <mergeCell ref="C402:D402"/>
    <mergeCell ref="B403:B404"/>
    <mergeCell ref="C403:D403"/>
    <mergeCell ref="A404:A406"/>
    <mergeCell ref="C411:D411"/>
    <mergeCell ref="C412:D412"/>
    <mergeCell ref="C406:D406"/>
    <mergeCell ref="B407:D407"/>
    <mergeCell ref="C408:D408"/>
    <mergeCell ref="B409:B410"/>
    <mergeCell ref="C409:D409"/>
    <mergeCell ref="C410:D410"/>
    <mergeCell ref="A411:A412"/>
    <mergeCell ref="C417:D417"/>
    <mergeCell ref="C418:D418"/>
    <mergeCell ref="B413:B414"/>
    <mergeCell ref="C413:D413"/>
    <mergeCell ref="A414:A415"/>
    <mergeCell ref="C414:D414"/>
    <mergeCell ref="C415:D415"/>
    <mergeCell ref="C416:D416"/>
    <mergeCell ref="B417:B418"/>
    <mergeCell ref="C423:D423"/>
    <mergeCell ref="C424:D424"/>
    <mergeCell ref="A419:A420"/>
    <mergeCell ref="C419:D419"/>
    <mergeCell ref="C420:D420"/>
    <mergeCell ref="B421:B422"/>
    <mergeCell ref="C421:D421"/>
    <mergeCell ref="A422:A424"/>
    <mergeCell ref="C422:D422"/>
    <mergeCell ref="B427:B428"/>
    <mergeCell ref="B431:B432"/>
    <mergeCell ref="B425:D425"/>
    <mergeCell ref="C426:D426"/>
    <mergeCell ref="C427:D427"/>
    <mergeCell ref="C428:D428"/>
    <mergeCell ref="C429:D429"/>
    <mergeCell ref="C430:D430"/>
    <mergeCell ref="C431:D431"/>
    <mergeCell ref="B381:B382"/>
    <mergeCell ref="B385:B386"/>
    <mergeCell ref="C385:D385"/>
    <mergeCell ref="A386:A388"/>
    <mergeCell ref="C386:D386"/>
    <mergeCell ref="C387:D387"/>
    <mergeCell ref="C388:D388"/>
    <mergeCell ref="B389:D389"/>
    <mergeCell ref="C390:D390"/>
    <mergeCell ref="C391:D391"/>
    <mergeCell ref="C392:D392"/>
    <mergeCell ref="A393:A394"/>
    <mergeCell ref="C393:D393"/>
    <mergeCell ref="C394:D394"/>
    <mergeCell ref="A432:A433"/>
    <mergeCell ref="A437:A438"/>
    <mergeCell ref="A429:A430"/>
    <mergeCell ref="C432:D432"/>
    <mergeCell ref="C433:D433"/>
    <mergeCell ref="C434:D434"/>
    <mergeCell ref="B435:B436"/>
    <mergeCell ref="C435:D435"/>
    <mergeCell ref="C436:D436"/>
    <mergeCell ref="C195:D195"/>
    <mergeCell ref="C196:D196"/>
    <mergeCell ref="C190:D190"/>
    <mergeCell ref="B191:D191"/>
    <mergeCell ref="C192:D192"/>
    <mergeCell ref="B193:B194"/>
    <mergeCell ref="C193:D193"/>
    <mergeCell ref="C194:D194"/>
    <mergeCell ref="A195:A196"/>
    <mergeCell ref="C201:D201"/>
    <mergeCell ref="C202:D202"/>
    <mergeCell ref="B197:B198"/>
    <mergeCell ref="C197:D197"/>
    <mergeCell ref="A198:A199"/>
    <mergeCell ref="C198:D198"/>
    <mergeCell ref="C199:D199"/>
    <mergeCell ref="C200:D200"/>
    <mergeCell ref="B201:B202"/>
    <mergeCell ref="C207:D207"/>
    <mergeCell ref="C208:D208"/>
    <mergeCell ref="A203:A204"/>
    <mergeCell ref="C203:D203"/>
    <mergeCell ref="C204:D204"/>
    <mergeCell ref="B205:B206"/>
    <mergeCell ref="C205:D205"/>
    <mergeCell ref="A206:A208"/>
    <mergeCell ref="C206:D206"/>
    <mergeCell ref="C437:D437"/>
    <mergeCell ref="C438:D438"/>
    <mergeCell ref="B439:B440"/>
    <mergeCell ref="C439:D439"/>
    <mergeCell ref="A440:A442"/>
    <mergeCell ref="C440:D440"/>
    <mergeCell ref="C441:D441"/>
    <mergeCell ref="C459:D459"/>
    <mergeCell ref="C460:D460"/>
    <mergeCell ref="A455:A456"/>
    <mergeCell ref="C455:D455"/>
    <mergeCell ref="C456:D456"/>
    <mergeCell ref="C457:D457"/>
    <mergeCell ref="C458:D458"/>
    <mergeCell ref="B461:D461"/>
    <mergeCell ref="C462:D462"/>
    <mergeCell ref="C477:D477"/>
    <mergeCell ref="C478:D478"/>
    <mergeCell ref="C470:D470"/>
    <mergeCell ref="C471:D471"/>
    <mergeCell ref="C472:D472"/>
    <mergeCell ref="C473:D473"/>
    <mergeCell ref="B474:D474"/>
    <mergeCell ref="C475:D475"/>
    <mergeCell ref="C476:D476"/>
    <mergeCell ref="B481:B482"/>
    <mergeCell ref="B484:B485"/>
    <mergeCell ref="B488:B489"/>
    <mergeCell ref="B491:B492"/>
    <mergeCell ref="B494:B495"/>
    <mergeCell ref="B457:B458"/>
    <mergeCell ref="B462:B463"/>
    <mergeCell ref="B465:B466"/>
    <mergeCell ref="B468:B469"/>
    <mergeCell ref="B471:B472"/>
    <mergeCell ref="B475:B476"/>
    <mergeCell ref="B478:B479"/>
    <mergeCell ref="C486:D486"/>
    <mergeCell ref="B487:D487"/>
    <mergeCell ref="C488:D488"/>
    <mergeCell ref="C479:D479"/>
    <mergeCell ref="C480:D480"/>
    <mergeCell ref="C481:D481"/>
    <mergeCell ref="C482:D482"/>
    <mergeCell ref="C483:D483"/>
    <mergeCell ref="C484:D484"/>
    <mergeCell ref="C485:D485"/>
    <mergeCell ref="C492:D492"/>
    <mergeCell ref="C493:D493"/>
    <mergeCell ref="C494:D494"/>
    <mergeCell ref="A482:A483"/>
    <mergeCell ref="A485:A486"/>
    <mergeCell ref="A489:A490"/>
    <mergeCell ref="C489:D489"/>
    <mergeCell ref="C490:D490"/>
    <mergeCell ref="C491:D491"/>
    <mergeCell ref="A492:A493"/>
    <mergeCell ref="C447:D447"/>
    <mergeCell ref="C448:D448"/>
    <mergeCell ref="C442:D442"/>
    <mergeCell ref="B443:D443"/>
    <mergeCell ref="C444:D444"/>
    <mergeCell ref="B445:B446"/>
    <mergeCell ref="C445:D445"/>
    <mergeCell ref="C446:D446"/>
    <mergeCell ref="A447:A448"/>
    <mergeCell ref="C453:D453"/>
    <mergeCell ref="C454:D454"/>
    <mergeCell ref="B449:B450"/>
    <mergeCell ref="C449:D449"/>
    <mergeCell ref="A450:A451"/>
    <mergeCell ref="C450:D450"/>
    <mergeCell ref="C451:D451"/>
    <mergeCell ref="C452:D452"/>
    <mergeCell ref="B453:B454"/>
    <mergeCell ref="C463:D463"/>
    <mergeCell ref="C464:D464"/>
    <mergeCell ref="C465:D465"/>
    <mergeCell ref="C466:D466"/>
    <mergeCell ref="C467:D467"/>
    <mergeCell ref="C468:D468"/>
    <mergeCell ref="C469:D469"/>
    <mergeCell ref="A458:A460"/>
    <mergeCell ref="A463:A464"/>
    <mergeCell ref="A466:A467"/>
    <mergeCell ref="A469:A470"/>
    <mergeCell ref="A472:A473"/>
    <mergeCell ref="A476:A477"/>
    <mergeCell ref="A479:A480"/>
    <mergeCell ref="A495:A496"/>
    <mergeCell ref="C495:D495"/>
    <mergeCell ref="C496:D496"/>
    <mergeCell ref="B497:B498"/>
    <mergeCell ref="C497:D497"/>
    <mergeCell ref="A498:A499"/>
    <mergeCell ref="C498:D498"/>
    <mergeCell ref="C522:D522"/>
    <mergeCell ref="C523:D523"/>
    <mergeCell ref="C515:D515"/>
    <mergeCell ref="C516:D516"/>
    <mergeCell ref="C517:D517"/>
    <mergeCell ref="C518:D518"/>
    <mergeCell ref="C519:D519"/>
    <mergeCell ref="C520:D520"/>
    <mergeCell ref="C521:D521"/>
    <mergeCell ref="C503:D503"/>
    <mergeCell ref="C504:D504"/>
    <mergeCell ref="B504:B505"/>
    <mergeCell ref="C505:D505"/>
    <mergeCell ref="C499:D499"/>
    <mergeCell ref="B500:D500"/>
    <mergeCell ref="B501:B502"/>
    <mergeCell ref="C501:D501"/>
    <mergeCell ref="A502:A503"/>
    <mergeCell ref="C502:D502"/>
    <mergeCell ref="C506:D506"/>
    <mergeCell ref="B513:D513"/>
    <mergeCell ref="C514:D514"/>
    <mergeCell ref="C507:D507"/>
    <mergeCell ref="C508:D508"/>
    <mergeCell ref="C509:D509"/>
    <mergeCell ref="C510:D510"/>
    <mergeCell ref="C511:D511"/>
    <mergeCell ref="C512:D512"/>
    <mergeCell ref="B514:B515"/>
    <mergeCell ref="B517:B518"/>
    <mergeCell ref="B520:B521"/>
    <mergeCell ref="B523:B524"/>
    <mergeCell ref="B527:B528"/>
    <mergeCell ref="A505:A506"/>
    <mergeCell ref="B507:B508"/>
    <mergeCell ref="A508:A509"/>
    <mergeCell ref="B510:B511"/>
    <mergeCell ref="A511:A512"/>
    <mergeCell ref="A515:A516"/>
    <mergeCell ref="A518:A519"/>
    <mergeCell ref="C549:D549"/>
    <mergeCell ref="C550:D550"/>
    <mergeCell ref="C542:D542"/>
    <mergeCell ref="C543:D543"/>
    <mergeCell ref="C544:D544"/>
    <mergeCell ref="C545:D545"/>
    <mergeCell ref="C546:D546"/>
    <mergeCell ref="C547:D547"/>
    <mergeCell ref="C548:D548"/>
    <mergeCell ref="C556:D556"/>
    <mergeCell ref="C557:D557"/>
    <mergeCell ref="B546:B547"/>
    <mergeCell ref="B549:B550"/>
    <mergeCell ref="C551:D551"/>
    <mergeCell ref="B552:D552"/>
    <mergeCell ref="C553:D553"/>
    <mergeCell ref="C554:D554"/>
    <mergeCell ref="C555:D555"/>
    <mergeCell ref="B562:B563"/>
    <mergeCell ref="B566:B567"/>
    <mergeCell ref="C560:D560"/>
    <mergeCell ref="C561:D561"/>
    <mergeCell ref="C562:D562"/>
    <mergeCell ref="C563:D563"/>
    <mergeCell ref="C564:D564"/>
    <mergeCell ref="B565:D565"/>
    <mergeCell ref="C566:D566"/>
    <mergeCell ref="A583:A584"/>
    <mergeCell ref="B585:B586"/>
    <mergeCell ref="A586:A587"/>
    <mergeCell ref="B588:B589"/>
    <mergeCell ref="A589:A590"/>
    <mergeCell ref="A592:B592"/>
    <mergeCell ref="A593:B598"/>
    <mergeCell ref="A599:B599"/>
    <mergeCell ref="A600:B605"/>
    <mergeCell ref="A606:B606"/>
    <mergeCell ref="A607:B612"/>
    <mergeCell ref="A613:B613"/>
    <mergeCell ref="A614:B619"/>
    <mergeCell ref="A622:A626"/>
    <mergeCell ref="B582:B583"/>
    <mergeCell ref="C583:D583"/>
    <mergeCell ref="C577:D577"/>
    <mergeCell ref="B578:D578"/>
    <mergeCell ref="B579:B580"/>
    <mergeCell ref="C579:D579"/>
    <mergeCell ref="A580:A581"/>
    <mergeCell ref="C580:D580"/>
    <mergeCell ref="C584:D584"/>
    <mergeCell ref="C585:D585"/>
    <mergeCell ref="C586:D586"/>
    <mergeCell ref="C587:D587"/>
    <mergeCell ref="C588:D588"/>
    <mergeCell ref="C589:D589"/>
    <mergeCell ref="C590:D590"/>
    <mergeCell ref="C593:D593"/>
    <mergeCell ref="C594:D594"/>
    <mergeCell ref="C595:D595"/>
    <mergeCell ref="C596:D596"/>
    <mergeCell ref="C597:D597"/>
    <mergeCell ref="C598:D598"/>
    <mergeCell ref="C600:D600"/>
    <mergeCell ref="C601:D601"/>
    <mergeCell ref="C602:D602"/>
    <mergeCell ref="C603:D603"/>
    <mergeCell ref="C604:D604"/>
    <mergeCell ref="C605:D605"/>
    <mergeCell ref="C607:D607"/>
    <mergeCell ref="C608:D608"/>
    <mergeCell ref="C609:D609"/>
    <mergeCell ref="A634:A638"/>
    <mergeCell ref="A640:A644"/>
    <mergeCell ref="A647:A651"/>
    <mergeCell ref="A628:A632"/>
    <mergeCell ref="B632:D632"/>
    <mergeCell ref="B634:D634"/>
    <mergeCell ref="B635:D635"/>
    <mergeCell ref="B636:D636"/>
    <mergeCell ref="B637:D637"/>
    <mergeCell ref="B638:D638"/>
    <mergeCell ref="B651:D651"/>
    <mergeCell ref="A557:A558"/>
    <mergeCell ref="A560:A561"/>
    <mergeCell ref="A550:A551"/>
    <mergeCell ref="B553:B554"/>
    <mergeCell ref="A554:A555"/>
    <mergeCell ref="B556:B557"/>
    <mergeCell ref="C558:D558"/>
    <mergeCell ref="B559:B560"/>
    <mergeCell ref="C559:D559"/>
    <mergeCell ref="C570:D570"/>
    <mergeCell ref="C571:D571"/>
    <mergeCell ref="A563:A564"/>
    <mergeCell ref="A567:A568"/>
    <mergeCell ref="C567:D567"/>
    <mergeCell ref="C568:D568"/>
    <mergeCell ref="B569:B570"/>
    <mergeCell ref="C569:D569"/>
    <mergeCell ref="A570:A571"/>
    <mergeCell ref="C575:D575"/>
    <mergeCell ref="C576:D576"/>
    <mergeCell ref="B572:B573"/>
    <mergeCell ref="C572:D572"/>
    <mergeCell ref="A573:A574"/>
    <mergeCell ref="C573:D573"/>
    <mergeCell ref="C574:D574"/>
    <mergeCell ref="B575:B576"/>
    <mergeCell ref="A576:A577"/>
    <mergeCell ref="C528:D528"/>
    <mergeCell ref="C529:D529"/>
    <mergeCell ref="A521:A522"/>
    <mergeCell ref="A524:A525"/>
    <mergeCell ref="C524:D524"/>
    <mergeCell ref="C525:D525"/>
    <mergeCell ref="B526:D526"/>
    <mergeCell ref="C527:D527"/>
    <mergeCell ref="A528:A529"/>
    <mergeCell ref="C533:D533"/>
    <mergeCell ref="C534:D534"/>
    <mergeCell ref="B530:B531"/>
    <mergeCell ref="C530:D530"/>
    <mergeCell ref="A531:A532"/>
    <mergeCell ref="C531:D531"/>
    <mergeCell ref="C532:D532"/>
    <mergeCell ref="A534:A535"/>
    <mergeCell ref="C535:D535"/>
    <mergeCell ref="C536:D536"/>
    <mergeCell ref="C537:D537"/>
    <mergeCell ref="C538:D538"/>
    <mergeCell ref="B539:D539"/>
    <mergeCell ref="B540:B541"/>
    <mergeCell ref="C540:D540"/>
    <mergeCell ref="C541:D541"/>
    <mergeCell ref="B533:B534"/>
    <mergeCell ref="B536:B537"/>
    <mergeCell ref="A537:A538"/>
    <mergeCell ref="A541:A542"/>
    <mergeCell ref="B543:B544"/>
    <mergeCell ref="A544:A545"/>
    <mergeCell ref="A547:A548"/>
    <mergeCell ref="C581:D581"/>
    <mergeCell ref="C582:D582"/>
    <mergeCell ref="C618:D618"/>
    <mergeCell ref="C619:D619"/>
    <mergeCell ref="C610:D610"/>
    <mergeCell ref="C611:D611"/>
    <mergeCell ref="C612:D612"/>
    <mergeCell ref="C614:D614"/>
    <mergeCell ref="C615:D615"/>
    <mergeCell ref="C616:D616"/>
    <mergeCell ref="C617:D617"/>
    <mergeCell ref="B630:D630"/>
    <mergeCell ref="B631:D631"/>
    <mergeCell ref="B622:D622"/>
    <mergeCell ref="B623:D623"/>
    <mergeCell ref="B624:D624"/>
    <mergeCell ref="B625:D625"/>
    <mergeCell ref="B626:D626"/>
    <mergeCell ref="B628:D628"/>
    <mergeCell ref="B629:D629"/>
    <mergeCell ref="B649:D649"/>
    <mergeCell ref="B650:D650"/>
    <mergeCell ref="B640:D640"/>
    <mergeCell ref="B641:D641"/>
    <mergeCell ref="B642:D642"/>
    <mergeCell ref="B643:D643"/>
    <mergeCell ref="B644:D644"/>
    <mergeCell ref="B647:D647"/>
    <mergeCell ref="B648:D648"/>
    <mergeCell ref="A5:D5"/>
    <mergeCell ref="A6:D6"/>
    <mergeCell ref="A7:B7"/>
    <mergeCell ref="C7:D7"/>
    <mergeCell ref="D3:E3"/>
    <mergeCell ref="A8:B8"/>
    <mergeCell ref="C8:D8"/>
    <mergeCell ref="A9:B9"/>
    <mergeCell ref="C9:D9"/>
    <mergeCell ref="A1:N1"/>
    <mergeCell ref="A2:N2"/>
    <mergeCell ref="F3:J3"/>
    <mergeCell ref="L3:N3"/>
    <mergeCell ref="A4:N4"/>
    <mergeCell ref="K5:N6"/>
    <mergeCell ref="K7:N10"/>
    <mergeCell ref="B13:B14"/>
    <mergeCell ref="B17:B18"/>
    <mergeCell ref="C18:D18"/>
    <mergeCell ref="C19:D19"/>
    <mergeCell ref="A15:A16"/>
    <mergeCell ref="A18:A19"/>
    <mergeCell ref="K39:L39"/>
    <mergeCell ref="K43:L43"/>
    <mergeCell ref="A10:B10"/>
    <mergeCell ref="C10:D10"/>
    <mergeCell ref="B11:D11"/>
    <mergeCell ref="C12:D12"/>
    <mergeCell ref="C13:D13"/>
    <mergeCell ref="C16:D16"/>
    <mergeCell ref="C17:D17"/>
    <mergeCell ref="C23:D23"/>
    <mergeCell ref="C24:D24"/>
    <mergeCell ref="C14:D14"/>
    <mergeCell ref="C15:D15"/>
    <mergeCell ref="C20:D20"/>
    <mergeCell ref="B21:B22"/>
    <mergeCell ref="C21:D21"/>
    <mergeCell ref="C22:D22"/>
    <mergeCell ref="A23:A24"/>
    <mergeCell ref="B25:B26"/>
    <mergeCell ref="B31:B32"/>
    <mergeCell ref="B35:B36"/>
    <mergeCell ref="B39:B40"/>
    <mergeCell ref="B43:B44"/>
    <mergeCell ref="C25:D25"/>
    <mergeCell ref="A26:A28"/>
    <mergeCell ref="C26:D26"/>
    <mergeCell ref="C27:D27"/>
    <mergeCell ref="C28:D28"/>
    <mergeCell ref="B29:D29"/>
    <mergeCell ref="C30:D30"/>
    <mergeCell ref="C31:D31"/>
    <mergeCell ref="C32:D32"/>
    <mergeCell ref="A33:A34"/>
    <mergeCell ref="C33:D33"/>
    <mergeCell ref="C34:D34"/>
    <mergeCell ref="C35:D35"/>
    <mergeCell ref="A36:A37"/>
    <mergeCell ref="C42:D42"/>
    <mergeCell ref="C43:D43"/>
    <mergeCell ref="C41:D41"/>
    <mergeCell ref="C44:D44"/>
    <mergeCell ref="C45:D45"/>
    <mergeCell ref="C46:D46"/>
    <mergeCell ref="C36:D36"/>
    <mergeCell ref="C37:D37"/>
    <mergeCell ref="C38:D38"/>
    <mergeCell ref="C39:D39"/>
    <mergeCell ref="C40:D40"/>
    <mergeCell ref="A41:A42"/>
    <mergeCell ref="A44:A46"/>
    <mergeCell ref="B49:B50"/>
    <mergeCell ref="B53:B54"/>
    <mergeCell ref="B57:B58"/>
    <mergeCell ref="B61:B62"/>
    <mergeCell ref="A51:A52"/>
    <mergeCell ref="A54:A55"/>
    <mergeCell ref="A59:A60"/>
    <mergeCell ref="A62:A64"/>
    <mergeCell ref="B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89:D89"/>
    <mergeCell ref="C90:D90"/>
    <mergeCell ref="C85:D85"/>
    <mergeCell ref="C86:D86"/>
    <mergeCell ref="A87:A88"/>
    <mergeCell ref="C87:D87"/>
    <mergeCell ref="C88:D88"/>
    <mergeCell ref="B89:B90"/>
    <mergeCell ref="A90:A91"/>
    <mergeCell ref="C61:D61"/>
    <mergeCell ref="C62:D62"/>
    <mergeCell ref="C63:D63"/>
    <mergeCell ref="C64:D64"/>
    <mergeCell ref="B65:D65"/>
    <mergeCell ref="C66:D66"/>
    <mergeCell ref="B67:B68"/>
    <mergeCell ref="C71:D71"/>
    <mergeCell ref="C72:D72"/>
    <mergeCell ref="C67:D67"/>
    <mergeCell ref="C68:D68"/>
    <mergeCell ref="A69:A70"/>
    <mergeCell ref="C69:D69"/>
    <mergeCell ref="C70:D70"/>
    <mergeCell ref="B71:B72"/>
    <mergeCell ref="A72:A73"/>
    <mergeCell ref="B75:B76"/>
    <mergeCell ref="B79:B80"/>
    <mergeCell ref="A80:A82"/>
    <mergeCell ref="C73:D73"/>
    <mergeCell ref="C74:D74"/>
    <mergeCell ref="C75:D75"/>
    <mergeCell ref="C76:D76"/>
    <mergeCell ref="A77:A78"/>
    <mergeCell ref="C77:D77"/>
    <mergeCell ref="C78:D78"/>
    <mergeCell ref="C79:D79"/>
    <mergeCell ref="C80:D80"/>
    <mergeCell ref="C81:D81"/>
    <mergeCell ref="C82:D82"/>
    <mergeCell ref="B83:D83"/>
    <mergeCell ref="C84:D84"/>
    <mergeCell ref="B85:B86"/>
    <mergeCell ref="C97:D97"/>
    <mergeCell ref="C98:D98"/>
    <mergeCell ref="B121:B122"/>
    <mergeCell ref="B125:B126"/>
    <mergeCell ref="B119:D119"/>
    <mergeCell ref="C120:D120"/>
    <mergeCell ref="C121:D121"/>
    <mergeCell ref="C122:D122"/>
    <mergeCell ref="C123:D123"/>
    <mergeCell ref="C124:D124"/>
    <mergeCell ref="C125:D125"/>
    <mergeCell ref="C126:D126"/>
    <mergeCell ref="K103:L103"/>
    <mergeCell ref="K107:L107"/>
    <mergeCell ref="K111:L111"/>
    <mergeCell ref="K115:L115"/>
    <mergeCell ref="K119:L119"/>
    <mergeCell ref="M119:N119"/>
    <mergeCell ref="M120:N120"/>
    <mergeCell ref="K120:L120"/>
    <mergeCell ref="K121:L121"/>
    <mergeCell ref="K125:L125"/>
    <mergeCell ref="K129:L129"/>
    <mergeCell ref="K133:L133"/>
    <mergeCell ref="K137:L137"/>
    <mergeCell ref="M137:N137"/>
    <mergeCell ref="C130:D130"/>
    <mergeCell ref="C131:D131"/>
    <mergeCell ref="A123:A124"/>
    <mergeCell ref="A126:A127"/>
    <mergeCell ref="C127:D127"/>
    <mergeCell ref="C128:D128"/>
    <mergeCell ref="C129:D129"/>
    <mergeCell ref="A131:A132"/>
    <mergeCell ref="C132:D132"/>
    <mergeCell ref="C146:D146"/>
    <mergeCell ref="C147:D147"/>
    <mergeCell ref="B139:B140"/>
    <mergeCell ref="B143:B144"/>
    <mergeCell ref="C143:D143"/>
    <mergeCell ref="C144:D144"/>
    <mergeCell ref="C145:D145"/>
    <mergeCell ref="B147:B148"/>
    <mergeCell ref="C148:D148"/>
    <mergeCell ref="C152:D152"/>
    <mergeCell ref="C153:D153"/>
    <mergeCell ref="A144:A145"/>
    <mergeCell ref="A149:A150"/>
    <mergeCell ref="C149:D149"/>
    <mergeCell ref="C150:D150"/>
    <mergeCell ref="B151:B152"/>
    <mergeCell ref="C151:D151"/>
    <mergeCell ref="A152:A154"/>
    <mergeCell ref="C159:D159"/>
    <mergeCell ref="C160:D160"/>
    <mergeCell ref="C154:D154"/>
    <mergeCell ref="B155:D155"/>
    <mergeCell ref="C156:D156"/>
    <mergeCell ref="B157:B158"/>
    <mergeCell ref="C157:D157"/>
    <mergeCell ref="C158:D158"/>
    <mergeCell ref="A159:A160"/>
    <mergeCell ref="C165:D165"/>
    <mergeCell ref="C166:D166"/>
    <mergeCell ref="B161:B162"/>
    <mergeCell ref="C161:D161"/>
    <mergeCell ref="A162:A163"/>
    <mergeCell ref="C162:D162"/>
    <mergeCell ref="C163:D163"/>
    <mergeCell ref="C164:D164"/>
    <mergeCell ref="B165:B166"/>
    <mergeCell ref="C171:D171"/>
    <mergeCell ref="C172:D172"/>
    <mergeCell ref="A167:A168"/>
    <mergeCell ref="C167:D167"/>
    <mergeCell ref="C168:D168"/>
    <mergeCell ref="B169:B170"/>
    <mergeCell ref="C169:D169"/>
    <mergeCell ref="A170:A172"/>
    <mergeCell ref="C170:D170"/>
    <mergeCell ref="B175:B176"/>
    <mergeCell ref="B179:B180"/>
    <mergeCell ref="B173:D173"/>
    <mergeCell ref="C174:D174"/>
    <mergeCell ref="C175:D175"/>
    <mergeCell ref="C176:D176"/>
    <mergeCell ref="C177:D177"/>
    <mergeCell ref="C178:D178"/>
    <mergeCell ref="C179:D179"/>
    <mergeCell ref="B129:B130"/>
    <mergeCell ref="B133:B134"/>
    <mergeCell ref="C133:D133"/>
    <mergeCell ref="A134:A136"/>
    <mergeCell ref="C134:D134"/>
    <mergeCell ref="C135:D135"/>
    <mergeCell ref="C136:D136"/>
    <mergeCell ref="B137:D137"/>
    <mergeCell ref="C138:D138"/>
    <mergeCell ref="C139:D139"/>
    <mergeCell ref="C140:D140"/>
    <mergeCell ref="A141:A142"/>
    <mergeCell ref="C141:D141"/>
    <mergeCell ref="C142:D142"/>
    <mergeCell ref="A180:A181"/>
    <mergeCell ref="A185:A186"/>
    <mergeCell ref="A177:A178"/>
    <mergeCell ref="C180:D180"/>
    <mergeCell ref="C181:D181"/>
    <mergeCell ref="C182:D182"/>
    <mergeCell ref="B183:B184"/>
    <mergeCell ref="C183:D183"/>
    <mergeCell ref="C184:D184"/>
    <mergeCell ref="C91:D91"/>
    <mergeCell ref="C92:D92"/>
    <mergeCell ref="C93:D93"/>
    <mergeCell ref="C94:D94"/>
    <mergeCell ref="A95:A96"/>
    <mergeCell ref="C95:D95"/>
    <mergeCell ref="C96:D96"/>
    <mergeCell ref="C99:D99"/>
    <mergeCell ref="C100:D100"/>
    <mergeCell ref="B101:D101"/>
    <mergeCell ref="C102:D102"/>
    <mergeCell ref="B103:B104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B111:B112"/>
    <mergeCell ref="B115:B116"/>
    <mergeCell ref="B93:B94"/>
    <mergeCell ref="B97:B98"/>
    <mergeCell ref="A98:A100"/>
    <mergeCell ref="A105:A106"/>
    <mergeCell ref="B107:B108"/>
    <mergeCell ref="A108:A109"/>
    <mergeCell ref="A113:A114"/>
    <mergeCell ref="A116:A118"/>
    <mergeCell ref="C112:D112"/>
    <mergeCell ref="C113:D113"/>
    <mergeCell ref="C114:D114"/>
    <mergeCell ref="C115:D115"/>
    <mergeCell ref="C116:D116"/>
    <mergeCell ref="C117:D117"/>
    <mergeCell ref="C118:D118"/>
    <mergeCell ref="C185:D185"/>
    <mergeCell ref="C186:D186"/>
    <mergeCell ref="B187:B188"/>
    <mergeCell ref="C187:D187"/>
    <mergeCell ref="A188:A190"/>
    <mergeCell ref="C188:D188"/>
    <mergeCell ref="C189:D189"/>
    <mergeCell ref="B211:B212"/>
    <mergeCell ref="B215:B216"/>
    <mergeCell ref="B209:D209"/>
    <mergeCell ref="C210:D210"/>
    <mergeCell ref="C211:D211"/>
    <mergeCell ref="C212:D212"/>
    <mergeCell ref="C213:D213"/>
    <mergeCell ref="C214:D214"/>
    <mergeCell ref="C215:D215"/>
    <mergeCell ref="C216:D216"/>
    <mergeCell ref="C220:D220"/>
    <mergeCell ref="C221:D221"/>
    <mergeCell ref="A213:A214"/>
    <mergeCell ref="A216:A217"/>
    <mergeCell ref="C217:D217"/>
    <mergeCell ref="C218:D218"/>
    <mergeCell ref="C219:D219"/>
    <mergeCell ref="A221:A222"/>
    <mergeCell ref="C222:D222"/>
    <mergeCell ref="C236:D236"/>
    <mergeCell ref="C237:D237"/>
    <mergeCell ref="B229:B230"/>
    <mergeCell ref="B233:B234"/>
    <mergeCell ref="C233:D233"/>
    <mergeCell ref="C234:D234"/>
    <mergeCell ref="C235:D235"/>
    <mergeCell ref="B237:B238"/>
    <mergeCell ref="C238:D238"/>
    <mergeCell ref="C242:D242"/>
    <mergeCell ref="C243:D243"/>
    <mergeCell ref="A234:A235"/>
    <mergeCell ref="A239:A240"/>
    <mergeCell ref="C239:D239"/>
    <mergeCell ref="C240:D240"/>
    <mergeCell ref="B241:B242"/>
    <mergeCell ref="C241:D241"/>
    <mergeCell ref="A242:A244"/>
    <mergeCell ref="B219:B220"/>
    <mergeCell ref="B223:B224"/>
    <mergeCell ref="C223:D223"/>
    <mergeCell ref="A224:A226"/>
    <mergeCell ref="C224:D224"/>
    <mergeCell ref="C225:D225"/>
    <mergeCell ref="C226:D226"/>
    <mergeCell ref="B227:D227"/>
    <mergeCell ref="C228:D228"/>
    <mergeCell ref="C229:D229"/>
    <mergeCell ref="C230:D230"/>
    <mergeCell ref="A231:A232"/>
    <mergeCell ref="C231:D231"/>
    <mergeCell ref="C232:D232"/>
    <mergeCell ref="C249:D249"/>
    <mergeCell ref="C250:D250"/>
    <mergeCell ref="C244:D244"/>
    <mergeCell ref="B245:D245"/>
    <mergeCell ref="C246:D246"/>
    <mergeCell ref="B247:B248"/>
    <mergeCell ref="C247:D247"/>
    <mergeCell ref="C248:D248"/>
    <mergeCell ref="A249:A250"/>
    <mergeCell ref="C255:D255"/>
    <mergeCell ref="C256:D256"/>
    <mergeCell ref="B251:B252"/>
    <mergeCell ref="C251:D251"/>
    <mergeCell ref="A252:A253"/>
    <mergeCell ref="C252:D252"/>
    <mergeCell ref="C253:D253"/>
    <mergeCell ref="C254:D254"/>
    <mergeCell ref="B255:B256"/>
    <mergeCell ref="C261:D261"/>
    <mergeCell ref="C262:D262"/>
    <mergeCell ref="A257:A258"/>
    <mergeCell ref="C257:D257"/>
    <mergeCell ref="C258:D258"/>
    <mergeCell ref="B259:B260"/>
    <mergeCell ref="C259:D259"/>
    <mergeCell ref="A260:A262"/>
    <mergeCell ref="C260:D260"/>
    <mergeCell ref="B265:B266"/>
    <mergeCell ref="B269:B270"/>
    <mergeCell ref="B263:D263"/>
    <mergeCell ref="C264:D264"/>
    <mergeCell ref="C265:D265"/>
    <mergeCell ref="C266:D266"/>
    <mergeCell ref="C267:D267"/>
    <mergeCell ref="C268:D268"/>
    <mergeCell ref="C269:D269"/>
    <mergeCell ref="C270:D270"/>
    <mergeCell ref="C274:D274"/>
    <mergeCell ref="C275:D275"/>
    <mergeCell ref="A267:A268"/>
    <mergeCell ref="A270:A271"/>
    <mergeCell ref="C271:D271"/>
    <mergeCell ref="C272:D272"/>
    <mergeCell ref="C273:D273"/>
    <mergeCell ref="A275:A276"/>
    <mergeCell ref="C276:D276"/>
    <mergeCell ref="C290:D290"/>
    <mergeCell ref="C291:D291"/>
    <mergeCell ref="B283:B284"/>
    <mergeCell ref="B287:B288"/>
    <mergeCell ref="C287:D287"/>
    <mergeCell ref="C288:D288"/>
    <mergeCell ref="C289:D289"/>
    <mergeCell ref="B291:B292"/>
    <mergeCell ref="C292:D292"/>
    <mergeCell ref="B273:B274"/>
    <mergeCell ref="B277:B278"/>
    <mergeCell ref="C277:D277"/>
    <mergeCell ref="A278:A280"/>
    <mergeCell ref="C278:D278"/>
    <mergeCell ref="C279:D279"/>
    <mergeCell ref="C280:D280"/>
    <mergeCell ref="B281:D281"/>
    <mergeCell ref="C282:D282"/>
    <mergeCell ref="C283:D283"/>
    <mergeCell ref="C284:D284"/>
    <mergeCell ref="A285:A286"/>
    <mergeCell ref="C285:D285"/>
    <mergeCell ref="C286:D286"/>
    <mergeCell ref="C296:D296"/>
    <mergeCell ref="C297:D297"/>
    <mergeCell ref="A288:A289"/>
    <mergeCell ref="A293:A294"/>
    <mergeCell ref="C293:D293"/>
    <mergeCell ref="C294:D294"/>
    <mergeCell ref="B295:B296"/>
    <mergeCell ref="C295:D295"/>
    <mergeCell ref="A296:A298"/>
    <mergeCell ref="C303:D303"/>
    <mergeCell ref="C304:D304"/>
    <mergeCell ref="C298:D298"/>
    <mergeCell ref="B299:D299"/>
    <mergeCell ref="C300:D300"/>
    <mergeCell ref="B301:B302"/>
    <mergeCell ref="C301:D301"/>
    <mergeCell ref="C302:D302"/>
    <mergeCell ref="A303:A304"/>
    <mergeCell ref="C309:D309"/>
    <mergeCell ref="C310:D310"/>
    <mergeCell ref="B305:B306"/>
    <mergeCell ref="C305:D305"/>
    <mergeCell ref="A306:A307"/>
    <mergeCell ref="C306:D306"/>
    <mergeCell ref="C307:D307"/>
    <mergeCell ref="C308:D308"/>
    <mergeCell ref="B309:B310"/>
    <mergeCell ref="C315:D315"/>
    <mergeCell ref="C316:D316"/>
    <mergeCell ref="A311:A312"/>
    <mergeCell ref="C311:D311"/>
    <mergeCell ref="C312:D312"/>
    <mergeCell ref="B313:B314"/>
    <mergeCell ref="C313:D313"/>
    <mergeCell ref="A314:A316"/>
    <mergeCell ref="C314:D314"/>
    <mergeCell ref="B319:B320"/>
    <mergeCell ref="B323:B324"/>
    <mergeCell ref="B317:D317"/>
    <mergeCell ref="C318:D318"/>
    <mergeCell ref="C319:D319"/>
    <mergeCell ref="C320:D320"/>
    <mergeCell ref="C321:D321"/>
    <mergeCell ref="C322:D322"/>
    <mergeCell ref="C323:D323"/>
    <mergeCell ref="C324:D324"/>
    <mergeCell ref="C328:D328"/>
    <mergeCell ref="C329:D329"/>
    <mergeCell ref="A321:A322"/>
    <mergeCell ref="A324:A325"/>
    <mergeCell ref="C325:D325"/>
    <mergeCell ref="C326:D326"/>
    <mergeCell ref="C327:D327"/>
    <mergeCell ref="A329:A330"/>
    <mergeCell ref="C330:D330"/>
    <mergeCell ref="C344:D344"/>
    <mergeCell ref="C345:D345"/>
    <mergeCell ref="B337:B338"/>
    <mergeCell ref="B341:B342"/>
    <mergeCell ref="C341:D341"/>
    <mergeCell ref="C342:D342"/>
    <mergeCell ref="C343:D343"/>
    <mergeCell ref="B345:B346"/>
    <mergeCell ref="C346:D346"/>
    <mergeCell ref="C350:D350"/>
    <mergeCell ref="C351:D351"/>
    <mergeCell ref="A342:A343"/>
    <mergeCell ref="A347:A348"/>
    <mergeCell ref="C347:D347"/>
    <mergeCell ref="C348:D348"/>
    <mergeCell ref="B349:B350"/>
    <mergeCell ref="C349:D349"/>
    <mergeCell ref="A350:A352"/>
    <mergeCell ref="C357:D357"/>
    <mergeCell ref="C358:D358"/>
    <mergeCell ref="C352:D352"/>
    <mergeCell ref="B353:D353"/>
    <mergeCell ref="C354:D354"/>
    <mergeCell ref="B355:B356"/>
    <mergeCell ref="C355:D355"/>
    <mergeCell ref="C356:D356"/>
    <mergeCell ref="A357:A358"/>
    <mergeCell ref="C363:D363"/>
    <mergeCell ref="C364:D364"/>
    <mergeCell ref="B359:B360"/>
    <mergeCell ref="C359:D359"/>
    <mergeCell ref="A360:A361"/>
    <mergeCell ref="C360:D360"/>
    <mergeCell ref="C361:D361"/>
    <mergeCell ref="C362:D362"/>
    <mergeCell ref="B363:B364"/>
    <mergeCell ref="C369:D369"/>
    <mergeCell ref="C370:D370"/>
    <mergeCell ref="A365:A366"/>
    <mergeCell ref="C365:D365"/>
    <mergeCell ref="C366:D366"/>
    <mergeCell ref="B367:B368"/>
    <mergeCell ref="C367:D367"/>
    <mergeCell ref="A368:A370"/>
    <mergeCell ref="C368:D368"/>
    <mergeCell ref="B373:B374"/>
    <mergeCell ref="B377:B378"/>
    <mergeCell ref="B371:D371"/>
    <mergeCell ref="C372:D372"/>
    <mergeCell ref="C373:D373"/>
    <mergeCell ref="C374:D374"/>
    <mergeCell ref="C375:D375"/>
    <mergeCell ref="C376:D376"/>
    <mergeCell ref="C377:D377"/>
    <mergeCell ref="C378:D378"/>
    <mergeCell ref="A375:A376"/>
    <mergeCell ref="A378:A379"/>
    <mergeCell ref="C379:D379"/>
    <mergeCell ref="C380:D380"/>
    <mergeCell ref="C381:D381"/>
    <mergeCell ref="A383:A384"/>
    <mergeCell ref="C384:D384"/>
    <mergeCell ref="C382:D382"/>
    <mergeCell ref="C383:D383"/>
    <mergeCell ref="A591:N591"/>
    <mergeCell ref="C592:L592"/>
    <mergeCell ref="M592:N592"/>
    <mergeCell ref="K593:K596"/>
    <mergeCell ref="M593:N598"/>
    <mergeCell ref="M599:N599"/>
    <mergeCell ref="L593:L596"/>
    <mergeCell ref="C599:L599"/>
    <mergeCell ref="K600:K603"/>
    <mergeCell ref="L600:L603"/>
    <mergeCell ref="M600:N605"/>
    <mergeCell ref="C606:L606"/>
    <mergeCell ref="M606:N606"/>
    <mergeCell ref="M614:N619"/>
    <mergeCell ref="A620:N620"/>
    <mergeCell ref="K622:N626"/>
    <mergeCell ref="K628:N632"/>
    <mergeCell ref="K634:N638"/>
    <mergeCell ref="K640:N644"/>
    <mergeCell ref="A645:N645"/>
    <mergeCell ref="K647:N651"/>
    <mergeCell ref="K607:K610"/>
    <mergeCell ref="L607:L610"/>
    <mergeCell ref="M607:N612"/>
    <mergeCell ref="C613:L613"/>
    <mergeCell ref="M613:N613"/>
    <mergeCell ref="K614:K617"/>
    <mergeCell ref="L614:L617"/>
    <mergeCell ref="K353:L353"/>
    <mergeCell ref="K354:L354"/>
    <mergeCell ref="K355:L355"/>
    <mergeCell ref="K359:L359"/>
    <mergeCell ref="K363:L363"/>
    <mergeCell ref="K367:L367"/>
    <mergeCell ref="M371:N371"/>
    <mergeCell ref="M372:N372"/>
    <mergeCell ref="K371:L371"/>
    <mergeCell ref="K372:L372"/>
    <mergeCell ref="K373:L373"/>
    <mergeCell ref="K377:L377"/>
    <mergeCell ref="K381:L381"/>
    <mergeCell ref="K385:L385"/>
    <mergeCell ref="M389:N389"/>
    <mergeCell ref="K247:L247"/>
    <mergeCell ref="K251:L251"/>
    <mergeCell ref="K255:L255"/>
    <mergeCell ref="K259:L259"/>
    <mergeCell ref="K263:L263"/>
    <mergeCell ref="M263:N263"/>
    <mergeCell ref="M264:N264"/>
    <mergeCell ref="K264:L264"/>
    <mergeCell ref="K265:L265"/>
    <mergeCell ref="K269:L269"/>
    <mergeCell ref="K273:L273"/>
    <mergeCell ref="K277:L277"/>
    <mergeCell ref="K281:L281"/>
    <mergeCell ref="M281:N281"/>
    <mergeCell ref="K282:L282"/>
    <mergeCell ref="M282:N282"/>
    <mergeCell ref="K283:L283"/>
    <mergeCell ref="K287:L287"/>
    <mergeCell ref="K291:L291"/>
    <mergeCell ref="K295:L295"/>
    <mergeCell ref="M299:N299"/>
    <mergeCell ref="M300:N300"/>
    <mergeCell ref="K299:L299"/>
    <mergeCell ref="K300:L300"/>
    <mergeCell ref="K301:L301"/>
    <mergeCell ref="K305:L305"/>
    <mergeCell ref="K309:L309"/>
    <mergeCell ref="K313:L313"/>
    <mergeCell ref="M317:N317"/>
    <mergeCell ref="M318:N318"/>
    <mergeCell ref="K317:L317"/>
    <mergeCell ref="K318:L318"/>
    <mergeCell ref="K319:L319"/>
    <mergeCell ref="K323:L323"/>
    <mergeCell ref="K327:L327"/>
    <mergeCell ref="K331:L331"/>
    <mergeCell ref="M335:N335"/>
    <mergeCell ref="M336:N336"/>
    <mergeCell ref="K335:L335"/>
    <mergeCell ref="K336:L336"/>
    <mergeCell ref="K337:L337"/>
    <mergeCell ref="K341:L341"/>
    <mergeCell ref="K345:L345"/>
    <mergeCell ref="K349:L349"/>
    <mergeCell ref="M353:N353"/>
    <mergeCell ref="M354:N354"/>
    <mergeCell ref="K449:L449"/>
    <mergeCell ref="K453:L453"/>
    <mergeCell ref="K457:L457"/>
    <mergeCell ref="K461:L461"/>
    <mergeCell ref="M461:N461"/>
    <mergeCell ref="K474:L474"/>
    <mergeCell ref="M474:N474"/>
    <mergeCell ref="K138:L138"/>
    <mergeCell ref="M138:N138"/>
    <mergeCell ref="K139:L139"/>
    <mergeCell ref="K143:L143"/>
    <mergeCell ref="K147:L147"/>
    <mergeCell ref="K151:L151"/>
    <mergeCell ref="M155:N155"/>
    <mergeCell ref="M156:N156"/>
    <mergeCell ref="K155:L155"/>
    <mergeCell ref="K156:L156"/>
    <mergeCell ref="K157:L157"/>
    <mergeCell ref="K161:L161"/>
    <mergeCell ref="K165:L165"/>
    <mergeCell ref="K169:L169"/>
    <mergeCell ref="M173:N173"/>
    <mergeCell ref="K173:L173"/>
    <mergeCell ref="K174:L174"/>
    <mergeCell ref="M174:N174"/>
    <mergeCell ref="K175:L175"/>
    <mergeCell ref="K179:L179"/>
    <mergeCell ref="K183:L183"/>
    <mergeCell ref="K187:L187"/>
    <mergeCell ref="K191:L191"/>
    <mergeCell ref="M191:N191"/>
    <mergeCell ref="K192:L192"/>
    <mergeCell ref="M192:N192"/>
    <mergeCell ref="K193:L193"/>
    <mergeCell ref="K197:L197"/>
    <mergeCell ref="K201:L201"/>
    <mergeCell ref="K205:L205"/>
    <mergeCell ref="K209:L209"/>
    <mergeCell ref="M209:N209"/>
    <mergeCell ref="K210:L210"/>
    <mergeCell ref="M210:N210"/>
    <mergeCell ref="K211:L211"/>
    <mergeCell ref="K215:L215"/>
    <mergeCell ref="K219:L219"/>
    <mergeCell ref="K223:L223"/>
    <mergeCell ref="K227:L227"/>
    <mergeCell ref="M227:N227"/>
    <mergeCell ref="K228:L228"/>
    <mergeCell ref="M228:N228"/>
    <mergeCell ref="K229:L229"/>
    <mergeCell ref="K11:L11"/>
    <mergeCell ref="M11:N11"/>
    <mergeCell ref="K12:L12"/>
    <mergeCell ref="M12:N12"/>
    <mergeCell ref="K13:L13"/>
    <mergeCell ref="K17:L17"/>
    <mergeCell ref="K21:L21"/>
    <mergeCell ref="K25:L25"/>
    <mergeCell ref="K29:L29"/>
    <mergeCell ref="M29:N29"/>
    <mergeCell ref="K30:L30"/>
    <mergeCell ref="M30:N30"/>
    <mergeCell ref="K31:L31"/>
    <mergeCell ref="K35:L35"/>
    <mergeCell ref="K47:L47"/>
    <mergeCell ref="M47:N47"/>
    <mergeCell ref="K48:L48"/>
    <mergeCell ref="M48:N48"/>
    <mergeCell ref="K49:L49"/>
    <mergeCell ref="K53:L53"/>
    <mergeCell ref="K57:L57"/>
    <mergeCell ref="K61:L61"/>
    <mergeCell ref="K65:L65"/>
    <mergeCell ref="M65:N65"/>
    <mergeCell ref="K66:L66"/>
    <mergeCell ref="M66:N66"/>
    <mergeCell ref="K67:L67"/>
    <mergeCell ref="K71:L71"/>
    <mergeCell ref="K75:L75"/>
    <mergeCell ref="K79:L79"/>
    <mergeCell ref="K83:L83"/>
    <mergeCell ref="M83:N83"/>
    <mergeCell ref="K84:L84"/>
    <mergeCell ref="M84:N84"/>
    <mergeCell ref="K85:L85"/>
    <mergeCell ref="K89:L89"/>
    <mergeCell ref="K93:L93"/>
    <mergeCell ref="K97:L97"/>
    <mergeCell ref="K101:L101"/>
    <mergeCell ref="M101:N101"/>
    <mergeCell ref="K102:L102"/>
    <mergeCell ref="M102:N102"/>
    <mergeCell ref="K233:L233"/>
    <mergeCell ref="K237:L237"/>
    <mergeCell ref="K241:L241"/>
    <mergeCell ref="K245:L245"/>
    <mergeCell ref="M245:N245"/>
    <mergeCell ref="K246:L246"/>
    <mergeCell ref="M246:N246"/>
    <mergeCell ref="K389:L389"/>
    <mergeCell ref="K390:L390"/>
    <mergeCell ref="M390:N390"/>
    <mergeCell ref="K391:L391"/>
    <mergeCell ref="K395:L395"/>
    <mergeCell ref="K399:L399"/>
    <mergeCell ref="K403:L403"/>
    <mergeCell ref="K407:L407"/>
    <mergeCell ref="M407:N407"/>
    <mergeCell ref="K408:L408"/>
    <mergeCell ref="M408:N408"/>
    <mergeCell ref="K409:L409"/>
    <mergeCell ref="K413:L413"/>
    <mergeCell ref="K417:L417"/>
    <mergeCell ref="K421:L421"/>
    <mergeCell ref="K425:L425"/>
    <mergeCell ref="M425:N425"/>
    <mergeCell ref="K426:L426"/>
    <mergeCell ref="M426:N426"/>
    <mergeCell ref="K427:L427"/>
    <mergeCell ref="K431:L431"/>
    <mergeCell ref="K435:L435"/>
    <mergeCell ref="K439:L439"/>
    <mergeCell ref="K443:L443"/>
    <mergeCell ref="M443:N443"/>
    <mergeCell ref="K444:L444"/>
    <mergeCell ref="M444:N444"/>
    <mergeCell ref="K445:L445"/>
    <mergeCell ref="K487:L487"/>
    <mergeCell ref="M487:N487"/>
    <mergeCell ref="K500:L500"/>
    <mergeCell ref="M500:N500"/>
    <mergeCell ref="K513:L513"/>
    <mergeCell ref="M513:N513"/>
    <mergeCell ref="M526:N526"/>
    <mergeCell ref="K578:L578"/>
    <mergeCell ref="M578:N578"/>
    <mergeCell ref="K526:L526"/>
    <mergeCell ref="K539:L539"/>
    <mergeCell ref="M539:N539"/>
    <mergeCell ref="K552:L552"/>
    <mergeCell ref="M552:N552"/>
    <mergeCell ref="K565:L565"/>
    <mergeCell ref="M565:N565"/>
  </mergeCells>
  <hyperlinks>
    <hyperlink r:id="rId1" ref="A26"/>
  </hyperlinks>
  <printOptions/>
  <pageMargins bottom="1.025" footer="0.0" header="0.0" left="0.7875" right="0.7875" top="1.025"/>
  <pageSetup paperSize="9" orientation="portrait"/>
  <headerFooter>
    <oddHeader>&amp;C&amp;A</oddHeader>
    <oddFooter>&amp;CPágina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3.63"/>
    <col customWidth="1" min="2" max="2" width="21.0"/>
    <col customWidth="1" min="3" max="3" width="12.13"/>
    <col customWidth="1" min="4" max="4" width="2.88"/>
    <col customWidth="1" min="5" max="9" width="5.63"/>
    <col customWidth="1" min="10" max="10" width="5.75"/>
    <col customWidth="1" min="11" max="11" width="15.5"/>
    <col customWidth="1" min="12" max="12" width="11.38"/>
    <col customWidth="1" min="13" max="13" width="19.5"/>
    <col customWidth="1" min="14" max="14" width="7.63"/>
  </cols>
  <sheetData>
    <row r="1" ht="35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13.5" customHeight="1">
      <c r="A2" s="4" t="s">
        <v>193</v>
      </c>
      <c r="N2" s="5"/>
    </row>
    <row r="3" ht="13.5" customHeight="1">
      <c r="A3" s="6" t="s">
        <v>2</v>
      </c>
      <c r="B3" s="173"/>
      <c r="C3" s="8" t="s">
        <v>4</v>
      </c>
      <c r="D3" s="9">
        <v>2026.0</v>
      </c>
      <c r="E3" s="10"/>
      <c r="F3" s="11" t="s">
        <v>5</v>
      </c>
      <c r="K3" s="12">
        <f>COUNTA(A13,A31,A49,A67,A85,A103,A121,A139,A157,A175,A193,A211,A229,A247,A265,A283,A301,A319,A337,A355,A373,A391,A409,A427,A445)</f>
        <v>0</v>
      </c>
      <c r="L3" s="13"/>
    </row>
    <row r="4" ht="13.5" customHeight="1">
      <c r="A4" s="14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6"/>
    </row>
    <row r="5" ht="13.5" customHeight="1">
      <c r="A5" s="17" t="s">
        <v>6</v>
      </c>
      <c r="D5" s="5"/>
      <c r="E5" s="18" t="s">
        <v>7</v>
      </c>
      <c r="F5" s="19" t="s">
        <v>8</v>
      </c>
      <c r="G5" s="18" t="s">
        <v>9</v>
      </c>
      <c r="H5" s="18" t="s">
        <v>10</v>
      </c>
      <c r="I5" s="18" t="s">
        <v>11</v>
      </c>
      <c r="J5" s="19" t="s">
        <v>12</v>
      </c>
      <c r="K5" s="20"/>
      <c r="L5" s="21"/>
      <c r="M5" s="21"/>
      <c r="N5" s="22"/>
    </row>
    <row r="6" ht="13.5" customHeight="1">
      <c r="A6" s="23" t="s">
        <v>13</v>
      </c>
      <c r="B6" s="24"/>
      <c r="C6" s="24"/>
      <c r="D6" s="25"/>
      <c r="E6" s="26">
        <v>17.0</v>
      </c>
      <c r="F6" s="27">
        <v>27.0</v>
      </c>
      <c r="G6" s="27">
        <v>27.0</v>
      </c>
      <c r="H6" s="27">
        <v>27.0</v>
      </c>
      <c r="I6" s="27">
        <v>32.0</v>
      </c>
      <c r="J6" s="28">
        <v>37.0</v>
      </c>
      <c r="K6" s="29"/>
      <c r="L6" s="29"/>
      <c r="M6" s="29"/>
      <c r="N6" s="30"/>
    </row>
    <row r="7" ht="13.5" customHeight="1">
      <c r="A7" s="31" t="s">
        <v>14</v>
      </c>
      <c r="B7" s="25"/>
      <c r="C7" s="32" t="s">
        <v>15</v>
      </c>
      <c r="D7" s="33"/>
      <c r="E7" s="34"/>
      <c r="F7" s="34"/>
      <c r="G7" s="34"/>
      <c r="H7" s="34"/>
      <c r="I7" s="34"/>
      <c r="J7" s="40"/>
      <c r="K7" s="37"/>
      <c r="N7" s="5"/>
    </row>
    <row r="8" ht="13.5" customHeight="1">
      <c r="A8" s="31" t="s">
        <v>16</v>
      </c>
      <c r="B8" s="25"/>
      <c r="C8" s="32" t="s">
        <v>15</v>
      </c>
      <c r="D8" s="33"/>
      <c r="E8" s="34"/>
      <c r="F8" s="35"/>
      <c r="G8" s="35"/>
      <c r="H8" s="35"/>
      <c r="I8" s="35"/>
      <c r="J8" s="36"/>
      <c r="K8" s="38"/>
      <c r="N8" s="5"/>
    </row>
    <row r="9" ht="13.5" customHeight="1">
      <c r="A9" s="31" t="s">
        <v>17</v>
      </c>
      <c r="B9" s="25"/>
      <c r="C9" s="32" t="s">
        <v>15</v>
      </c>
      <c r="D9" s="33"/>
      <c r="E9" s="39"/>
      <c r="F9" s="39"/>
      <c r="G9" s="39"/>
      <c r="H9" s="39"/>
      <c r="I9" s="39"/>
      <c r="J9" s="172"/>
      <c r="K9" s="38"/>
      <c r="N9" s="5"/>
    </row>
    <row r="10" ht="13.5" customHeight="1">
      <c r="A10" s="31" t="s">
        <v>18</v>
      </c>
      <c r="B10" s="25"/>
      <c r="C10" s="32" t="s">
        <v>15</v>
      </c>
      <c r="D10" s="33"/>
      <c r="E10" s="34"/>
      <c r="F10" s="34"/>
      <c r="G10" s="34"/>
      <c r="H10" s="34"/>
      <c r="I10" s="34"/>
      <c r="J10" s="40"/>
      <c r="K10" s="38"/>
      <c r="N10" s="5"/>
    </row>
    <row r="11" ht="13.5" customHeight="1">
      <c r="A11" s="41" t="s">
        <v>19</v>
      </c>
      <c r="B11" s="42" t="s">
        <v>20</v>
      </c>
      <c r="C11" s="24"/>
      <c r="D11" s="33"/>
      <c r="E11" s="43">
        <f t="shared" ref="E11:J11" si="1">E6</f>
        <v>17</v>
      </c>
      <c r="F11" s="43">
        <f t="shared" si="1"/>
        <v>27</v>
      </c>
      <c r="G11" s="43">
        <f t="shared" si="1"/>
        <v>27</v>
      </c>
      <c r="H11" s="43">
        <f t="shared" si="1"/>
        <v>27</v>
      </c>
      <c r="I11" s="43">
        <f t="shared" si="1"/>
        <v>32</v>
      </c>
      <c r="J11" s="44">
        <f t="shared" si="1"/>
        <v>37</v>
      </c>
      <c r="K11" s="42" t="s">
        <v>21</v>
      </c>
      <c r="L11" s="25"/>
      <c r="M11" s="45" t="s">
        <v>22</v>
      </c>
      <c r="N11" s="25"/>
    </row>
    <row r="12" ht="13.5" customHeight="1">
      <c r="A12" s="46" t="s">
        <v>23</v>
      </c>
      <c r="B12" s="47" t="s">
        <v>24</v>
      </c>
      <c r="C12" s="32" t="s">
        <v>25</v>
      </c>
      <c r="D12" s="33"/>
      <c r="E12" s="48"/>
      <c r="F12" s="48"/>
      <c r="G12" s="48"/>
      <c r="H12" s="48"/>
      <c r="I12" s="48"/>
      <c r="J12" s="48"/>
      <c r="K12" s="49"/>
      <c r="L12" s="25"/>
      <c r="M12" s="50"/>
      <c r="N12" s="10"/>
    </row>
    <row r="13" ht="15.0" customHeight="1">
      <c r="A13" s="92"/>
      <c r="B13" s="52" t="s">
        <v>26</v>
      </c>
      <c r="C13" s="53" t="s">
        <v>27</v>
      </c>
      <c r="D13" s="54"/>
      <c r="E13" s="55">
        <f t="shared" ref="E13:J13" si="2">E12-E14</f>
        <v>0</v>
      </c>
      <c r="F13" s="55">
        <f t="shared" si="2"/>
        <v>0</v>
      </c>
      <c r="G13" s="55">
        <f t="shared" si="2"/>
        <v>0</v>
      </c>
      <c r="H13" s="55">
        <f t="shared" si="2"/>
        <v>0</v>
      </c>
      <c r="I13" s="55">
        <f t="shared" si="2"/>
        <v>0</v>
      </c>
      <c r="J13" s="55">
        <f t="shared" si="2"/>
        <v>0</v>
      </c>
      <c r="K13" s="56"/>
      <c r="L13" s="30"/>
      <c r="M13" s="57" t="s">
        <v>28</v>
      </c>
      <c r="N13" s="58" t="b">
        <v>0</v>
      </c>
    </row>
    <row r="14" ht="13.5" customHeight="1">
      <c r="A14" s="46" t="s">
        <v>29</v>
      </c>
      <c r="B14" s="59"/>
      <c r="C14" s="53" t="s">
        <v>30</v>
      </c>
      <c r="D14" s="54"/>
      <c r="E14" s="60"/>
      <c r="F14" s="60"/>
      <c r="G14" s="60"/>
      <c r="H14" s="60"/>
      <c r="I14" s="60"/>
      <c r="J14" s="60"/>
      <c r="K14" s="61" t="s">
        <v>30</v>
      </c>
      <c r="L14" s="62">
        <f>(E14*E11)+(F14*F11)+(G14*G11)+(H14*H11)+(I14*I11)+(J14*J11)</f>
        <v>0</v>
      </c>
      <c r="M14" s="57" t="s">
        <v>31</v>
      </c>
      <c r="N14" s="63" t="b">
        <v>0</v>
      </c>
    </row>
    <row r="15" ht="13.5" customHeight="1">
      <c r="A15" s="64"/>
      <c r="B15" s="65" t="s">
        <v>33</v>
      </c>
      <c r="C15" s="53" t="s">
        <v>34</v>
      </c>
      <c r="D15" s="54"/>
      <c r="E15" s="66"/>
      <c r="F15" s="66"/>
      <c r="G15" s="66"/>
      <c r="H15" s="66"/>
      <c r="I15" s="66"/>
      <c r="J15" s="66"/>
      <c r="K15" s="67" t="s">
        <v>35</v>
      </c>
      <c r="L15" s="62">
        <f>(E15*E11)+(F15*F11)+(G15*G11)+(H15*H11)+(I15*I11)+(J15*J11)</f>
        <v>0</v>
      </c>
      <c r="M15" s="57" t="s">
        <v>36</v>
      </c>
      <c r="N15" s="63" t="b">
        <v>0</v>
      </c>
    </row>
    <row r="16" ht="13.5" customHeight="1">
      <c r="A16" s="68"/>
      <c r="B16" s="69" t="str">
        <f>IFS(L16=0,"",B16&lt;&gt;"",B16,TRUE,NOW())</f>
        <v/>
      </c>
      <c r="C16" s="70" t="s">
        <v>37</v>
      </c>
      <c r="D16" s="33"/>
      <c r="E16" s="71"/>
      <c r="F16" s="71"/>
      <c r="G16" s="71"/>
      <c r="H16" s="71"/>
      <c r="I16" s="71"/>
      <c r="J16" s="71"/>
      <c r="K16" s="72" t="s">
        <v>38</v>
      </c>
      <c r="L16" s="73">
        <f>L15-L14</f>
        <v>0</v>
      </c>
      <c r="M16" s="74" t="s">
        <v>39</v>
      </c>
      <c r="N16" s="75" t="b">
        <v>0</v>
      </c>
    </row>
    <row r="17" ht="15.0" customHeight="1">
      <c r="A17" s="46" t="s">
        <v>40</v>
      </c>
      <c r="B17" s="52" t="s">
        <v>26</v>
      </c>
      <c r="C17" s="53" t="s">
        <v>27</v>
      </c>
      <c r="D17" s="54"/>
      <c r="E17" s="55">
        <f t="shared" ref="E17:J17" si="3">E15-E18</f>
        <v>0</v>
      </c>
      <c r="F17" s="55">
        <f t="shared" si="3"/>
        <v>0</v>
      </c>
      <c r="G17" s="55">
        <f t="shared" si="3"/>
        <v>0</v>
      </c>
      <c r="H17" s="55">
        <f t="shared" si="3"/>
        <v>0</v>
      </c>
      <c r="I17" s="55">
        <f t="shared" si="3"/>
        <v>0</v>
      </c>
      <c r="J17" s="55">
        <f t="shared" si="3"/>
        <v>0</v>
      </c>
      <c r="K17" s="56"/>
      <c r="L17" s="30"/>
      <c r="M17" s="57" t="s">
        <v>28</v>
      </c>
      <c r="N17" s="58" t="b">
        <v>0</v>
      </c>
    </row>
    <row r="18" ht="13.5" customHeight="1">
      <c r="A18" s="64"/>
      <c r="B18" s="59"/>
      <c r="C18" s="53" t="s">
        <v>30</v>
      </c>
      <c r="D18" s="54"/>
      <c r="E18" s="60"/>
      <c r="F18" s="60"/>
      <c r="G18" s="60"/>
      <c r="H18" s="60"/>
      <c r="I18" s="60"/>
      <c r="J18" s="60"/>
      <c r="K18" s="61" t="s">
        <v>30</v>
      </c>
      <c r="L18" s="62">
        <f>(E18*E11)+(F18*F11)+(G18*G11)+(H18*H11)+(I18*I11)+(J18*J11)</f>
        <v>0</v>
      </c>
      <c r="M18" s="57" t="s">
        <v>31</v>
      </c>
      <c r="N18" s="63" t="b">
        <v>0</v>
      </c>
    </row>
    <row r="19" ht="13.5" customHeight="1">
      <c r="A19" s="68"/>
      <c r="B19" s="65" t="s">
        <v>42</v>
      </c>
      <c r="C19" s="53" t="s">
        <v>34</v>
      </c>
      <c r="D19" s="54"/>
      <c r="E19" s="66"/>
      <c r="F19" s="76"/>
      <c r="G19" s="76"/>
      <c r="H19" s="76"/>
      <c r="I19" s="76"/>
      <c r="J19" s="76"/>
      <c r="K19" s="67" t="s">
        <v>35</v>
      </c>
      <c r="L19" s="62">
        <f>(E19*E11)+(F19*F11)+(G19*G11)+(H19*H11)+(I19*I11)+(J19*J11)</f>
        <v>0</v>
      </c>
      <c r="M19" s="57" t="s">
        <v>36</v>
      </c>
      <c r="N19" s="63" t="b">
        <v>0</v>
      </c>
    </row>
    <row r="20" ht="13.5" customHeight="1">
      <c r="A20" s="46" t="s">
        <v>43</v>
      </c>
      <c r="B20" s="69" t="str">
        <f>IFS(L20=0,"",B20&lt;&gt;"",B20,TRUE,NOW())</f>
        <v/>
      </c>
      <c r="C20" s="70" t="s">
        <v>37</v>
      </c>
      <c r="D20" s="33"/>
      <c r="E20" s="71"/>
      <c r="F20" s="71"/>
      <c r="G20" s="71"/>
      <c r="H20" s="71"/>
      <c r="I20" s="71"/>
      <c r="J20" s="71"/>
      <c r="K20" s="72" t="s">
        <v>38</v>
      </c>
      <c r="L20" s="73">
        <f>L19-L18</f>
        <v>0</v>
      </c>
      <c r="M20" s="74" t="s">
        <v>39</v>
      </c>
      <c r="N20" s="75" t="b">
        <v>0</v>
      </c>
    </row>
    <row r="21" ht="13.5" customHeight="1">
      <c r="A21" s="64"/>
      <c r="B21" s="52" t="s">
        <v>26</v>
      </c>
      <c r="C21" s="53" t="s">
        <v>27</v>
      </c>
      <c r="D21" s="54"/>
      <c r="E21" s="55">
        <f t="shared" ref="E21:J21" si="4">E19-E22</f>
        <v>0</v>
      </c>
      <c r="F21" s="55">
        <f t="shared" si="4"/>
        <v>0</v>
      </c>
      <c r="G21" s="55">
        <f t="shared" si="4"/>
        <v>0</v>
      </c>
      <c r="H21" s="55">
        <f t="shared" si="4"/>
        <v>0</v>
      </c>
      <c r="I21" s="55">
        <f t="shared" si="4"/>
        <v>0</v>
      </c>
      <c r="J21" s="55">
        <f t="shared" si="4"/>
        <v>0</v>
      </c>
      <c r="K21" s="56"/>
      <c r="L21" s="30"/>
      <c r="M21" s="57" t="s">
        <v>28</v>
      </c>
      <c r="N21" s="58" t="b">
        <v>0</v>
      </c>
    </row>
    <row r="22" ht="13.5" customHeight="1">
      <c r="A22" s="46" t="s">
        <v>45</v>
      </c>
      <c r="B22" s="59"/>
      <c r="C22" s="53" t="s">
        <v>30</v>
      </c>
      <c r="D22" s="54"/>
      <c r="E22" s="60"/>
      <c r="F22" s="60"/>
      <c r="G22" s="60"/>
      <c r="H22" s="60"/>
      <c r="I22" s="60"/>
      <c r="J22" s="60"/>
      <c r="K22" s="61" t="s">
        <v>30</v>
      </c>
      <c r="L22" s="62">
        <f>(E22*E11)+(F22*F11)+(G22*G11)+(H22*H11)+(I22*I11)+(J22*J11)</f>
        <v>0</v>
      </c>
      <c r="M22" s="57" t="s">
        <v>31</v>
      </c>
      <c r="N22" s="63" t="b">
        <v>0</v>
      </c>
    </row>
    <row r="23" ht="13.5" customHeight="1">
      <c r="A23" s="77"/>
      <c r="B23" s="65" t="s">
        <v>47</v>
      </c>
      <c r="C23" s="53" t="s">
        <v>34</v>
      </c>
      <c r="D23" s="54"/>
      <c r="E23" s="66"/>
      <c r="F23" s="66"/>
      <c r="G23" s="66"/>
      <c r="H23" s="66"/>
      <c r="I23" s="66"/>
      <c r="J23" s="66"/>
      <c r="K23" s="67" t="s">
        <v>35</v>
      </c>
      <c r="L23" s="62">
        <f>(E23*E11)+(F23*F11)+(G23*G11)+(H23*H11)+(I23*I11)+(J23*J11)</f>
        <v>0</v>
      </c>
      <c r="M23" s="57" t="s">
        <v>36</v>
      </c>
      <c r="N23" s="63" t="b">
        <v>0</v>
      </c>
    </row>
    <row r="24" ht="15.0" customHeight="1">
      <c r="A24" s="68"/>
      <c r="B24" s="69" t="str">
        <f>IFS(L24=0,"",B24&lt;&gt;"",B24,TRUE,NOW())</f>
        <v/>
      </c>
      <c r="C24" s="70" t="s">
        <v>37</v>
      </c>
      <c r="D24" s="33"/>
      <c r="E24" s="71"/>
      <c r="F24" s="71"/>
      <c r="G24" s="71"/>
      <c r="H24" s="71"/>
      <c r="I24" s="71"/>
      <c r="J24" s="71"/>
      <c r="K24" s="72" t="s">
        <v>38</v>
      </c>
      <c r="L24" s="73">
        <f>L23-L22</f>
        <v>0</v>
      </c>
      <c r="M24" s="74" t="s">
        <v>39</v>
      </c>
      <c r="N24" s="75" t="b">
        <v>0</v>
      </c>
    </row>
    <row r="25" ht="13.5" customHeight="1">
      <c r="A25" s="78" t="s">
        <v>48</v>
      </c>
      <c r="B25" s="52" t="s">
        <v>26</v>
      </c>
      <c r="C25" s="53" t="s">
        <v>27</v>
      </c>
      <c r="D25" s="54"/>
      <c r="E25" s="55">
        <f t="shared" ref="E25:J25" si="5">E23-E26</f>
        <v>0</v>
      </c>
      <c r="F25" s="55">
        <f t="shared" si="5"/>
        <v>0</v>
      </c>
      <c r="G25" s="55">
        <f t="shared" si="5"/>
        <v>0</v>
      </c>
      <c r="H25" s="55">
        <f t="shared" si="5"/>
        <v>0</v>
      </c>
      <c r="I25" s="55">
        <f t="shared" si="5"/>
        <v>0</v>
      </c>
      <c r="J25" s="55">
        <f t="shared" si="5"/>
        <v>0</v>
      </c>
      <c r="K25" s="56"/>
      <c r="L25" s="30"/>
      <c r="M25" s="57" t="s">
        <v>28</v>
      </c>
      <c r="N25" s="58" t="b">
        <v>0</v>
      </c>
    </row>
    <row r="26" ht="13.5" customHeight="1">
      <c r="A26" s="87"/>
      <c r="B26" s="59"/>
      <c r="C26" s="53" t="s">
        <v>30</v>
      </c>
      <c r="D26" s="54"/>
      <c r="E26" s="60"/>
      <c r="F26" s="60"/>
      <c r="G26" s="60"/>
      <c r="H26" s="60"/>
      <c r="I26" s="60"/>
      <c r="J26" s="60"/>
      <c r="K26" s="61" t="s">
        <v>30</v>
      </c>
      <c r="L26" s="62">
        <f>(E26*E11)+(F26*F11)+(G26*G11)+(H26*H11)+(I26*I11)+(J26*J11)</f>
        <v>0</v>
      </c>
      <c r="M26" s="57" t="s">
        <v>31</v>
      </c>
      <c r="N26" s="63" t="b">
        <v>0</v>
      </c>
    </row>
    <row r="27" ht="13.5" customHeight="1">
      <c r="A27" s="68"/>
      <c r="B27" s="65" t="s">
        <v>49</v>
      </c>
      <c r="C27" s="53" t="s">
        <v>34</v>
      </c>
      <c r="D27" s="54"/>
      <c r="E27" s="66"/>
      <c r="F27" s="66"/>
      <c r="G27" s="66"/>
      <c r="H27" s="66"/>
      <c r="I27" s="66"/>
      <c r="J27" s="66"/>
      <c r="K27" s="67" t="s">
        <v>35</v>
      </c>
      <c r="L27" s="62">
        <f>(E27*E11)+(F27*F11)+(G27*G11)+(H27*H11)+(I27*I11)+(J27*J11)</f>
        <v>0</v>
      </c>
      <c r="M27" s="57" t="s">
        <v>36</v>
      </c>
      <c r="N27" s="63" t="b">
        <v>0</v>
      </c>
    </row>
    <row r="28" ht="13.5" customHeight="1">
      <c r="A28" s="80"/>
      <c r="B28" s="69" t="str">
        <f>IFS(L28=0,"",B28&lt;&gt;"",B28,TRUE,NOW())</f>
        <v/>
      </c>
      <c r="C28" s="53" t="s">
        <v>37</v>
      </c>
      <c r="D28" s="54"/>
      <c r="E28" s="81"/>
      <c r="F28" s="81"/>
      <c r="G28" s="81"/>
      <c r="H28" s="82"/>
      <c r="I28" s="81"/>
      <c r="J28" s="81"/>
      <c r="K28" s="72" t="s">
        <v>38</v>
      </c>
      <c r="L28" s="73">
        <f>L27-L26</f>
        <v>0</v>
      </c>
      <c r="M28" s="74" t="s">
        <v>39</v>
      </c>
      <c r="N28" s="75" t="b">
        <v>0</v>
      </c>
    </row>
    <row r="29" ht="13.5" customHeight="1">
      <c r="A29" s="83" t="s">
        <v>50</v>
      </c>
      <c r="B29" s="42" t="s">
        <v>20</v>
      </c>
      <c r="C29" s="24"/>
      <c r="D29" s="33"/>
      <c r="E29" s="43">
        <f t="shared" ref="E29:J29" si="6">E6</f>
        <v>17</v>
      </c>
      <c r="F29" s="43">
        <f t="shared" si="6"/>
        <v>27</v>
      </c>
      <c r="G29" s="43">
        <f t="shared" si="6"/>
        <v>27</v>
      </c>
      <c r="H29" s="43">
        <f t="shared" si="6"/>
        <v>27</v>
      </c>
      <c r="I29" s="43">
        <f t="shared" si="6"/>
        <v>32</v>
      </c>
      <c r="J29" s="44">
        <f t="shared" si="6"/>
        <v>37</v>
      </c>
      <c r="K29" s="42" t="s">
        <v>21</v>
      </c>
      <c r="L29" s="25"/>
      <c r="M29" s="45" t="s">
        <v>22</v>
      </c>
      <c r="N29" s="25"/>
    </row>
    <row r="30" ht="13.5" customHeight="1">
      <c r="A30" s="46" t="s">
        <v>23</v>
      </c>
      <c r="B30" s="47" t="s">
        <v>24</v>
      </c>
      <c r="C30" s="32" t="s">
        <v>25</v>
      </c>
      <c r="D30" s="33"/>
      <c r="E30" s="48"/>
      <c r="F30" s="48"/>
      <c r="G30" s="48"/>
      <c r="H30" s="48"/>
      <c r="I30" s="48"/>
      <c r="J30" s="48"/>
      <c r="K30" s="49"/>
      <c r="L30" s="25"/>
      <c r="M30" s="50"/>
      <c r="N30" s="10"/>
    </row>
    <row r="31" ht="15.0" customHeight="1">
      <c r="A31" s="92"/>
      <c r="B31" s="52" t="s">
        <v>51</v>
      </c>
      <c r="C31" s="53" t="s">
        <v>27</v>
      </c>
      <c r="D31" s="54"/>
      <c r="E31" s="55">
        <f t="shared" ref="E31:J31" si="7">E30-E32</f>
        <v>0</v>
      </c>
      <c r="F31" s="55">
        <f t="shared" si="7"/>
        <v>0</v>
      </c>
      <c r="G31" s="55">
        <f t="shared" si="7"/>
        <v>0</v>
      </c>
      <c r="H31" s="55">
        <f t="shared" si="7"/>
        <v>0</v>
      </c>
      <c r="I31" s="55">
        <f t="shared" si="7"/>
        <v>0</v>
      </c>
      <c r="J31" s="55">
        <f t="shared" si="7"/>
        <v>0</v>
      </c>
      <c r="K31" s="56"/>
      <c r="L31" s="30"/>
      <c r="M31" s="57" t="s">
        <v>28</v>
      </c>
      <c r="N31" s="58" t="b">
        <v>0</v>
      </c>
    </row>
    <row r="32" ht="13.5" customHeight="1">
      <c r="A32" s="46" t="s">
        <v>29</v>
      </c>
      <c r="B32" s="59"/>
      <c r="C32" s="53" t="s">
        <v>30</v>
      </c>
      <c r="D32" s="54"/>
      <c r="E32" s="60"/>
      <c r="F32" s="60"/>
      <c r="G32" s="60"/>
      <c r="H32" s="60"/>
      <c r="I32" s="60"/>
      <c r="J32" s="60"/>
      <c r="K32" s="61" t="s">
        <v>30</v>
      </c>
      <c r="L32" s="62">
        <f>(E32*E29)+(F32*F29)+(G32*G29)+(H32*H29)+(I32*I29)+(J32*J29)</f>
        <v>0</v>
      </c>
      <c r="M32" s="57" t="s">
        <v>31</v>
      </c>
      <c r="N32" s="63" t="b">
        <v>0</v>
      </c>
    </row>
    <row r="33" ht="13.5" customHeight="1">
      <c r="A33" s="64"/>
      <c r="B33" s="65" t="s">
        <v>33</v>
      </c>
      <c r="C33" s="53" t="s">
        <v>34</v>
      </c>
      <c r="D33" s="54"/>
      <c r="E33" s="66"/>
      <c r="F33" s="66"/>
      <c r="G33" s="66"/>
      <c r="H33" s="66"/>
      <c r="I33" s="66"/>
      <c r="J33" s="66"/>
      <c r="K33" s="67" t="s">
        <v>35</v>
      </c>
      <c r="L33" s="62">
        <f>(E33*E29)+(F33*F29)+(G33*G29)+(H33*H29)+(I33*I29)+(J33*J29)</f>
        <v>0</v>
      </c>
      <c r="M33" s="57" t="s">
        <v>36</v>
      </c>
      <c r="N33" s="63" t="b">
        <v>0</v>
      </c>
    </row>
    <row r="34" ht="13.5" customHeight="1">
      <c r="A34" s="68"/>
      <c r="B34" s="69" t="str">
        <f>IFS(L34=0,"",B34&lt;&gt;"",B34,TRUE,NOW())</f>
        <v/>
      </c>
      <c r="C34" s="70" t="s">
        <v>37</v>
      </c>
      <c r="D34" s="33"/>
      <c r="E34" s="71"/>
      <c r="F34" s="71"/>
      <c r="G34" s="71"/>
      <c r="H34" s="71"/>
      <c r="I34" s="71"/>
      <c r="J34" s="71"/>
      <c r="K34" s="72" t="s">
        <v>38</v>
      </c>
      <c r="L34" s="73">
        <f>L33-L32</f>
        <v>0</v>
      </c>
      <c r="M34" s="74" t="s">
        <v>39</v>
      </c>
      <c r="N34" s="75" t="b">
        <v>0</v>
      </c>
    </row>
    <row r="35" ht="13.5" customHeight="1">
      <c r="A35" s="46" t="s">
        <v>40</v>
      </c>
      <c r="B35" s="52" t="s">
        <v>51</v>
      </c>
      <c r="C35" s="53" t="s">
        <v>27</v>
      </c>
      <c r="D35" s="54"/>
      <c r="E35" s="55">
        <f t="shared" ref="E35:J35" si="8">E33-E36</f>
        <v>0</v>
      </c>
      <c r="F35" s="55">
        <f t="shared" si="8"/>
        <v>0</v>
      </c>
      <c r="G35" s="55">
        <f t="shared" si="8"/>
        <v>0</v>
      </c>
      <c r="H35" s="55">
        <f t="shared" si="8"/>
        <v>0</v>
      </c>
      <c r="I35" s="55">
        <f t="shared" si="8"/>
        <v>0</v>
      </c>
      <c r="J35" s="55">
        <f t="shared" si="8"/>
        <v>0</v>
      </c>
      <c r="K35" s="56"/>
      <c r="L35" s="30"/>
      <c r="M35" s="57" t="s">
        <v>28</v>
      </c>
      <c r="N35" s="58" t="b">
        <v>0</v>
      </c>
    </row>
    <row r="36" ht="15.0" customHeight="1">
      <c r="A36" s="64"/>
      <c r="B36" s="59"/>
      <c r="C36" s="53" t="s">
        <v>30</v>
      </c>
      <c r="D36" s="54"/>
      <c r="E36" s="60"/>
      <c r="F36" s="60"/>
      <c r="G36" s="60"/>
      <c r="H36" s="60"/>
      <c r="I36" s="84"/>
      <c r="J36" s="84"/>
      <c r="K36" s="61" t="s">
        <v>30</v>
      </c>
      <c r="L36" s="62">
        <f>(E36*E29)+(F36*F29)+(G36*G29)+(H36*H29)+(I36*I29)+(J36*J29)</f>
        <v>0</v>
      </c>
      <c r="M36" s="57" t="s">
        <v>31</v>
      </c>
      <c r="N36" s="63" t="b">
        <v>0</v>
      </c>
    </row>
    <row r="37" ht="13.5" customHeight="1">
      <c r="A37" s="68"/>
      <c r="B37" s="65" t="s">
        <v>42</v>
      </c>
      <c r="C37" s="53" t="s">
        <v>34</v>
      </c>
      <c r="D37" s="54"/>
      <c r="E37" s="66"/>
      <c r="F37" s="66"/>
      <c r="G37" s="66"/>
      <c r="H37" s="66"/>
      <c r="I37" s="66"/>
      <c r="J37" s="66"/>
      <c r="K37" s="67" t="s">
        <v>35</v>
      </c>
      <c r="L37" s="62">
        <f>(E37*E29)+(F37*F29)+(G37*G29)+(H37*H29)+(I37*I29)+(J37*J29)</f>
        <v>0</v>
      </c>
      <c r="M37" s="57" t="s">
        <v>36</v>
      </c>
      <c r="N37" s="63" t="b">
        <v>0</v>
      </c>
    </row>
    <row r="38" ht="13.5" customHeight="1">
      <c r="A38" s="46" t="s">
        <v>43</v>
      </c>
      <c r="B38" s="69" t="str">
        <f>IFS(L38=0,"",B38&lt;&gt;"",B38,TRUE,NOW())</f>
        <v/>
      </c>
      <c r="C38" s="70" t="s">
        <v>37</v>
      </c>
      <c r="D38" s="33"/>
      <c r="E38" s="71"/>
      <c r="F38" s="71"/>
      <c r="G38" s="71"/>
      <c r="H38" s="71"/>
      <c r="I38" s="71"/>
      <c r="J38" s="71"/>
      <c r="K38" s="72" t="s">
        <v>38</v>
      </c>
      <c r="L38" s="73">
        <f>L37-L36</f>
        <v>0</v>
      </c>
      <c r="M38" s="74" t="s">
        <v>39</v>
      </c>
      <c r="N38" s="75" t="b">
        <v>0</v>
      </c>
    </row>
    <row r="39" ht="13.5" customHeight="1">
      <c r="A39" s="64"/>
      <c r="B39" s="52" t="s">
        <v>51</v>
      </c>
      <c r="C39" s="53" t="s">
        <v>27</v>
      </c>
      <c r="D39" s="54"/>
      <c r="E39" s="55">
        <f t="shared" ref="E39:J39" si="9">E37-E40</f>
        <v>0</v>
      </c>
      <c r="F39" s="55">
        <f t="shared" si="9"/>
        <v>0</v>
      </c>
      <c r="G39" s="55">
        <f t="shared" si="9"/>
        <v>0</v>
      </c>
      <c r="H39" s="55">
        <f t="shared" si="9"/>
        <v>0</v>
      </c>
      <c r="I39" s="55">
        <f t="shared" si="9"/>
        <v>0</v>
      </c>
      <c r="J39" s="55">
        <f t="shared" si="9"/>
        <v>0</v>
      </c>
      <c r="K39" s="56"/>
      <c r="L39" s="30"/>
      <c r="M39" s="57" t="s">
        <v>28</v>
      </c>
      <c r="N39" s="58" t="b">
        <v>0</v>
      </c>
    </row>
    <row r="40" ht="13.5" customHeight="1">
      <c r="A40" s="46" t="s">
        <v>45</v>
      </c>
      <c r="B40" s="59"/>
      <c r="C40" s="53" t="s">
        <v>30</v>
      </c>
      <c r="D40" s="54"/>
      <c r="E40" s="60"/>
      <c r="F40" s="60"/>
      <c r="G40" s="60"/>
      <c r="H40" s="60"/>
      <c r="I40" s="60"/>
      <c r="J40" s="60"/>
      <c r="K40" s="61" t="s">
        <v>30</v>
      </c>
      <c r="L40" s="62">
        <f>(E40*E29)+(F40*F29)+(G40*G29)+(H40*H29)+(I40*I29)+(J40*J29)</f>
        <v>0</v>
      </c>
      <c r="M40" s="57" t="s">
        <v>31</v>
      </c>
      <c r="N40" s="63" t="b">
        <v>0</v>
      </c>
    </row>
    <row r="41" ht="15.0" customHeight="1">
      <c r="A41" s="77"/>
      <c r="B41" s="65" t="s">
        <v>47</v>
      </c>
      <c r="C41" s="53" t="s">
        <v>34</v>
      </c>
      <c r="D41" s="54"/>
      <c r="E41" s="66"/>
      <c r="F41" s="66"/>
      <c r="G41" s="66"/>
      <c r="H41" s="66"/>
      <c r="I41" s="66"/>
      <c r="J41" s="66"/>
      <c r="K41" s="67" t="s">
        <v>35</v>
      </c>
      <c r="L41" s="62">
        <f>(E41*E29)+(F41*F29)+(G41*G29)+(H41*H29)+(I41*I29)+(J41*J29)</f>
        <v>0</v>
      </c>
      <c r="M41" s="57" t="s">
        <v>36</v>
      </c>
      <c r="N41" s="63" t="b">
        <v>0</v>
      </c>
    </row>
    <row r="42" ht="13.5" customHeight="1">
      <c r="A42" s="68"/>
      <c r="B42" s="69" t="str">
        <f>IFS(L42=0,"",B42&lt;&gt;"",B42,TRUE,NOW())</f>
        <v/>
      </c>
      <c r="C42" s="70" t="s">
        <v>37</v>
      </c>
      <c r="D42" s="33"/>
      <c r="E42" s="71"/>
      <c r="F42" s="71"/>
      <c r="G42" s="71"/>
      <c r="H42" s="71"/>
      <c r="I42" s="71"/>
      <c r="J42" s="71"/>
      <c r="K42" s="72" t="s">
        <v>38</v>
      </c>
      <c r="L42" s="73">
        <f>L41-L40</f>
        <v>0</v>
      </c>
      <c r="M42" s="74" t="s">
        <v>39</v>
      </c>
      <c r="N42" s="75" t="b">
        <v>0</v>
      </c>
    </row>
    <row r="43" ht="13.5" customHeight="1">
      <c r="A43" s="78" t="s">
        <v>48</v>
      </c>
      <c r="B43" s="52" t="s">
        <v>51</v>
      </c>
      <c r="C43" s="53" t="s">
        <v>27</v>
      </c>
      <c r="D43" s="54"/>
      <c r="E43" s="55">
        <f t="shared" ref="E43:J43" si="10">E41-E44</f>
        <v>0</v>
      </c>
      <c r="F43" s="55">
        <f t="shared" si="10"/>
        <v>0</v>
      </c>
      <c r="G43" s="55">
        <f t="shared" si="10"/>
        <v>0</v>
      </c>
      <c r="H43" s="55">
        <f t="shared" si="10"/>
        <v>0</v>
      </c>
      <c r="I43" s="55">
        <f t="shared" si="10"/>
        <v>0</v>
      </c>
      <c r="J43" s="55">
        <f t="shared" si="10"/>
        <v>0</v>
      </c>
      <c r="K43" s="56"/>
      <c r="L43" s="30"/>
      <c r="M43" s="57" t="s">
        <v>28</v>
      </c>
      <c r="N43" s="58" t="b">
        <v>0</v>
      </c>
    </row>
    <row r="44" ht="13.5" customHeight="1">
      <c r="A44" s="87"/>
      <c r="B44" s="59"/>
      <c r="C44" s="53" t="s">
        <v>30</v>
      </c>
      <c r="D44" s="54"/>
      <c r="E44" s="60"/>
      <c r="F44" s="60"/>
      <c r="G44" s="60"/>
      <c r="H44" s="60"/>
      <c r="I44" s="60"/>
      <c r="J44" s="60"/>
      <c r="K44" s="61" t="s">
        <v>30</v>
      </c>
      <c r="L44" s="62">
        <f>(E44*E29)+(F44*F29)+(G44*G29)+(H44*H29)+(I44*I29)+(J44*J29)</f>
        <v>0</v>
      </c>
      <c r="M44" s="57" t="s">
        <v>31</v>
      </c>
      <c r="N44" s="63" t="b">
        <v>0</v>
      </c>
    </row>
    <row r="45" ht="13.5" customHeight="1">
      <c r="A45" s="68"/>
      <c r="B45" s="65" t="s">
        <v>49</v>
      </c>
      <c r="C45" s="53" t="s">
        <v>34</v>
      </c>
      <c r="D45" s="54"/>
      <c r="E45" s="66"/>
      <c r="F45" s="66"/>
      <c r="G45" s="66"/>
      <c r="H45" s="66"/>
      <c r="I45" s="66"/>
      <c r="J45" s="66"/>
      <c r="K45" s="67" t="s">
        <v>35</v>
      </c>
      <c r="L45" s="62">
        <f>(E45*E29)+(F45*F29)+(G45*G29)+(H45*H29)+(I45*I29)+(J45*J29)</f>
        <v>0</v>
      </c>
      <c r="M45" s="57" t="s">
        <v>36</v>
      </c>
      <c r="N45" s="63" t="b">
        <v>0</v>
      </c>
    </row>
    <row r="46" ht="15.0" customHeight="1">
      <c r="A46" s="80"/>
      <c r="B46" s="69" t="str">
        <f>IFS(L46=0,"",B46&lt;&gt;"",B46,TRUE,NOW())</f>
        <v/>
      </c>
      <c r="C46" s="53" t="s">
        <v>37</v>
      </c>
      <c r="D46" s="54"/>
      <c r="E46" s="81"/>
      <c r="F46" s="81"/>
      <c r="G46" s="81"/>
      <c r="H46" s="82"/>
      <c r="I46" s="81"/>
      <c r="J46" s="81"/>
      <c r="K46" s="72" t="s">
        <v>38</v>
      </c>
      <c r="L46" s="73">
        <f>L45-L44</f>
        <v>0</v>
      </c>
      <c r="M46" s="74" t="s">
        <v>39</v>
      </c>
      <c r="N46" s="75" t="b">
        <v>0</v>
      </c>
    </row>
    <row r="47" ht="13.5" customHeight="1">
      <c r="A47" s="83" t="s">
        <v>56</v>
      </c>
      <c r="B47" s="42" t="s">
        <v>20</v>
      </c>
      <c r="C47" s="24"/>
      <c r="D47" s="33"/>
      <c r="E47" s="43">
        <f t="shared" ref="E47:J47" si="11">E6</f>
        <v>17</v>
      </c>
      <c r="F47" s="43">
        <f t="shared" si="11"/>
        <v>27</v>
      </c>
      <c r="G47" s="43">
        <f t="shared" si="11"/>
        <v>27</v>
      </c>
      <c r="H47" s="43">
        <f t="shared" si="11"/>
        <v>27</v>
      </c>
      <c r="I47" s="43">
        <f t="shared" si="11"/>
        <v>32</v>
      </c>
      <c r="J47" s="44">
        <f t="shared" si="11"/>
        <v>37</v>
      </c>
      <c r="K47" s="42" t="s">
        <v>21</v>
      </c>
      <c r="L47" s="25"/>
      <c r="M47" s="45" t="s">
        <v>22</v>
      </c>
      <c r="N47" s="25"/>
    </row>
    <row r="48" ht="13.5" customHeight="1">
      <c r="A48" s="46" t="s">
        <v>23</v>
      </c>
      <c r="B48" s="47" t="s">
        <v>24</v>
      </c>
      <c r="C48" s="32" t="s">
        <v>25</v>
      </c>
      <c r="D48" s="33"/>
      <c r="E48" s="48"/>
      <c r="F48" s="48"/>
      <c r="G48" s="48"/>
      <c r="H48" s="48"/>
      <c r="I48" s="48"/>
      <c r="J48" s="48"/>
      <c r="K48" s="49"/>
      <c r="L48" s="25"/>
      <c r="M48" s="50"/>
      <c r="N48" s="10"/>
    </row>
    <row r="49" ht="13.5" customHeight="1">
      <c r="A49" s="92"/>
      <c r="B49" s="52" t="s">
        <v>57</v>
      </c>
      <c r="C49" s="53" t="s">
        <v>27</v>
      </c>
      <c r="D49" s="54"/>
      <c r="E49" s="55">
        <f t="shared" ref="E49:J49" si="12">E48-E50</f>
        <v>0</v>
      </c>
      <c r="F49" s="55">
        <f t="shared" si="12"/>
        <v>0</v>
      </c>
      <c r="G49" s="55">
        <f t="shared" si="12"/>
        <v>0</v>
      </c>
      <c r="H49" s="55">
        <f t="shared" si="12"/>
        <v>0</v>
      </c>
      <c r="I49" s="55">
        <f t="shared" si="12"/>
        <v>0</v>
      </c>
      <c r="J49" s="55">
        <f t="shared" si="12"/>
        <v>0</v>
      </c>
      <c r="K49" s="56"/>
      <c r="L49" s="30"/>
      <c r="M49" s="57" t="s">
        <v>28</v>
      </c>
      <c r="N49" s="58" t="b">
        <v>0</v>
      </c>
    </row>
    <row r="50" ht="13.5" customHeight="1">
      <c r="A50" s="46" t="s">
        <v>29</v>
      </c>
      <c r="B50" s="59"/>
      <c r="C50" s="53" t="s">
        <v>30</v>
      </c>
      <c r="D50" s="54"/>
      <c r="E50" s="60"/>
      <c r="F50" s="60"/>
      <c r="G50" s="60"/>
      <c r="H50" s="60"/>
      <c r="I50" s="60"/>
      <c r="J50" s="60"/>
      <c r="K50" s="61" t="s">
        <v>30</v>
      </c>
      <c r="L50" s="62">
        <f>(E50*E47)+(F50*F47)+(G50*G47)+(H50*H47)+(I50*I47)+(J50*J47)</f>
        <v>0</v>
      </c>
      <c r="M50" s="57" t="s">
        <v>31</v>
      </c>
      <c r="N50" s="63" t="b">
        <v>0</v>
      </c>
    </row>
    <row r="51" ht="13.5" customHeight="1">
      <c r="A51" s="64"/>
      <c r="B51" s="65" t="s">
        <v>33</v>
      </c>
      <c r="C51" s="53" t="s">
        <v>34</v>
      </c>
      <c r="D51" s="54"/>
      <c r="E51" s="66"/>
      <c r="F51" s="66"/>
      <c r="G51" s="66"/>
      <c r="H51" s="66"/>
      <c r="I51" s="66"/>
      <c r="J51" s="66"/>
      <c r="K51" s="67" t="s">
        <v>35</v>
      </c>
      <c r="L51" s="62">
        <f>(E51*E47)+(F51*F47)+(G51*G47)+(H51*H47)+(I51*I47)+(J51*J47)</f>
        <v>0</v>
      </c>
      <c r="M51" s="57" t="s">
        <v>36</v>
      </c>
      <c r="N51" s="63" t="b">
        <v>0</v>
      </c>
    </row>
    <row r="52" ht="13.5" customHeight="1">
      <c r="A52" s="68"/>
      <c r="B52" s="69" t="str">
        <f>IFS(L52=0,"",B52&lt;&gt;"",B52,TRUE,NOW())</f>
        <v/>
      </c>
      <c r="C52" s="70" t="s">
        <v>37</v>
      </c>
      <c r="D52" s="33"/>
      <c r="E52" s="71"/>
      <c r="F52" s="71"/>
      <c r="G52" s="71"/>
      <c r="H52" s="71"/>
      <c r="I52" s="71"/>
      <c r="J52" s="71"/>
      <c r="K52" s="72" t="s">
        <v>38</v>
      </c>
      <c r="L52" s="73">
        <f>L51-L50</f>
        <v>0</v>
      </c>
      <c r="M52" s="74" t="s">
        <v>39</v>
      </c>
      <c r="N52" s="75" t="b">
        <v>0</v>
      </c>
    </row>
    <row r="53" ht="15.0" customHeight="1">
      <c r="A53" s="46" t="s">
        <v>40</v>
      </c>
      <c r="B53" s="52" t="s">
        <v>57</v>
      </c>
      <c r="C53" s="53" t="s">
        <v>27</v>
      </c>
      <c r="D53" s="54"/>
      <c r="E53" s="55">
        <f t="shared" ref="E53:J53" si="13">E51-E54</f>
        <v>0</v>
      </c>
      <c r="F53" s="55">
        <f t="shared" si="13"/>
        <v>0</v>
      </c>
      <c r="G53" s="55">
        <f t="shared" si="13"/>
        <v>0</v>
      </c>
      <c r="H53" s="55">
        <f t="shared" si="13"/>
        <v>0</v>
      </c>
      <c r="I53" s="55">
        <f t="shared" si="13"/>
        <v>0</v>
      </c>
      <c r="J53" s="55">
        <f t="shared" si="13"/>
        <v>0</v>
      </c>
      <c r="K53" s="56"/>
      <c r="L53" s="30"/>
      <c r="M53" s="57" t="s">
        <v>28</v>
      </c>
      <c r="N53" s="58" t="b">
        <v>0</v>
      </c>
    </row>
    <row r="54" ht="13.5" customHeight="1">
      <c r="A54" s="64"/>
      <c r="B54" s="59"/>
      <c r="C54" s="53" t="s">
        <v>30</v>
      </c>
      <c r="D54" s="54"/>
      <c r="E54" s="60"/>
      <c r="F54" s="60"/>
      <c r="G54" s="84"/>
      <c r="H54" s="60"/>
      <c r="I54" s="60"/>
      <c r="J54" s="84"/>
      <c r="K54" s="61" t="s">
        <v>30</v>
      </c>
      <c r="L54" s="62">
        <f>(E54*E47)+(F54*F47)+(G54*G47)+(H54*H47)+(I54*I47)+(J54*J47)</f>
        <v>0</v>
      </c>
      <c r="M54" s="57" t="s">
        <v>31</v>
      </c>
      <c r="N54" s="63" t="b">
        <v>0</v>
      </c>
    </row>
    <row r="55" ht="13.5" customHeight="1">
      <c r="A55" s="68"/>
      <c r="B55" s="65" t="s">
        <v>42</v>
      </c>
      <c r="C55" s="53" t="s">
        <v>34</v>
      </c>
      <c r="D55" s="54"/>
      <c r="E55" s="66"/>
      <c r="F55" s="66"/>
      <c r="G55" s="76"/>
      <c r="H55" s="66"/>
      <c r="I55" s="66"/>
      <c r="J55" s="76"/>
      <c r="K55" s="67" t="s">
        <v>35</v>
      </c>
      <c r="L55" s="62">
        <f>(E55*E47)+(F55*F47)+(G55*G47)+(H55*H47)+(I55*I47)+(J55*J47)</f>
        <v>0</v>
      </c>
      <c r="M55" s="57" t="s">
        <v>36</v>
      </c>
      <c r="N55" s="63" t="b">
        <v>0</v>
      </c>
    </row>
    <row r="56" ht="13.5" customHeight="1">
      <c r="A56" s="46" t="s">
        <v>43</v>
      </c>
      <c r="B56" s="69" t="str">
        <f>IFS(L56=0,"",B56&lt;&gt;"",B56,TRUE,NOW())</f>
        <v/>
      </c>
      <c r="C56" s="70" t="s">
        <v>37</v>
      </c>
      <c r="D56" s="33"/>
      <c r="E56" s="71"/>
      <c r="F56" s="71"/>
      <c r="G56" s="71"/>
      <c r="H56" s="71"/>
      <c r="I56" s="71"/>
      <c r="J56" s="71"/>
      <c r="K56" s="72" t="s">
        <v>38</v>
      </c>
      <c r="L56" s="73">
        <f>L55-L54</f>
        <v>0</v>
      </c>
      <c r="M56" s="74" t="s">
        <v>39</v>
      </c>
      <c r="N56" s="75" t="b">
        <v>0</v>
      </c>
    </row>
    <row r="57" ht="13.5" customHeight="1">
      <c r="A57" s="64"/>
      <c r="B57" s="52" t="s">
        <v>57</v>
      </c>
      <c r="C57" s="53" t="s">
        <v>27</v>
      </c>
      <c r="D57" s="54"/>
      <c r="E57" s="55">
        <f t="shared" ref="E57:J57" si="14">E55-E58</f>
        <v>0</v>
      </c>
      <c r="F57" s="55">
        <f t="shared" si="14"/>
        <v>0</v>
      </c>
      <c r="G57" s="55">
        <f t="shared" si="14"/>
        <v>0</v>
      </c>
      <c r="H57" s="55">
        <f t="shared" si="14"/>
        <v>0</v>
      </c>
      <c r="I57" s="55">
        <f t="shared" si="14"/>
        <v>0</v>
      </c>
      <c r="J57" s="55">
        <f t="shared" si="14"/>
        <v>0</v>
      </c>
      <c r="K57" s="56"/>
      <c r="L57" s="30"/>
      <c r="M57" s="57" t="s">
        <v>28</v>
      </c>
      <c r="N57" s="58" t="b">
        <v>0</v>
      </c>
    </row>
    <row r="58" ht="15.0" customHeight="1">
      <c r="A58" s="46" t="s">
        <v>45</v>
      </c>
      <c r="B58" s="59"/>
      <c r="C58" s="53" t="s">
        <v>30</v>
      </c>
      <c r="D58" s="54"/>
      <c r="E58" s="60"/>
      <c r="F58" s="60"/>
      <c r="G58" s="60"/>
      <c r="H58" s="60"/>
      <c r="I58" s="60"/>
      <c r="J58" s="60"/>
      <c r="K58" s="61" t="s">
        <v>30</v>
      </c>
      <c r="L58" s="62">
        <f>(E58*E47)+(F58*F47)+(G58*G47)+(H58*H47)+(I58*I47)+(J58*J47)</f>
        <v>0</v>
      </c>
      <c r="M58" s="57" t="s">
        <v>31</v>
      </c>
      <c r="N58" s="63" t="b">
        <v>0</v>
      </c>
    </row>
    <row r="59" ht="13.5" customHeight="1">
      <c r="A59" s="77"/>
      <c r="B59" s="65" t="s">
        <v>47</v>
      </c>
      <c r="C59" s="53" t="s">
        <v>34</v>
      </c>
      <c r="D59" s="54"/>
      <c r="E59" s="66"/>
      <c r="F59" s="66"/>
      <c r="G59" s="66"/>
      <c r="H59" s="66"/>
      <c r="I59" s="66"/>
      <c r="J59" s="66"/>
      <c r="K59" s="67" t="s">
        <v>35</v>
      </c>
      <c r="L59" s="62">
        <f>(E59*E47)+(F59*F47)+(G59*G47)+(H59*H47)+(I59*I47)+(J59*J47)</f>
        <v>0</v>
      </c>
      <c r="M59" s="57" t="s">
        <v>36</v>
      </c>
      <c r="N59" s="63" t="b">
        <v>0</v>
      </c>
    </row>
    <row r="60" ht="13.5" customHeight="1">
      <c r="A60" s="68"/>
      <c r="B60" s="69" t="str">
        <f>IFS(L60=0,"",B60&lt;&gt;"",B60,TRUE,NOW())</f>
        <v/>
      </c>
      <c r="C60" s="70" t="s">
        <v>37</v>
      </c>
      <c r="D60" s="33"/>
      <c r="E60" s="71"/>
      <c r="F60" s="71"/>
      <c r="G60" s="71"/>
      <c r="H60" s="71"/>
      <c r="I60" s="71"/>
      <c r="J60" s="71"/>
      <c r="K60" s="72" t="s">
        <v>38</v>
      </c>
      <c r="L60" s="73">
        <f>L59-L58</f>
        <v>0</v>
      </c>
      <c r="M60" s="74" t="s">
        <v>39</v>
      </c>
      <c r="N60" s="75" t="b">
        <v>0</v>
      </c>
    </row>
    <row r="61" ht="13.5" customHeight="1">
      <c r="A61" s="78" t="s">
        <v>48</v>
      </c>
      <c r="B61" s="52" t="s">
        <v>57</v>
      </c>
      <c r="C61" s="53" t="s">
        <v>27</v>
      </c>
      <c r="D61" s="54"/>
      <c r="E61" s="55">
        <f t="shared" ref="E61:J61" si="15">E59-E62</f>
        <v>0</v>
      </c>
      <c r="F61" s="55">
        <f t="shared" si="15"/>
        <v>0</v>
      </c>
      <c r="G61" s="55">
        <f t="shared" si="15"/>
        <v>0</v>
      </c>
      <c r="H61" s="55">
        <f t="shared" si="15"/>
        <v>0</v>
      </c>
      <c r="I61" s="55">
        <f t="shared" si="15"/>
        <v>0</v>
      </c>
      <c r="J61" s="55">
        <f t="shared" si="15"/>
        <v>0</v>
      </c>
      <c r="K61" s="56"/>
      <c r="L61" s="30"/>
      <c r="M61" s="57" t="s">
        <v>28</v>
      </c>
      <c r="N61" s="58" t="b">
        <v>0</v>
      </c>
    </row>
    <row r="62" ht="13.5" customHeight="1">
      <c r="A62" s="87"/>
      <c r="B62" s="59"/>
      <c r="C62" s="53" t="s">
        <v>30</v>
      </c>
      <c r="D62" s="54"/>
      <c r="E62" s="60"/>
      <c r="F62" s="60"/>
      <c r="G62" s="60"/>
      <c r="H62" s="60"/>
      <c r="I62" s="60"/>
      <c r="J62" s="60"/>
      <c r="K62" s="61" t="s">
        <v>30</v>
      </c>
      <c r="L62" s="62">
        <f>(E62*E47)+(F62*F47)+(G62*G47)+(H62*H47)+(I62*I47)+(J62*J47)</f>
        <v>0</v>
      </c>
      <c r="M62" s="57" t="s">
        <v>31</v>
      </c>
      <c r="N62" s="63" t="b">
        <v>0</v>
      </c>
    </row>
    <row r="63" ht="15.0" customHeight="1">
      <c r="A63" s="68"/>
      <c r="B63" s="65" t="s">
        <v>49</v>
      </c>
      <c r="C63" s="53" t="s">
        <v>34</v>
      </c>
      <c r="D63" s="54"/>
      <c r="E63" s="66"/>
      <c r="F63" s="66"/>
      <c r="G63" s="66"/>
      <c r="H63" s="66"/>
      <c r="I63" s="66"/>
      <c r="J63" s="66"/>
      <c r="K63" s="67" t="s">
        <v>35</v>
      </c>
      <c r="L63" s="62">
        <f>(E63*E47)+(F63*F47)+(G63*G47)+(H63*H47)+(I63*I47)+(J63*J47)</f>
        <v>0</v>
      </c>
      <c r="M63" s="57" t="s">
        <v>36</v>
      </c>
      <c r="N63" s="63" t="b">
        <v>0</v>
      </c>
    </row>
    <row r="64" ht="13.5" customHeight="1">
      <c r="A64" s="80"/>
      <c r="B64" s="69" t="str">
        <f>IFS(L64=0,"",B64&lt;&gt;"",B64,TRUE,NOW())</f>
        <v/>
      </c>
      <c r="C64" s="53" t="s">
        <v>37</v>
      </c>
      <c r="D64" s="54"/>
      <c r="E64" s="81"/>
      <c r="F64" s="81"/>
      <c r="G64" s="81"/>
      <c r="H64" s="82"/>
      <c r="I64" s="81"/>
      <c r="J64" s="81"/>
      <c r="K64" s="72" t="s">
        <v>38</v>
      </c>
      <c r="L64" s="73">
        <f>L63-L62</f>
        <v>0</v>
      </c>
      <c r="M64" s="74" t="s">
        <v>39</v>
      </c>
      <c r="N64" s="75" t="b">
        <v>0</v>
      </c>
    </row>
    <row r="65" ht="13.5" customHeight="1">
      <c r="A65" s="83" t="s">
        <v>62</v>
      </c>
      <c r="B65" s="42" t="s">
        <v>20</v>
      </c>
      <c r="C65" s="24"/>
      <c r="D65" s="33"/>
      <c r="E65" s="43">
        <f t="shared" ref="E65:J65" si="16">E6</f>
        <v>17</v>
      </c>
      <c r="F65" s="43">
        <f t="shared" si="16"/>
        <v>27</v>
      </c>
      <c r="G65" s="43">
        <f t="shared" si="16"/>
        <v>27</v>
      </c>
      <c r="H65" s="43">
        <f t="shared" si="16"/>
        <v>27</v>
      </c>
      <c r="I65" s="43">
        <f t="shared" si="16"/>
        <v>32</v>
      </c>
      <c r="J65" s="44">
        <f t="shared" si="16"/>
        <v>37</v>
      </c>
      <c r="K65" s="42" t="s">
        <v>21</v>
      </c>
      <c r="L65" s="25"/>
      <c r="M65" s="45" t="s">
        <v>22</v>
      </c>
      <c r="N65" s="25"/>
    </row>
    <row r="66" ht="13.5" customHeight="1">
      <c r="A66" s="46" t="s">
        <v>23</v>
      </c>
      <c r="B66" s="47" t="s">
        <v>24</v>
      </c>
      <c r="C66" s="32" t="s">
        <v>25</v>
      </c>
      <c r="D66" s="33"/>
      <c r="E66" s="48"/>
      <c r="F66" s="48"/>
      <c r="G66" s="48"/>
      <c r="H66" s="48"/>
      <c r="I66" s="48"/>
      <c r="J66" s="48"/>
      <c r="K66" s="49"/>
      <c r="L66" s="25"/>
      <c r="M66" s="50"/>
      <c r="N66" s="10"/>
    </row>
    <row r="67" ht="13.5" customHeight="1">
      <c r="A67" s="92"/>
      <c r="B67" s="52" t="s">
        <v>63</v>
      </c>
      <c r="C67" s="53" t="s">
        <v>27</v>
      </c>
      <c r="D67" s="54"/>
      <c r="E67" s="55">
        <f t="shared" ref="E67:J67" si="17">E66-E68</f>
        <v>0</v>
      </c>
      <c r="F67" s="55">
        <f t="shared" si="17"/>
        <v>0</v>
      </c>
      <c r="G67" s="55">
        <f t="shared" si="17"/>
        <v>0</v>
      </c>
      <c r="H67" s="55">
        <f t="shared" si="17"/>
        <v>0</v>
      </c>
      <c r="I67" s="55">
        <f t="shared" si="17"/>
        <v>0</v>
      </c>
      <c r="J67" s="55">
        <f t="shared" si="17"/>
        <v>0</v>
      </c>
      <c r="K67" s="56"/>
      <c r="L67" s="30"/>
      <c r="M67" s="57" t="s">
        <v>28</v>
      </c>
      <c r="N67" s="58" t="b">
        <v>0</v>
      </c>
    </row>
    <row r="68" ht="15.0" customHeight="1">
      <c r="A68" s="46" t="s">
        <v>29</v>
      </c>
      <c r="B68" s="59"/>
      <c r="C68" s="53" t="s">
        <v>30</v>
      </c>
      <c r="D68" s="54"/>
      <c r="E68" s="60"/>
      <c r="F68" s="60"/>
      <c r="G68" s="60"/>
      <c r="H68" s="60"/>
      <c r="I68" s="60"/>
      <c r="J68" s="60"/>
      <c r="K68" s="61" t="s">
        <v>30</v>
      </c>
      <c r="L68" s="62">
        <f>(E68*E65)+(F68*F65)+(G68*G65)+(H68*H65)+(I68*I65)+(J68*J65)</f>
        <v>0</v>
      </c>
      <c r="M68" s="57" t="s">
        <v>31</v>
      </c>
      <c r="N68" s="63" t="b">
        <v>0</v>
      </c>
    </row>
    <row r="69" ht="13.5" customHeight="1">
      <c r="A69" s="64"/>
      <c r="B69" s="65" t="s">
        <v>33</v>
      </c>
      <c r="C69" s="53" t="s">
        <v>34</v>
      </c>
      <c r="D69" s="54"/>
      <c r="E69" s="66"/>
      <c r="F69" s="66"/>
      <c r="G69" s="66"/>
      <c r="H69" s="66"/>
      <c r="I69" s="66"/>
      <c r="J69" s="66"/>
      <c r="K69" s="67" t="s">
        <v>35</v>
      </c>
      <c r="L69" s="62">
        <f>(E69*E65)+(F69*F65)+(G69*G65)+(H69*H65)+(I69*I65)+(J69*J65)</f>
        <v>0</v>
      </c>
      <c r="M69" s="57" t="s">
        <v>36</v>
      </c>
      <c r="N69" s="63" t="b">
        <v>0</v>
      </c>
    </row>
    <row r="70" ht="13.5" customHeight="1">
      <c r="A70" s="68"/>
      <c r="B70" s="69" t="str">
        <f>IFS(L70=0,"",B70&lt;&gt;"",B70,TRUE,NOW())</f>
        <v/>
      </c>
      <c r="C70" s="70" t="s">
        <v>37</v>
      </c>
      <c r="D70" s="33"/>
      <c r="E70" s="71"/>
      <c r="F70" s="71"/>
      <c r="G70" s="71"/>
      <c r="H70" s="71"/>
      <c r="I70" s="71"/>
      <c r="J70" s="71"/>
      <c r="K70" s="72" t="s">
        <v>38</v>
      </c>
      <c r="L70" s="73">
        <f>L69-L68</f>
        <v>0</v>
      </c>
      <c r="M70" s="74" t="s">
        <v>39</v>
      </c>
      <c r="N70" s="75" t="b">
        <v>0</v>
      </c>
    </row>
    <row r="71" ht="13.5" customHeight="1">
      <c r="A71" s="46" t="s">
        <v>40</v>
      </c>
      <c r="B71" s="52" t="s">
        <v>63</v>
      </c>
      <c r="C71" s="53" t="s">
        <v>27</v>
      </c>
      <c r="D71" s="54"/>
      <c r="E71" s="55">
        <f t="shared" ref="E71:J71" si="18">E69-E72</f>
        <v>0</v>
      </c>
      <c r="F71" s="55">
        <f t="shared" si="18"/>
        <v>0</v>
      </c>
      <c r="G71" s="55">
        <f t="shared" si="18"/>
        <v>0</v>
      </c>
      <c r="H71" s="55">
        <f t="shared" si="18"/>
        <v>0</v>
      </c>
      <c r="I71" s="55">
        <f t="shared" si="18"/>
        <v>0</v>
      </c>
      <c r="J71" s="55">
        <f t="shared" si="18"/>
        <v>0</v>
      </c>
      <c r="K71" s="56"/>
      <c r="L71" s="30"/>
      <c r="M71" s="57" t="s">
        <v>28</v>
      </c>
      <c r="N71" s="58" t="b">
        <v>0</v>
      </c>
    </row>
    <row r="72" ht="13.5" customHeight="1">
      <c r="A72" s="64"/>
      <c r="B72" s="59"/>
      <c r="C72" s="53" t="s">
        <v>30</v>
      </c>
      <c r="D72" s="54"/>
      <c r="E72" s="60"/>
      <c r="F72" s="60"/>
      <c r="G72" s="60"/>
      <c r="H72" s="84"/>
      <c r="I72" s="60"/>
      <c r="J72" s="60"/>
      <c r="K72" s="61" t="s">
        <v>30</v>
      </c>
      <c r="L72" s="62">
        <f>(E72*E65)+(F72*F65)+(G72*G65)+(H72*H65)+(I72*I65)+(J72*J65)</f>
        <v>0</v>
      </c>
      <c r="M72" s="57" t="s">
        <v>31</v>
      </c>
      <c r="N72" s="63" t="b">
        <v>0</v>
      </c>
    </row>
    <row r="73" ht="13.5" customHeight="1">
      <c r="A73" s="68"/>
      <c r="B73" s="65" t="s">
        <v>42</v>
      </c>
      <c r="C73" s="53" t="s">
        <v>34</v>
      </c>
      <c r="D73" s="54"/>
      <c r="E73" s="66"/>
      <c r="F73" s="66"/>
      <c r="G73" s="76"/>
      <c r="H73" s="76"/>
      <c r="I73" s="76"/>
      <c r="J73" s="76"/>
      <c r="K73" s="67" t="s">
        <v>35</v>
      </c>
      <c r="L73" s="62">
        <f>(E73*E65)+(F73*F65)+(G73*G65)+(H73*H65)+(I73*I65)+(J73*J65)</f>
        <v>0</v>
      </c>
      <c r="M73" s="57" t="s">
        <v>36</v>
      </c>
      <c r="N73" s="63" t="b">
        <v>0</v>
      </c>
    </row>
    <row r="74" ht="13.5" customHeight="1">
      <c r="A74" s="46" t="s">
        <v>43</v>
      </c>
      <c r="B74" s="69" t="str">
        <f>IFS(L74=0,"",B74&lt;&gt;"",B74,TRUE,NOW())</f>
        <v/>
      </c>
      <c r="C74" s="70" t="s">
        <v>37</v>
      </c>
      <c r="D74" s="33"/>
      <c r="E74" s="71"/>
      <c r="F74" s="71"/>
      <c r="G74" s="71"/>
      <c r="H74" s="71"/>
      <c r="I74" s="71"/>
      <c r="J74" s="71"/>
      <c r="K74" s="72" t="s">
        <v>38</v>
      </c>
      <c r="L74" s="73">
        <f>L73-L72</f>
        <v>0</v>
      </c>
      <c r="M74" s="74" t="s">
        <v>39</v>
      </c>
      <c r="N74" s="75" t="b">
        <v>0</v>
      </c>
    </row>
    <row r="75" ht="15.0" customHeight="1">
      <c r="A75" s="64"/>
      <c r="B75" s="52" t="s">
        <v>63</v>
      </c>
      <c r="C75" s="53" t="s">
        <v>27</v>
      </c>
      <c r="D75" s="54"/>
      <c r="E75" s="55">
        <f t="shared" ref="E75:J75" si="19">E73-E76</f>
        <v>0</v>
      </c>
      <c r="F75" s="55">
        <f t="shared" si="19"/>
        <v>0</v>
      </c>
      <c r="G75" s="55">
        <f t="shared" si="19"/>
        <v>0</v>
      </c>
      <c r="H75" s="55">
        <f t="shared" si="19"/>
        <v>0</v>
      </c>
      <c r="I75" s="55">
        <f t="shared" si="19"/>
        <v>0</v>
      </c>
      <c r="J75" s="55">
        <f t="shared" si="19"/>
        <v>0</v>
      </c>
      <c r="K75" s="56"/>
      <c r="L75" s="30"/>
      <c r="M75" s="57" t="s">
        <v>28</v>
      </c>
      <c r="N75" s="58" t="b">
        <v>0</v>
      </c>
    </row>
    <row r="76" ht="13.5" customHeight="1">
      <c r="A76" s="46" t="s">
        <v>45</v>
      </c>
      <c r="B76" s="59"/>
      <c r="C76" s="53" t="s">
        <v>30</v>
      </c>
      <c r="D76" s="54"/>
      <c r="E76" s="60"/>
      <c r="F76" s="60"/>
      <c r="G76" s="60"/>
      <c r="H76" s="60"/>
      <c r="I76" s="60"/>
      <c r="J76" s="60"/>
      <c r="K76" s="61" t="s">
        <v>30</v>
      </c>
      <c r="L76" s="62">
        <f>(E76*E65)+(F76*F65)+(G76*G65)+(H76*H65)+(I76*I65)+(J76*J65)</f>
        <v>0</v>
      </c>
      <c r="M76" s="57" t="s">
        <v>31</v>
      </c>
      <c r="N76" s="63" t="b">
        <v>0</v>
      </c>
    </row>
    <row r="77" ht="13.5" customHeight="1">
      <c r="A77" s="77"/>
      <c r="B77" s="65" t="s">
        <v>47</v>
      </c>
      <c r="C77" s="53" t="s">
        <v>34</v>
      </c>
      <c r="D77" s="54"/>
      <c r="E77" s="66"/>
      <c r="F77" s="66"/>
      <c r="G77" s="66"/>
      <c r="H77" s="66"/>
      <c r="I77" s="66"/>
      <c r="J77" s="66"/>
      <c r="K77" s="67" t="s">
        <v>35</v>
      </c>
      <c r="L77" s="62">
        <f>(E77*E65)+(F77*F65)+(G77*G65)+(H77*H65)+(I77*I65)+(J77*J65)</f>
        <v>0</v>
      </c>
      <c r="M77" s="57" t="s">
        <v>36</v>
      </c>
      <c r="N77" s="63" t="b">
        <v>0</v>
      </c>
    </row>
    <row r="78" ht="13.5" customHeight="1">
      <c r="A78" s="68"/>
      <c r="B78" s="69" t="str">
        <f>IFS(L78=0,"",B78&lt;&gt;"",B78,TRUE,NOW())</f>
        <v/>
      </c>
      <c r="C78" s="70" t="s">
        <v>37</v>
      </c>
      <c r="D78" s="33"/>
      <c r="E78" s="71"/>
      <c r="F78" s="71"/>
      <c r="G78" s="71"/>
      <c r="H78" s="71"/>
      <c r="I78" s="71"/>
      <c r="J78" s="71"/>
      <c r="K78" s="72" t="s">
        <v>38</v>
      </c>
      <c r="L78" s="73">
        <f>L77-L76</f>
        <v>0</v>
      </c>
      <c r="M78" s="74" t="s">
        <v>39</v>
      </c>
      <c r="N78" s="75" t="b">
        <v>0</v>
      </c>
    </row>
    <row r="79" ht="13.5" customHeight="1">
      <c r="A79" s="78" t="s">
        <v>48</v>
      </c>
      <c r="B79" s="52" t="s">
        <v>63</v>
      </c>
      <c r="C79" s="53" t="s">
        <v>27</v>
      </c>
      <c r="D79" s="54"/>
      <c r="E79" s="55">
        <f t="shared" ref="E79:J79" si="20">E77-E80</f>
        <v>0</v>
      </c>
      <c r="F79" s="55">
        <f t="shared" si="20"/>
        <v>0</v>
      </c>
      <c r="G79" s="55">
        <f t="shared" si="20"/>
        <v>0</v>
      </c>
      <c r="H79" s="55">
        <f t="shared" si="20"/>
        <v>0</v>
      </c>
      <c r="I79" s="55">
        <f t="shared" si="20"/>
        <v>0</v>
      </c>
      <c r="J79" s="55">
        <f t="shared" si="20"/>
        <v>0</v>
      </c>
      <c r="K79" s="56"/>
      <c r="L79" s="30"/>
      <c r="M79" s="57" t="s">
        <v>28</v>
      </c>
      <c r="N79" s="58" t="b">
        <v>0</v>
      </c>
    </row>
    <row r="80" ht="15.0" customHeight="1">
      <c r="A80" s="87"/>
      <c r="B80" s="59"/>
      <c r="C80" s="53" t="s">
        <v>30</v>
      </c>
      <c r="D80" s="54"/>
      <c r="E80" s="60"/>
      <c r="F80" s="60"/>
      <c r="G80" s="60"/>
      <c r="H80" s="60"/>
      <c r="I80" s="60"/>
      <c r="J80" s="60"/>
      <c r="K80" s="61" t="s">
        <v>30</v>
      </c>
      <c r="L80" s="62">
        <f>(E80*E65)+(F80*F65)+(G80*G65)+(H80*H65)+(I80*I65)+(J80*J65)</f>
        <v>0</v>
      </c>
      <c r="M80" s="57" t="s">
        <v>31</v>
      </c>
      <c r="N80" s="63" t="b">
        <v>0</v>
      </c>
    </row>
    <row r="81" ht="13.5" customHeight="1">
      <c r="A81" s="68"/>
      <c r="B81" s="65" t="s">
        <v>49</v>
      </c>
      <c r="C81" s="53" t="s">
        <v>34</v>
      </c>
      <c r="D81" s="54"/>
      <c r="E81" s="66"/>
      <c r="F81" s="66"/>
      <c r="G81" s="66"/>
      <c r="H81" s="66"/>
      <c r="I81" s="66"/>
      <c r="J81" s="66"/>
      <c r="K81" s="67" t="s">
        <v>35</v>
      </c>
      <c r="L81" s="62">
        <f>(E81*E65)+(F81*F65)+(G81*G65)+(H81*H65)+(I81*I65)+(J81*J65)</f>
        <v>0</v>
      </c>
      <c r="M81" s="57" t="s">
        <v>36</v>
      </c>
      <c r="N81" s="63" t="b">
        <v>0</v>
      </c>
    </row>
    <row r="82" ht="13.5" customHeight="1">
      <c r="A82" s="80"/>
      <c r="B82" s="69" t="str">
        <f>IFS(L82=0,"",B82&lt;&gt;"",B82,TRUE,NOW())</f>
        <v/>
      </c>
      <c r="C82" s="86" t="s">
        <v>37</v>
      </c>
      <c r="D82" s="59"/>
      <c r="E82" s="81"/>
      <c r="F82" s="81"/>
      <c r="G82" s="81"/>
      <c r="H82" s="82"/>
      <c r="I82" s="81"/>
      <c r="J82" s="81"/>
      <c r="K82" s="72" t="s">
        <v>38</v>
      </c>
      <c r="L82" s="73">
        <f>L81-L80</f>
        <v>0</v>
      </c>
      <c r="M82" s="74" t="s">
        <v>39</v>
      </c>
      <c r="N82" s="75" t="b">
        <v>0</v>
      </c>
    </row>
    <row r="83" ht="13.5" customHeight="1">
      <c r="A83" s="83" t="s">
        <v>65</v>
      </c>
      <c r="B83" s="42" t="s">
        <v>20</v>
      </c>
      <c r="C83" s="24"/>
      <c r="D83" s="33"/>
      <c r="E83" s="43">
        <f t="shared" ref="E83:J83" si="21">E6</f>
        <v>17</v>
      </c>
      <c r="F83" s="43">
        <f t="shared" si="21"/>
        <v>27</v>
      </c>
      <c r="G83" s="43">
        <f t="shared" si="21"/>
        <v>27</v>
      </c>
      <c r="H83" s="43">
        <f t="shared" si="21"/>
        <v>27</v>
      </c>
      <c r="I83" s="43">
        <f t="shared" si="21"/>
        <v>32</v>
      </c>
      <c r="J83" s="44">
        <f t="shared" si="21"/>
        <v>37</v>
      </c>
      <c r="K83" s="42" t="s">
        <v>21</v>
      </c>
      <c r="L83" s="25"/>
      <c r="M83" s="45" t="s">
        <v>22</v>
      </c>
      <c r="N83" s="25"/>
    </row>
    <row r="84" ht="13.5" customHeight="1">
      <c r="A84" s="46" t="s">
        <v>23</v>
      </c>
      <c r="B84" s="47" t="s">
        <v>24</v>
      </c>
      <c r="C84" s="32" t="s">
        <v>25</v>
      </c>
      <c r="D84" s="33"/>
      <c r="E84" s="48"/>
      <c r="F84" s="48"/>
      <c r="G84" s="48"/>
      <c r="H84" s="48"/>
      <c r="I84" s="48"/>
      <c r="J84" s="48"/>
      <c r="K84" s="49"/>
      <c r="L84" s="25"/>
      <c r="M84" s="50"/>
      <c r="N84" s="10"/>
    </row>
    <row r="85" ht="19.5" customHeight="1">
      <c r="A85" s="92"/>
      <c r="B85" s="52" t="s">
        <v>66</v>
      </c>
      <c r="C85" s="53" t="s">
        <v>27</v>
      </c>
      <c r="D85" s="54"/>
      <c r="E85" s="55">
        <f t="shared" ref="E85:J85" si="22">E84-E86</f>
        <v>0</v>
      </c>
      <c r="F85" s="55">
        <f t="shared" si="22"/>
        <v>0</v>
      </c>
      <c r="G85" s="55">
        <f t="shared" si="22"/>
        <v>0</v>
      </c>
      <c r="H85" s="55">
        <f t="shared" si="22"/>
        <v>0</v>
      </c>
      <c r="I85" s="55">
        <f t="shared" si="22"/>
        <v>0</v>
      </c>
      <c r="J85" s="55">
        <f t="shared" si="22"/>
        <v>0</v>
      </c>
      <c r="K85" s="56"/>
      <c r="L85" s="30"/>
      <c r="M85" s="57" t="s">
        <v>28</v>
      </c>
      <c r="N85" s="58" t="b">
        <v>0</v>
      </c>
    </row>
    <row r="86" ht="13.5" customHeight="1">
      <c r="A86" s="46" t="s">
        <v>29</v>
      </c>
      <c r="B86" s="59"/>
      <c r="C86" s="53" t="s">
        <v>30</v>
      </c>
      <c r="D86" s="54"/>
      <c r="E86" s="60"/>
      <c r="F86" s="60"/>
      <c r="G86" s="60"/>
      <c r="H86" s="60"/>
      <c r="I86" s="60"/>
      <c r="J86" s="60"/>
      <c r="K86" s="61" t="s">
        <v>30</v>
      </c>
      <c r="L86" s="62">
        <f>(E86*E83)+(F86*F83)+(G86*G83)+(H86*H83)+(I86*I83)+(J86*J83)</f>
        <v>0</v>
      </c>
      <c r="M86" s="57" t="s">
        <v>31</v>
      </c>
      <c r="N86" s="63" t="b">
        <v>0</v>
      </c>
    </row>
    <row r="87" ht="13.5" customHeight="1">
      <c r="A87" s="64"/>
      <c r="B87" s="65" t="s">
        <v>33</v>
      </c>
      <c r="C87" s="53" t="s">
        <v>34</v>
      </c>
      <c r="D87" s="54"/>
      <c r="E87" s="66"/>
      <c r="F87" s="66"/>
      <c r="G87" s="66"/>
      <c r="H87" s="66"/>
      <c r="I87" s="66"/>
      <c r="J87" s="66"/>
      <c r="K87" s="67" t="s">
        <v>35</v>
      </c>
      <c r="L87" s="62">
        <f>(E87*E83)+(F87*F83)+(G87*G83)+(H87*H83)+(I87*I83)+(J87*J83)</f>
        <v>0</v>
      </c>
      <c r="M87" s="57" t="s">
        <v>36</v>
      </c>
      <c r="N87" s="63" t="b">
        <v>0</v>
      </c>
    </row>
    <row r="88" ht="13.5" customHeight="1">
      <c r="A88" s="68"/>
      <c r="B88" s="69" t="str">
        <f>IFS(L88=0,"",B88&lt;&gt;"",B88,TRUE,NOW())</f>
        <v/>
      </c>
      <c r="C88" s="70" t="s">
        <v>37</v>
      </c>
      <c r="D88" s="33"/>
      <c r="E88" s="71"/>
      <c r="F88" s="71"/>
      <c r="G88" s="71"/>
      <c r="H88" s="71"/>
      <c r="I88" s="71"/>
      <c r="J88" s="71"/>
      <c r="K88" s="72" t="s">
        <v>38</v>
      </c>
      <c r="L88" s="73">
        <f>L87-L86</f>
        <v>0</v>
      </c>
      <c r="M88" s="74" t="s">
        <v>39</v>
      </c>
      <c r="N88" s="75" t="b">
        <v>0</v>
      </c>
    </row>
    <row r="89" ht="13.5" customHeight="1">
      <c r="A89" s="46" t="s">
        <v>40</v>
      </c>
      <c r="B89" s="52" t="s">
        <v>66</v>
      </c>
      <c r="C89" s="53" t="s">
        <v>27</v>
      </c>
      <c r="D89" s="54"/>
      <c r="E89" s="55">
        <f t="shared" ref="E89:J89" si="23">E87-E90</f>
        <v>0</v>
      </c>
      <c r="F89" s="55">
        <f t="shared" si="23"/>
        <v>0</v>
      </c>
      <c r="G89" s="55">
        <f t="shared" si="23"/>
        <v>0</v>
      </c>
      <c r="H89" s="55">
        <f t="shared" si="23"/>
        <v>0</v>
      </c>
      <c r="I89" s="55">
        <f t="shared" si="23"/>
        <v>0</v>
      </c>
      <c r="J89" s="55">
        <f t="shared" si="23"/>
        <v>0</v>
      </c>
      <c r="K89" s="56"/>
      <c r="L89" s="30"/>
      <c r="M89" s="57" t="s">
        <v>28</v>
      </c>
      <c r="N89" s="58" t="b">
        <v>0</v>
      </c>
    </row>
    <row r="90" ht="15.0" customHeight="1">
      <c r="A90" s="64"/>
      <c r="B90" s="59"/>
      <c r="C90" s="53" t="s">
        <v>30</v>
      </c>
      <c r="D90" s="54"/>
      <c r="E90" s="60"/>
      <c r="F90" s="84"/>
      <c r="G90" s="60"/>
      <c r="H90" s="60"/>
      <c r="I90" s="84"/>
      <c r="J90" s="84"/>
      <c r="K90" s="61" t="s">
        <v>30</v>
      </c>
      <c r="L90" s="62">
        <f>(E90*E83)+(F90*F83)+(G90*G83)+(H90*H83)+(I90*I83)+(J90*J83)</f>
        <v>0</v>
      </c>
      <c r="M90" s="57" t="s">
        <v>31</v>
      </c>
      <c r="N90" s="63" t="b">
        <v>0</v>
      </c>
    </row>
    <row r="91" ht="13.5" customHeight="1">
      <c r="A91" s="68"/>
      <c r="B91" s="65" t="s">
        <v>42</v>
      </c>
      <c r="C91" s="53" t="s">
        <v>34</v>
      </c>
      <c r="D91" s="54"/>
      <c r="E91" s="66"/>
      <c r="F91" s="76"/>
      <c r="G91" s="76"/>
      <c r="H91" s="76"/>
      <c r="I91" s="76"/>
      <c r="J91" s="76"/>
      <c r="K91" s="67" t="s">
        <v>35</v>
      </c>
      <c r="L91" s="62">
        <f>(E91*E83)+(F91*F83)+(G91*G83)+(H91*H83)+(I91*I83)+(J91*J83)</f>
        <v>0</v>
      </c>
      <c r="M91" s="57" t="s">
        <v>36</v>
      </c>
      <c r="N91" s="63" t="b">
        <v>0</v>
      </c>
    </row>
    <row r="92" ht="13.5" customHeight="1">
      <c r="A92" s="46" t="s">
        <v>43</v>
      </c>
      <c r="B92" s="69" t="str">
        <f>IFS(L92=0,"",B92&lt;&gt;"",B92,TRUE,NOW())</f>
        <v/>
      </c>
      <c r="C92" s="70" t="s">
        <v>37</v>
      </c>
      <c r="D92" s="33"/>
      <c r="E92" s="71"/>
      <c r="F92" s="71"/>
      <c r="G92" s="71"/>
      <c r="H92" s="71"/>
      <c r="I92" s="71"/>
      <c r="J92" s="71"/>
      <c r="K92" s="72" t="s">
        <v>38</v>
      </c>
      <c r="L92" s="73">
        <f>L91-L90</f>
        <v>0</v>
      </c>
      <c r="M92" s="74" t="s">
        <v>39</v>
      </c>
      <c r="N92" s="75" t="b">
        <v>0</v>
      </c>
    </row>
    <row r="93" ht="13.5" customHeight="1">
      <c r="A93" s="64"/>
      <c r="B93" s="52" t="s">
        <v>66</v>
      </c>
      <c r="C93" s="53" t="s">
        <v>27</v>
      </c>
      <c r="D93" s="54"/>
      <c r="E93" s="55">
        <f t="shared" ref="E93:J93" si="24">E91-E94</f>
        <v>0</v>
      </c>
      <c r="F93" s="55">
        <f t="shared" si="24"/>
        <v>0</v>
      </c>
      <c r="G93" s="55">
        <f t="shared" si="24"/>
        <v>0</v>
      </c>
      <c r="H93" s="55">
        <f t="shared" si="24"/>
        <v>0</v>
      </c>
      <c r="I93" s="55">
        <f t="shared" si="24"/>
        <v>0</v>
      </c>
      <c r="J93" s="55">
        <f t="shared" si="24"/>
        <v>0</v>
      </c>
      <c r="K93" s="56"/>
      <c r="L93" s="30"/>
      <c r="M93" s="57" t="s">
        <v>28</v>
      </c>
      <c r="N93" s="58" t="b">
        <v>0</v>
      </c>
    </row>
    <row r="94" ht="13.5" customHeight="1">
      <c r="A94" s="46" t="s">
        <v>45</v>
      </c>
      <c r="B94" s="59"/>
      <c r="C94" s="53" t="s">
        <v>30</v>
      </c>
      <c r="D94" s="54"/>
      <c r="E94" s="60"/>
      <c r="F94" s="60"/>
      <c r="G94" s="60"/>
      <c r="H94" s="60"/>
      <c r="I94" s="60"/>
      <c r="J94" s="60"/>
      <c r="K94" s="61" t="s">
        <v>30</v>
      </c>
      <c r="L94" s="62">
        <f>(E94*E83)+(F94*F83)+(G94*G83)+(H94*H83)+(I94*I83)+(J94*J83)</f>
        <v>0</v>
      </c>
      <c r="M94" s="57" t="s">
        <v>31</v>
      </c>
      <c r="N94" s="63" t="b">
        <v>0</v>
      </c>
    </row>
    <row r="95" ht="13.5" customHeight="1">
      <c r="A95" s="77"/>
      <c r="B95" s="65" t="s">
        <v>47</v>
      </c>
      <c r="C95" s="53" t="s">
        <v>34</v>
      </c>
      <c r="D95" s="54"/>
      <c r="E95" s="66"/>
      <c r="F95" s="66"/>
      <c r="G95" s="66"/>
      <c r="H95" s="66"/>
      <c r="I95" s="66"/>
      <c r="J95" s="66"/>
      <c r="K95" s="67" t="s">
        <v>35</v>
      </c>
      <c r="L95" s="62">
        <f>(E95*E83)+(F95*F83)+(G95*G83)+(H95*H83)+(I95*I83)+(J95*J83)</f>
        <v>0</v>
      </c>
      <c r="M95" s="57" t="s">
        <v>36</v>
      </c>
      <c r="N95" s="63" t="b">
        <v>0</v>
      </c>
    </row>
    <row r="96" ht="13.5" customHeight="1">
      <c r="A96" s="68"/>
      <c r="B96" s="69" t="str">
        <f>IFS(L96=0,"",B96&lt;&gt;"",B96,TRUE,NOW())</f>
        <v/>
      </c>
      <c r="C96" s="70" t="s">
        <v>37</v>
      </c>
      <c r="D96" s="33"/>
      <c r="E96" s="71"/>
      <c r="F96" s="71"/>
      <c r="G96" s="71"/>
      <c r="H96" s="71"/>
      <c r="I96" s="71"/>
      <c r="J96" s="71"/>
      <c r="K96" s="72" t="s">
        <v>38</v>
      </c>
      <c r="L96" s="73">
        <f>L95-L94</f>
        <v>0</v>
      </c>
      <c r="M96" s="74" t="s">
        <v>39</v>
      </c>
      <c r="N96" s="75" t="b">
        <v>0</v>
      </c>
    </row>
    <row r="97" ht="18.0" customHeight="1">
      <c r="A97" s="78" t="s">
        <v>48</v>
      </c>
      <c r="B97" s="52" t="s">
        <v>66</v>
      </c>
      <c r="C97" s="53" t="s">
        <v>27</v>
      </c>
      <c r="D97" s="54"/>
      <c r="E97" s="55">
        <f t="shared" ref="E97:J97" si="25">E95-E98</f>
        <v>0</v>
      </c>
      <c r="F97" s="55">
        <f t="shared" si="25"/>
        <v>0</v>
      </c>
      <c r="G97" s="55">
        <f t="shared" si="25"/>
        <v>0</v>
      </c>
      <c r="H97" s="55">
        <f t="shared" si="25"/>
        <v>0</v>
      </c>
      <c r="I97" s="55">
        <f t="shared" si="25"/>
        <v>0</v>
      </c>
      <c r="J97" s="55">
        <f t="shared" si="25"/>
        <v>0</v>
      </c>
      <c r="K97" s="56"/>
      <c r="L97" s="30"/>
      <c r="M97" s="57" t="s">
        <v>28</v>
      </c>
      <c r="N97" s="58" t="b">
        <v>0</v>
      </c>
    </row>
    <row r="98" ht="13.5" customHeight="1">
      <c r="A98" s="87"/>
      <c r="B98" s="59"/>
      <c r="C98" s="53" t="s">
        <v>30</v>
      </c>
      <c r="D98" s="54"/>
      <c r="E98" s="60"/>
      <c r="F98" s="60"/>
      <c r="G98" s="60"/>
      <c r="H98" s="60"/>
      <c r="I98" s="60"/>
      <c r="J98" s="60"/>
      <c r="K98" s="61" t="s">
        <v>30</v>
      </c>
      <c r="L98" s="62">
        <f>(E98*E83)+(F98*F83)+(G98*G83)+(H98*H83)+(I98*I83)+(J98*J83)</f>
        <v>0</v>
      </c>
      <c r="M98" s="57" t="s">
        <v>31</v>
      </c>
      <c r="N98" s="63" t="b">
        <v>0</v>
      </c>
    </row>
    <row r="99" ht="13.5" customHeight="1">
      <c r="A99" s="68"/>
      <c r="B99" s="65" t="s">
        <v>49</v>
      </c>
      <c r="C99" s="53" t="s">
        <v>34</v>
      </c>
      <c r="D99" s="54"/>
      <c r="E99" s="66"/>
      <c r="F99" s="66"/>
      <c r="G99" s="66"/>
      <c r="H99" s="66"/>
      <c r="I99" s="66"/>
      <c r="J99" s="66"/>
      <c r="K99" s="67" t="s">
        <v>35</v>
      </c>
      <c r="L99" s="62">
        <f>(E99*E83)+(F99*F83)+(G99*G83)+(H99*H83)+(I99*I83)+(J99*J83)</f>
        <v>0</v>
      </c>
      <c r="M99" s="57" t="s">
        <v>36</v>
      </c>
      <c r="N99" s="63" t="b">
        <v>0</v>
      </c>
    </row>
    <row r="100" ht="13.5" customHeight="1">
      <c r="A100" s="80"/>
      <c r="B100" s="69" t="str">
        <f>IFS(L100=0,"",B100&lt;&gt;"",B100,TRUE,NOW())</f>
        <v/>
      </c>
      <c r="C100" s="86" t="s">
        <v>37</v>
      </c>
      <c r="D100" s="59"/>
      <c r="E100" s="81"/>
      <c r="F100" s="81"/>
      <c r="G100" s="81"/>
      <c r="H100" s="82"/>
      <c r="I100" s="81"/>
      <c r="J100" s="81"/>
      <c r="K100" s="72" t="s">
        <v>38</v>
      </c>
      <c r="L100" s="73">
        <f>L99-L98</f>
        <v>0</v>
      </c>
      <c r="M100" s="74" t="s">
        <v>39</v>
      </c>
      <c r="N100" s="75" t="b">
        <v>0</v>
      </c>
    </row>
    <row r="101" ht="13.5" customHeight="1">
      <c r="A101" s="83" t="s">
        <v>68</v>
      </c>
      <c r="B101" s="42" t="s">
        <v>20</v>
      </c>
      <c r="C101" s="24"/>
      <c r="D101" s="33"/>
      <c r="E101" s="43">
        <f t="shared" ref="E101:J101" si="26">E6</f>
        <v>17</v>
      </c>
      <c r="F101" s="43">
        <f t="shared" si="26"/>
        <v>27</v>
      </c>
      <c r="G101" s="43">
        <f t="shared" si="26"/>
        <v>27</v>
      </c>
      <c r="H101" s="43">
        <f t="shared" si="26"/>
        <v>27</v>
      </c>
      <c r="I101" s="43">
        <f t="shared" si="26"/>
        <v>32</v>
      </c>
      <c r="J101" s="44">
        <f t="shared" si="26"/>
        <v>37</v>
      </c>
      <c r="K101" s="42" t="s">
        <v>21</v>
      </c>
      <c r="L101" s="25"/>
      <c r="M101" s="45" t="s">
        <v>22</v>
      </c>
      <c r="N101" s="25"/>
    </row>
    <row r="102" ht="19.5" customHeight="1">
      <c r="A102" s="46" t="s">
        <v>23</v>
      </c>
      <c r="B102" s="47" t="s">
        <v>24</v>
      </c>
      <c r="C102" s="32" t="s">
        <v>25</v>
      </c>
      <c r="D102" s="33"/>
      <c r="E102" s="48"/>
      <c r="F102" s="48"/>
      <c r="G102" s="48"/>
      <c r="H102" s="48"/>
      <c r="I102" s="48"/>
      <c r="J102" s="48"/>
      <c r="K102" s="49"/>
      <c r="L102" s="25"/>
      <c r="M102" s="50"/>
      <c r="N102" s="10"/>
    </row>
    <row r="103" ht="13.5" customHeight="1">
      <c r="A103" s="92"/>
      <c r="B103" s="52" t="s">
        <v>69</v>
      </c>
      <c r="C103" s="53" t="s">
        <v>27</v>
      </c>
      <c r="D103" s="54"/>
      <c r="E103" s="55">
        <f t="shared" ref="E103:J103" si="27">E102-E104</f>
        <v>0</v>
      </c>
      <c r="F103" s="55">
        <f t="shared" si="27"/>
        <v>0</v>
      </c>
      <c r="G103" s="55">
        <f t="shared" si="27"/>
        <v>0</v>
      </c>
      <c r="H103" s="55">
        <f t="shared" si="27"/>
        <v>0</v>
      </c>
      <c r="I103" s="55">
        <f t="shared" si="27"/>
        <v>0</v>
      </c>
      <c r="J103" s="55">
        <f t="shared" si="27"/>
        <v>0</v>
      </c>
      <c r="K103" s="56"/>
      <c r="L103" s="30"/>
      <c r="M103" s="57" t="s">
        <v>28</v>
      </c>
      <c r="N103" s="58" t="b">
        <v>0</v>
      </c>
    </row>
    <row r="104" ht="13.5" customHeight="1">
      <c r="A104" s="46" t="s">
        <v>29</v>
      </c>
      <c r="B104" s="59"/>
      <c r="C104" s="53" t="s">
        <v>30</v>
      </c>
      <c r="D104" s="54"/>
      <c r="E104" s="60"/>
      <c r="F104" s="60"/>
      <c r="G104" s="60"/>
      <c r="H104" s="60"/>
      <c r="I104" s="60"/>
      <c r="J104" s="60"/>
      <c r="K104" s="61" t="s">
        <v>30</v>
      </c>
      <c r="L104" s="62">
        <f>(E104*E101)+(F104*F101)+(G104*G101)+(H104*H101)+(I104*I101)+(J104*J101)</f>
        <v>0</v>
      </c>
      <c r="M104" s="57" t="s">
        <v>31</v>
      </c>
      <c r="N104" s="63" t="b">
        <v>0</v>
      </c>
    </row>
    <row r="105" ht="13.5" customHeight="1">
      <c r="A105" s="64"/>
      <c r="B105" s="65" t="s">
        <v>33</v>
      </c>
      <c r="C105" s="53" t="s">
        <v>34</v>
      </c>
      <c r="D105" s="54"/>
      <c r="E105" s="66"/>
      <c r="F105" s="66"/>
      <c r="G105" s="66"/>
      <c r="H105" s="66"/>
      <c r="I105" s="66"/>
      <c r="J105" s="66"/>
      <c r="K105" s="67" t="s">
        <v>35</v>
      </c>
      <c r="L105" s="62">
        <f>(E105*E101)+(F105*F101)+(G105*G101)+(H105*H101)+(I105*I101)+(J105*J101)</f>
        <v>0</v>
      </c>
      <c r="M105" s="57" t="s">
        <v>36</v>
      </c>
      <c r="N105" s="63" t="b">
        <v>0</v>
      </c>
    </row>
    <row r="106" ht="13.5" customHeight="1">
      <c r="A106" s="68"/>
      <c r="B106" s="69" t="str">
        <f>IFS(L106=0,"",B106&lt;&gt;"",B106,TRUE,NOW())</f>
        <v/>
      </c>
      <c r="C106" s="70" t="s">
        <v>37</v>
      </c>
      <c r="D106" s="33"/>
      <c r="E106" s="71"/>
      <c r="F106" s="71"/>
      <c r="G106" s="71"/>
      <c r="H106" s="71"/>
      <c r="I106" s="71"/>
      <c r="J106" s="71"/>
      <c r="K106" s="72" t="s">
        <v>38</v>
      </c>
      <c r="L106" s="73">
        <f>L105-L104</f>
        <v>0</v>
      </c>
      <c r="M106" s="74" t="s">
        <v>39</v>
      </c>
      <c r="N106" s="75" t="b">
        <v>0</v>
      </c>
    </row>
    <row r="107" ht="18.75" customHeight="1">
      <c r="A107" s="46" t="s">
        <v>40</v>
      </c>
      <c r="B107" s="52" t="s">
        <v>69</v>
      </c>
      <c r="C107" s="53" t="s">
        <v>27</v>
      </c>
      <c r="D107" s="54"/>
      <c r="E107" s="55">
        <f t="shared" ref="E107:J107" si="28">E105-E108</f>
        <v>0</v>
      </c>
      <c r="F107" s="55">
        <f t="shared" si="28"/>
        <v>0</v>
      </c>
      <c r="G107" s="55">
        <f t="shared" si="28"/>
        <v>0</v>
      </c>
      <c r="H107" s="55">
        <f t="shared" si="28"/>
        <v>0</v>
      </c>
      <c r="I107" s="55">
        <f t="shared" si="28"/>
        <v>0</v>
      </c>
      <c r="J107" s="55">
        <f t="shared" si="28"/>
        <v>0</v>
      </c>
      <c r="K107" s="56"/>
      <c r="L107" s="30"/>
      <c r="M107" s="57" t="s">
        <v>28</v>
      </c>
      <c r="N107" s="58" t="b">
        <v>0</v>
      </c>
    </row>
    <row r="108" ht="13.5" customHeight="1">
      <c r="A108" s="64"/>
      <c r="B108" s="59"/>
      <c r="C108" s="53" t="s">
        <v>30</v>
      </c>
      <c r="D108" s="54"/>
      <c r="E108" s="60"/>
      <c r="F108" s="84"/>
      <c r="G108" s="60"/>
      <c r="H108" s="60"/>
      <c r="I108" s="60"/>
      <c r="J108" s="84"/>
      <c r="K108" s="61" t="s">
        <v>30</v>
      </c>
      <c r="L108" s="62">
        <f>(E108*E101)+(F108*F101)+(G108*G101)+(H108*H101)+(I108*I101)+(J108*J101)</f>
        <v>0</v>
      </c>
      <c r="M108" s="57" t="s">
        <v>31</v>
      </c>
      <c r="N108" s="63" t="b">
        <v>0</v>
      </c>
    </row>
    <row r="109" ht="13.5" customHeight="1">
      <c r="A109" s="68"/>
      <c r="B109" s="65" t="s">
        <v>42</v>
      </c>
      <c r="C109" s="53" t="s">
        <v>34</v>
      </c>
      <c r="D109" s="54"/>
      <c r="E109" s="66"/>
      <c r="F109" s="76"/>
      <c r="G109" s="76"/>
      <c r="H109" s="76"/>
      <c r="I109" s="66"/>
      <c r="J109" s="76"/>
      <c r="K109" s="67" t="s">
        <v>35</v>
      </c>
      <c r="L109" s="62">
        <f>(E109*E101)+(F109*F101)+(G109*G101)+(H109*H101)+(I109*I101)+(J109*J101)</f>
        <v>0</v>
      </c>
      <c r="M109" s="57" t="s">
        <v>36</v>
      </c>
      <c r="N109" s="63" t="b">
        <v>0</v>
      </c>
    </row>
    <row r="110" ht="13.5" customHeight="1">
      <c r="A110" s="46" t="s">
        <v>43</v>
      </c>
      <c r="B110" s="69" t="str">
        <f>IFS(L110=0,"",B110&lt;&gt;"",B110,TRUE,NOW())</f>
        <v/>
      </c>
      <c r="C110" s="70" t="s">
        <v>37</v>
      </c>
      <c r="D110" s="33"/>
      <c r="E110" s="71"/>
      <c r="F110" s="71"/>
      <c r="G110" s="71"/>
      <c r="H110" s="71"/>
      <c r="I110" s="71"/>
      <c r="J110" s="71"/>
      <c r="K110" s="72" t="s">
        <v>38</v>
      </c>
      <c r="L110" s="73">
        <f>L109-L108</f>
        <v>0</v>
      </c>
      <c r="M110" s="74" t="s">
        <v>39</v>
      </c>
      <c r="N110" s="75" t="b">
        <v>0</v>
      </c>
    </row>
    <row r="111" ht="13.5" customHeight="1">
      <c r="A111" s="64"/>
      <c r="B111" s="52" t="s">
        <v>69</v>
      </c>
      <c r="C111" s="53" t="s">
        <v>27</v>
      </c>
      <c r="D111" s="54"/>
      <c r="E111" s="55">
        <f t="shared" ref="E111:J111" si="29">E109-E112</f>
        <v>0</v>
      </c>
      <c r="F111" s="55">
        <f t="shared" si="29"/>
        <v>0</v>
      </c>
      <c r="G111" s="55">
        <f t="shared" si="29"/>
        <v>0</v>
      </c>
      <c r="H111" s="55">
        <f t="shared" si="29"/>
        <v>0</v>
      </c>
      <c r="I111" s="55">
        <f t="shared" si="29"/>
        <v>0</v>
      </c>
      <c r="J111" s="55">
        <f t="shared" si="29"/>
        <v>0</v>
      </c>
      <c r="K111" s="56"/>
      <c r="L111" s="30"/>
      <c r="M111" s="57" t="s">
        <v>28</v>
      </c>
      <c r="N111" s="58" t="b">
        <v>0</v>
      </c>
    </row>
    <row r="112" ht="15.0" customHeight="1">
      <c r="A112" s="46" t="s">
        <v>45</v>
      </c>
      <c r="B112" s="59"/>
      <c r="C112" s="53" t="s">
        <v>30</v>
      </c>
      <c r="D112" s="54"/>
      <c r="E112" s="60"/>
      <c r="F112" s="60"/>
      <c r="G112" s="60"/>
      <c r="H112" s="60"/>
      <c r="I112" s="60"/>
      <c r="J112" s="60"/>
      <c r="K112" s="61" t="s">
        <v>30</v>
      </c>
      <c r="L112" s="62">
        <f>(E112*E101)+(F112*F101)+(G112*G101)+(H112*H101)+(I112*I101)+(J112*J101)</f>
        <v>0</v>
      </c>
      <c r="M112" s="57" t="s">
        <v>31</v>
      </c>
      <c r="N112" s="63" t="b">
        <v>0</v>
      </c>
    </row>
    <row r="113" ht="13.5" customHeight="1">
      <c r="A113" s="77"/>
      <c r="B113" s="65" t="s">
        <v>47</v>
      </c>
      <c r="C113" s="53" t="s">
        <v>34</v>
      </c>
      <c r="D113" s="54"/>
      <c r="E113" s="66"/>
      <c r="F113" s="66"/>
      <c r="G113" s="66"/>
      <c r="H113" s="66"/>
      <c r="I113" s="66"/>
      <c r="J113" s="66"/>
      <c r="K113" s="67" t="s">
        <v>35</v>
      </c>
      <c r="L113" s="62">
        <f>(E113*E101)+(F113*F101)+(G113*G101)+(H113*H101)+(I113*I101)+(J113*J101)</f>
        <v>0</v>
      </c>
      <c r="M113" s="57" t="s">
        <v>36</v>
      </c>
      <c r="N113" s="63" t="b">
        <v>0</v>
      </c>
    </row>
    <row r="114" ht="13.5" customHeight="1">
      <c r="A114" s="68"/>
      <c r="B114" s="69" t="str">
        <f>IFS(L114=0,"",B114&lt;&gt;"",B114,TRUE,NOW())</f>
        <v/>
      </c>
      <c r="C114" s="70" t="s">
        <v>37</v>
      </c>
      <c r="D114" s="33"/>
      <c r="E114" s="71"/>
      <c r="F114" s="71"/>
      <c r="G114" s="71"/>
      <c r="H114" s="71"/>
      <c r="I114" s="71"/>
      <c r="J114" s="71"/>
      <c r="K114" s="72" t="s">
        <v>38</v>
      </c>
      <c r="L114" s="73">
        <f>L113-L112</f>
        <v>0</v>
      </c>
      <c r="M114" s="74" t="s">
        <v>39</v>
      </c>
      <c r="N114" s="75" t="b">
        <v>0</v>
      </c>
    </row>
    <row r="115" ht="13.5" customHeight="1">
      <c r="A115" s="78" t="s">
        <v>48</v>
      </c>
      <c r="B115" s="52" t="s">
        <v>69</v>
      </c>
      <c r="C115" s="53" t="s">
        <v>27</v>
      </c>
      <c r="D115" s="54"/>
      <c r="E115" s="55">
        <f t="shared" ref="E115:J115" si="30">E113-E116</f>
        <v>0</v>
      </c>
      <c r="F115" s="55">
        <f t="shared" si="30"/>
        <v>0</v>
      </c>
      <c r="G115" s="55">
        <f t="shared" si="30"/>
        <v>0</v>
      </c>
      <c r="H115" s="55">
        <f t="shared" si="30"/>
        <v>0</v>
      </c>
      <c r="I115" s="55">
        <f t="shared" si="30"/>
        <v>0</v>
      </c>
      <c r="J115" s="55">
        <f t="shared" si="30"/>
        <v>0</v>
      </c>
      <c r="K115" s="56"/>
      <c r="L115" s="30"/>
      <c r="M115" s="57" t="s">
        <v>28</v>
      </c>
      <c r="N115" s="58" t="b">
        <v>0</v>
      </c>
    </row>
    <row r="116" ht="13.5" customHeight="1">
      <c r="A116" s="87"/>
      <c r="B116" s="59"/>
      <c r="C116" s="53" t="s">
        <v>30</v>
      </c>
      <c r="D116" s="54"/>
      <c r="E116" s="60"/>
      <c r="F116" s="60"/>
      <c r="G116" s="60"/>
      <c r="H116" s="60"/>
      <c r="I116" s="60"/>
      <c r="J116" s="60"/>
      <c r="K116" s="61" t="s">
        <v>30</v>
      </c>
      <c r="L116" s="62">
        <f>(E116*E101)+(F116*F101)+(G116*G101)+(H116*H101)+(I116*I101)+(J116*J101)</f>
        <v>0</v>
      </c>
      <c r="M116" s="57" t="s">
        <v>31</v>
      </c>
      <c r="N116" s="63" t="b">
        <v>0</v>
      </c>
    </row>
    <row r="117" ht="13.5" customHeight="1">
      <c r="A117" s="68"/>
      <c r="B117" s="65" t="s">
        <v>49</v>
      </c>
      <c r="C117" s="53" t="s">
        <v>34</v>
      </c>
      <c r="D117" s="54"/>
      <c r="E117" s="66"/>
      <c r="F117" s="66"/>
      <c r="G117" s="66"/>
      <c r="H117" s="66"/>
      <c r="I117" s="66"/>
      <c r="J117" s="66"/>
      <c r="K117" s="67" t="s">
        <v>35</v>
      </c>
      <c r="L117" s="62">
        <f>(E117*E101)+(F117*F101)+(G117*G101)+(H117*H101)+(I117*I101)+(J117*J101)</f>
        <v>0</v>
      </c>
      <c r="M117" s="57" t="s">
        <v>36</v>
      </c>
      <c r="N117" s="63" t="b">
        <v>0</v>
      </c>
    </row>
    <row r="118" ht="13.5" customHeight="1">
      <c r="A118" s="80"/>
      <c r="B118" s="69" t="str">
        <f>IFS(L118=0,"",B118&lt;&gt;"",B118,TRUE,NOW())</f>
        <v/>
      </c>
      <c r="C118" s="53" t="s">
        <v>37</v>
      </c>
      <c r="D118" s="54"/>
      <c r="E118" s="81"/>
      <c r="F118" s="81"/>
      <c r="G118" s="81"/>
      <c r="H118" s="82"/>
      <c r="I118" s="81"/>
      <c r="J118" s="81"/>
      <c r="K118" s="72" t="s">
        <v>38</v>
      </c>
      <c r="L118" s="73">
        <f>L117-L116</f>
        <v>0</v>
      </c>
      <c r="M118" s="74" t="s">
        <v>39</v>
      </c>
      <c r="N118" s="75" t="b">
        <v>0</v>
      </c>
    </row>
    <row r="119" ht="15.0" customHeight="1">
      <c r="A119" s="83" t="s">
        <v>71</v>
      </c>
      <c r="B119" s="42" t="s">
        <v>20</v>
      </c>
      <c r="C119" s="24"/>
      <c r="D119" s="33"/>
      <c r="E119" s="43">
        <f t="shared" ref="E119:J119" si="31">E6</f>
        <v>17</v>
      </c>
      <c r="F119" s="43">
        <f t="shared" si="31"/>
        <v>27</v>
      </c>
      <c r="G119" s="43">
        <f t="shared" si="31"/>
        <v>27</v>
      </c>
      <c r="H119" s="43">
        <f t="shared" si="31"/>
        <v>27</v>
      </c>
      <c r="I119" s="43">
        <f t="shared" si="31"/>
        <v>32</v>
      </c>
      <c r="J119" s="44">
        <f t="shared" si="31"/>
        <v>37</v>
      </c>
      <c r="K119" s="42" t="s">
        <v>21</v>
      </c>
      <c r="L119" s="25"/>
      <c r="M119" s="45" t="s">
        <v>22</v>
      </c>
      <c r="N119" s="25"/>
    </row>
    <row r="120" ht="13.5" customHeight="1">
      <c r="A120" s="46" t="s">
        <v>23</v>
      </c>
      <c r="B120" s="47" t="s">
        <v>24</v>
      </c>
      <c r="C120" s="32" t="s">
        <v>25</v>
      </c>
      <c r="D120" s="33"/>
      <c r="E120" s="48"/>
      <c r="F120" s="48"/>
      <c r="G120" s="48"/>
      <c r="H120" s="48"/>
      <c r="I120" s="48"/>
      <c r="J120" s="48"/>
      <c r="K120" s="49"/>
      <c r="L120" s="25"/>
      <c r="M120" s="50"/>
      <c r="N120" s="10"/>
    </row>
    <row r="121" ht="13.5" customHeight="1">
      <c r="A121" s="92"/>
      <c r="B121" s="52" t="s">
        <v>72</v>
      </c>
      <c r="C121" s="53" t="s">
        <v>27</v>
      </c>
      <c r="D121" s="54"/>
      <c r="E121" s="55">
        <f t="shared" ref="E121:J121" si="32">E120-E122</f>
        <v>0</v>
      </c>
      <c r="F121" s="55">
        <f t="shared" si="32"/>
        <v>0</v>
      </c>
      <c r="G121" s="55">
        <f t="shared" si="32"/>
        <v>0</v>
      </c>
      <c r="H121" s="55">
        <f t="shared" si="32"/>
        <v>0</v>
      </c>
      <c r="I121" s="55">
        <f t="shared" si="32"/>
        <v>0</v>
      </c>
      <c r="J121" s="55">
        <f t="shared" si="32"/>
        <v>0</v>
      </c>
      <c r="K121" s="56"/>
      <c r="L121" s="30"/>
      <c r="M121" s="57" t="s">
        <v>28</v>
      </c>
      <c r="N121" s="58" t="b">
        <v>0</v>
      </c>
    </row>
    <row r="122" ht="13.5" customHeight="1">
      <c r="A122" s="46" t="s">
        <v>29</v>
      </c>
      <c r="B122" s="59"/>
      <c r="C122" s="53" t="s">
        <v>30</v>
      </c>
      <c r="D122" s="54"/>
      <c r="E122" s="60"/>
      <c r="F122" s="60"/>
      <c r="G122" s="60"/>
      <c r="H122" s="60"/>
      <c r="I122" s="60"/>
      <c r="J122" s="60"/>
      <c r="K122" s="61" t="s">
        <v>30</v>
      </c>
      <c r="L122" s="62">
        <f>(E122*E119)+(F122*F119)+(G122*G119)+(H122*H119)+(I122*I119)+(J122*J119)</f>
        <v>0</v>
      </c>
      <c r="M122" s="57" t="s">
        <v>31</v>
      </c>
      <c r="N122" s="63" t="b">
        <v>0</v>
      </c>
    </row>
    <row r="123" ht="13.5" customHeight="1">
      <c r="A123" s="64"/>
      <c r="B123" s="65" t="s">
        <v>33</v>
      </c>
      <c r="C123" s="53" t="s">
        <v>34</v>
      </c>
      <c r="D123" s="54"/>
      <c r="E123" s="66"/>
      <c r="F123" s="66"/>
      <c r="G123" s="66"/>
      <c r="H123" s="66"/>
      <c r="I123" s="66"/>
      <c r="J123" s="66"/>
      <c r="K123" s="67" t="s">
        <v>35</v>
      </c>
      <c r="L123" s="62">
        <f>(E123*E119)+(F123*F119)+(G123*G119)+(H123*H119)+(I123*I119)+(J123*J119)</f>
        <v>0</v>
      </c>
      <c r="M123" s="57" t="s">
        <v>36</v>
      </c>
      <c r="N123" s="63" t="b">
        <v>0</v>
      </c>
    </row>
    <row r="124" ht="15.0" customHeight="1">
      <c r="A124" s="68"/>
      <c r="B124" s="69" t="str">
        <f>IFS(L124=0,"",B124&lt;&gt;"",B124,TRUE,NOW())</f>
        <v/>
      </c>
      <c r="C124" s="70" t="s">
        <v>37</v>
      </c>
      <c r="D124" s="33"/>
      <c r="E124" s="71"/>
      <c r="F124" s="71"/>
      <c r="G124" s="71"/>
      <c r="H124" s="71"/>
      <c r="I124" s="71"/>
      <c r="J124" s="71"/>
      <c r="K124" s="72" t="s">
        <v>38</v>
      </c>
      <c r="L124" s="73">
        <f>L123-L122</f>
        <v>0</v>
      </c>
      <c r="M124" s="74" t="s">
        <v>39</v>
      </c>
      <c r="N124" s="75" t="b">
        <v>0</v>
      </c>
    </row>
    <row r="125" ht="13.5" customHeight="1">
      <c r="A125" s="46" t="s">
        <v>40</v>
      </c>
      <c r="B125" s="52" t="s">
        <v>72</v>
      </c>
      <c r="C125" s="53" t="s">
        <v>27</v>
      </c>
      <c r="D125" s="54"/>
      <c r="E125" s="55">
        <f t="shared" ref="E125:J125" si="33">E123-E126</f>
        <v>0</v>
      </c>
      <c r="F125" s="55">
        <f t="shared" si="33"/>
        <v>0</v>
      </c>
      <c r="G125" s="55">
        <f t="shared" si="33"/>
        <v>0</v>
      </c>
      <c r="H125" s="55">
        <f t="shared" si="33"/>
        <v>0</v>
      </c>
      <c r="I125" s="55">
        <f t="shared" si="33"/>
        <v>0</v>
      </c>
      <c r="J125" s="55">
        <f t="shared" si="33"/>
        <v>0</v>
      </c>
      <c r="K125" s="56"/>
      <c r="L125" s="30"/>
      <c r="M125" s="57" t="s">
        <v>28</v>
      </c>
      <c r="N125" s="58" t="b">
        <v>0</v>
      </c>
    </row>
    <row r="126" ht="13.5" customHeight="1">
      <c r="A126" s="64"/>
      <c r="B126" s="59"/>
      <c r="C126" s="53" t="s">
        <v>30</v>
      </c>
      <c r="D126" s="54"/>
      <c r="E126" s="60"/>
      <c r="F126" s="60"/>
      <c r="G126" s="84"/>
      <c r="H126" s="60"/>
      <c r="I126" s="60"/>
      <c r="J126" s="84"/>
      <c r="K126" s="61" t="s">
        <v>30</v>
      </c>
      <c r="L126" s="62">
        <f>(E126*E119)+(F126*F119)+(G126*G119)+(H126*H119)+(I126*I119)+(J126*J119)</f>
        <v>0</v>
      </c>
      <c r="M126" s="57" t="s">
        <v>31</v>
      </c>
      <c r="N126" s="63" t="b">
        <v>0</v>
      </c>
    </row>
    <row r="127" ht="13.5" customHeight="1">
      <c r="A127" s="68"/>
      <c r="B127" s="65" t="s">
        <v>42</v>
      </c>
      <c r="C127" s="53" t="s">
        <v>34</v>
      </c>
      <c r="D127" s="54"/>
      <c r="E127" s="66"/>
      <c r="F127" s="76"/>
      <c r="G127" s="76"/>
      <c r="H127" s="66"/>
      <c r="I127" s="66"/>
      <c r="J127" s="76"/>
      <c r="K127" s="67" t="s">
        <v>35</v>
      </c>
      <c r="L127" s="62">
        <f>(E127*E119)+(F127*F119)+(G127*G119)+(H127*H119)+(I127*I119)+(J127*J119)</f>
        <v>0</v>
      </c>
      <c r="M127" s="57" t="s">
        <v>36</v>
      </c>
      <c r="N127" s="63" t="b">
        <v>0</v>
      </c>
    </row>
    <row r="128" ht="13.5" customHeight="1">
      <c r="A128" s="46" t="s">
        <v>43</v>
      </c>
      <c r="B128" s="69" t="str">
        <f>IFS(L128=0,"",B128&lt;&gt;"",B128,TRUE,NOW())</f>
        <v/>
      </c>
      <c r="C128" s="70" t="s">
        <v>37</v>
      </c>
      <c r="D128" s="33"/>
      <c r="E128" s="71"/>
      <c r="F128" s="71"/>
      <c r="G128" s="71"/>
      <c r="H128" s="71"/>
      <c r="I128" s="71"/>
      <c r="J128" s="71"/>
      <c r="K128" s="72" t="s">
        <v>38</v>
      </c>
      <c r="L128" s="73">
        <f>L127-L126</f>
        <v>0</v>
      </c>
      <c r="M128" s="74" t="s">
        <v>39</v>
      </c>
      <c r="N128" s="75" t="b">
        <v>0</v>
      </c>
    </row>
    <row r="129" ht="18.0" customHeight="1">
      <c r="A129" s="64"/>
      <c r="B129" s="52" t="s">
        <v>72</v>
      </c>
      <c r="C129" s="53" t="s">
        <v>27</v>
      </c>
      <c r="D129" s="54"/>
      <c r="E129" s="55">
        <f t="shared" ref="E129:J129" si="34">E127-E130</f>
        <v>0</v>
      </c>
      <c r="F129" s="55">
        <f t="shared" si="34"/>
        <v>0</v>
      </c>
      <c r="G129" s="55">
        <f t="shared" si="34"/>
        <v>0</v>
      </c>
      <c r="H129" s="55">
        <f t="shared" si="34"/>
        <v>0</v>
      </c>
      <c r="I129" s="55">
        <f t="shared" si="34"/>
        <v>0</v>
      </c>
      <c r="J129" s="55">
        <f t="shared" si="34"/>
        <v>0</v>
      </c>
      <c r="K129" s="56"/>
      <c r="L129" s="30"/>
      <c r="M129" s="57" t="s">
        <v>28</v>
      </c>
      <c r="N129" s="58" t="b">
        <v>0</v>
      </c>
    </row>
    <row r="130" ht="13.5" customHeight="1">
      <c r="A130" s="46" t="s">
        <v>45</v>
      </c>
      <c r="B130" s="59"/>
      <c r="C130" s="53" t="s">
        <v>30</v>
      </c>
      <c r="D130" s="54"/>
      <c r="E130" s="60"/>
      <c r="F130" s="60"/>
      <c r="G130" s="60"/>
      <c r="H130" s="60"/>
      <c r="I130" s="60"/>
      <c r="J130" s="60"/>
      <c r="K130" s="61" t="s">
        <v>30</v>
      </c>
      <c r="L130" s="62">
        <f>(E130*E119)+(F130*F119)+(G130*G119)+(H130*H119)+(I130*I119)+(J130*J119)</f>
        <v>0</v>
      </c>
      <c r="M130" s="57" t="s">
        <v>31</v>
      </c>
      <c r="N130" s="63" t="b">
        <v>0</v>
      </c>
    </row>
    <row r="131" ht="13.5" customHeight="1">
      <c r="A131" s="77"/>
      <c r="B131" s="65" t="s">
        <v>47</v>
      </c>
      <c r="C131" s="53" t="s">
        <v>34</v>
      </c>
      <c r="D131" s="54"/>
      <c r="E131" s="66"/>
      <c r="F131" s="66"/>
      <c r="G131" s="66"/>
      <c r="H131" s="66"/>
      <c r="I131" s="66"/>
      <c r="J131" s="66"/>
      <c r="K131" s="67" t="s">
        <v>35</v>
      </c>
      <c r="L131" s="62">
        <f>(E131*E119)+(F131*F119)+(G131*G119)+(H131*H119)+(I131*I119)+(J131*J119)</f>
        <v>0</v>
      </c>
      <c r="M131" s="57" t="s">
        <v>36</v>
      </c>
      <c r="N131" s="63" t="b">
        <v>0</v>
      </c>
    </row>
    <row r="132" ht="13.5" customHeight="1">
      <c r="A132" s="68"/>
      <c r="B132" s="69" t="str">
        <f>IFS(L132=0,"",B132&lt;&gt;"",B132,TRUE,NOW())</f>
        <v/>
      </c>
      <c r="C132" s="70" t="s">
        <v>37</v>
      </c>
      <c r="D132" s="33"/>
      <c r="E132" s="71"/>
      <c r="F132" s="71"/>
      <c r="G132" s="71"/>
      <c r="H132" s="71"/>
      <c r="I132" s="71"/>
      <c r="J132" s="71"/>
      <c r="K132" s="72" t="s">
        <v>38</v>
      </c>
      <c r="L132" s="73">
        <f>L131-L130</f>
        <v>0</v>
      </c>
      <c r="M132" s="74" t="s">
        <v>39</v>
      </c>
      <c r="N132" s="75" t="b">
        <v>0</v>
      </c>
    </row>
    <row r="133" ht="13.5" customHeight="1">
      <c r="A133" s="78" t="s">
        <v>48</v>
      </c>
      <c r="B133" s="52" t="s">
        <v>72</v>
      </c>
      <c r="C133" s="53" t="s">
        <v>27</v>
      </c>
      <c r="D133" s="54"/>
      <c r="E133" s="55">
        <f t="shared" ref="E133:J133" si="35">E131-E134</f>
        <v>0</v>
      </c>
      <c r="F133" s="55">
        <f t="shared" si="35"/>
        <v>0</v>
      </c>
      <c r="G133" s="55">
        <f t="shared" si="35"/>
        <v>0</v>
      </c>
      <c r="H133" s="55">
        <f t="shared" si="35"/>
        <v>0</v>
      </c>
      <c r="I133" s="55">
        <f t="shared" si="35"/>
        <v>0</v>
      </c>
      <c r="J133" s="55">
        <f t="shared" si="35"/>
        <v>0</v>
      </c>
      <c r="K133" s="56"/>
      <c r="L133" s="30"/>
      <c r="M133" s="57" t="s">
        <v>28</v>
      </c>
      <c r="N133" s="58" t="b">
        <v>0</v>
      </c>
    </row>
    <row r="134" ht="18.75" customHeight="1">
      <c r="A134" s="87"/>
      <c r="B134" s="59"/>
      <c r="C134" s="53" t="s">
        <v>30</v>
      </c>
      <c r="D134" s="54"/>
      <c r="E134" s="60"/>
      <c r="F134" s="60"/>
      <c r="G134" s="60"/>
      <c r="H134" s="60"/>
      <c r="I134" s="60"/>
      <c r="J134" s="60"/>
      <c r="K134" s="61" t="s">
        <v>30</v>
      </c>
      <c r="L134" s="62">
        <f>(E134*E119)+(F134*F119)+(G134*G119)+(H134*H119)+(I134*I119)+(J134*J119)</f>
        <v>0</v>
      </c>
      <c r="M134" s="57" t="s">
        <v>31</v>
      </c>
      <c r="N134" s="63" t="b">
        <v>0</v>
      </c>
    </row>
    <row r="135" ht="13.5" customHeight="1">
      <c r="A135" s="68"/>
      <c r="B135" s="65" t="s">
        <v>49</v>
      </c>
      <c r="C135" s="53" t="s">
        <v>34</v>
      </c>
      <c r="D135" s="54"/>
      <c r="E135" s="66"/>
      <c r="F135" s="66"/>
      <c r="G135" s="66"/>
      <c r="H135" s="66"/>
      <c r="I135" s="66"/>
      <c r="J135" s="66"/>
      <c r="K135" s="67" t="s">
        <v>35</v>
      </c>
      <c r="L135" s="62">
        <f>(E135*E119)+(F135*F119)+(G135*G119)+(H135*H119)+(I135*I119)+(J135*J119)</f>
        <v>0</v>
      </c>
      <c r="M135" s="57" t="s">
        <v>36</v>
      </c>
      <c r="N135" s="63" t="b">
        <v>0</v>
      </c>
    </row>
    <row r="136" ht="13.5" customHeight="1">
      <c r="A136" s="80"/>
      <c r="B136" s="69" t="str">
        <f>IFS(L136=0,"",B136&lt;&gt;"",B136,TRUE,NOW())</f>
        <v/>
      </c>
      <c r="C136" s="53" t="s">
        <v>37</v>
      </c>
      <c r="D136" s="54"/>
      <c r="E136" s="81"/>
      <c r="F136" s="81"/>
      <c r="G136" s="81"/>
      <c r="H136" s="82"/>
      <c r="I136" s="81"/>
      <c r="J136" s="81"/>
      <c r="K136" s="72" t="s">
        <v>38</v>
      </c>
      <c r="L136" s="73">
        <f>L135-L134</f>
        <v>0</v>
      </c>
      <c r="M136" s="74" t="s">
        <v>39</v>
      </c>
      <c r="N136" s="75" t="b">
        <v>0</v>
      </c>
    </row>
    <row r="137" ht="13.5" customHeight="1">
      <c r="A137" s="83" t="s">
        <v>74</v>
      </c>
      <c r="B137" s="42" t="s">
        <v>20</v>
      </c>
      <c r="C137" s="24"/>
      <c r="D137" s="33"/>
      <c r="E137" s="43">
        <f t="shared" ref="E137:J137" si="36">E6</f>
        <v>17</v>
      </c>
      <c r="F137" s="43">
        <f t="shared" si="36"/>
        <v>27</v>
      </c>
      <c r="G137" s="43">
        <f t="shared" si="36"/>
        <v>27</v>
      </c>
      <c r="H137" s="43">
        <f t="shared" si="36"/>
        <v>27</v>
      </c>
      <c r="I137" s="43">
        <f t="shared" si="36"/>
        <v>32</v>
      </c>
      <c r="J137" s="44">
        <f t="shared" si="36"/>
        <v>37</v>
      </c>
      <c r="K137" s="42" t="s">
        <v>21</v>
      </c>
      <c r="L137" s="25"/>
      <c r="M137" s="45" t="s">
        <v>22</v>
      </c>
      <c r="N137" s="25"/>
    </row>
    <row r="138" ht="13.5" customHeight="1">
      <c r="A138" s="46" t="s">
        <v>23</v>
      </c>
      <c r="B138" s="47" t="s">
        <v>24</v>
      </c>
      <c r="C138" s="32" t="s">
        <v>25</v>
      </c>
      <c r="D138" s="33"/>
      <c r="E138" s="48"/>
      <c r="F138" s="48"/>
      <c r="G138" s="48"/>
      <c r="H138" s="48"/>
      <c r="I138" s="48"/>
      <c r="J138" s="48"/>
      <c r="K138" s="49"/>
      <c r="L138" s="25"/>
      <c r="M138" s="50"/>
      <c r="N138" s="10"/>
    </row>
    <row r="139" ht="13.5" customHeight="1">
      <c r="A139" s="92"/>
      <c r="B139" s="52" t="s">
        <v>75</v>
      </c>
      <c r="C139" s="53" t="s">
        <v>27</v>
      </c>
      <c r="D139" s="54"/>
      <c r="E139" s="55">
        <f t="shared" ref="E139:J139" si="37">E138-E140</f>
        <v>0</v>
      </c>
      <c r="F139" s="55">
        <f t="shared" si="37"/>
        <v>0</v>
      </c>
      <c r="G139" s="55">
        <f t="shared" si="37"/>
        <v>0</v>
      </c>
      <c r="H139" s="55">
        <f t="shared" si="37"/>
        <v>0</v>
      </c>
      <c r="I139" s="55">
        <f t="shared" si="37"/>
        <v>0</v>
      </c>
      <c r="J139" s="55">
        <f t="shared" si="37"/>
        <v>0</v>
      </c>
      <c r="K139" s="56"/>
      <c r="L139" s="30"/>
      <c r="M139" s="57" t="s">
        <v>28</v>
      </c>
      <c r="N139" s="58" t="b">
        <v>0</v>
      </c>
    </row>
    <row r="140" ht="13.5" customHeight="1">
      <c r="A140" s="46" t="s">
        <v>29</v>
      </c>
      <c r="B140" s="59"/>
      <c r="C140" s="53" t="s">
        <v>30</v>
      </c>
      <c r="D140" s="54"/>
      <c r="E140" s="60"/>
      <c r="F140" s="60"/>
      <c r="G140" s="60"/>
      <c r="H140" s="60"/>
      <c r="I140" s="60"/>
      <c r="J140" s="60"/>
      <c r="K140" s="61" t="s">
        <v>30</v>
      </c>
      <c r="L140" s="62">
        <f>(E140*E137)+(F140*F137)+(G140*G137)+(H140*H137)+(I140*I137)+(J140*J137)</f>
        <v>0</v>
      </c>
      <c r="M140" s="57" t="s">
        <v>31</v>
      </c>
      <c r="N140" s="63" t="b">
        <v>0</v>
      </c>
    </row>
    <row r="141" ht="15.0" customHeight="1">
      <c r="A141" s="64"/>
      <c r="B141" s="65" t="s">
        <v>33</v>
      </c>
      <c r="C141" s="53" t="s">
        <v>34</v>
      </c>
      <c r="D141" s="54"/>
      <c r="E141" s="66"/>
      <c r="F141" s="66"/>
      <c r="G141" s="66"/>
      <c r="H141" s="66"/>
      <c r="I141" s="66"/>
      <c r="J141" s="66"/>
      <c r="K141" s="67" t="s">
        <v>35</v>
      </c>
      <c r="L141" s="62">
        <f>(E141*E137)+(F141*F137)+(G141*G137)+(H141*H137)+(I141*I137)+(J141*J137)</f>
        <v>0</v>
      </c>
      <c r="M141" s="57" t="s">
        <v>36</v>
      </c>
      <c r="N141" s="63" t="b">
        <v>0</v>
      </c>
    </row>
    <row r="142" ht="13.5" customHeight="1">
      <c r="A142" s="68"/>
      <c r="B142" s="69" t="str">
        <f>IFS(L142=0,"",B142&lt;&gt;"",B142,TRUE,NOW())</f>
        <v/>
      </c>
      <c r="C142" s="70" t="s">
        <v>37</v>
      </c>
      <c r="D142" s="33"/>
      <c r="E142" s="71"/>
      <c r="F142" s="71"/>
      <c r="G142" s="71"/>
      <c r="H142" s="71"/>
      <c r="I142" s="71"/>
      <c r="J142" s="71"/>
      <c r="K142" s="72" t="s">
        <v>38</v>
      </c>
      <c r="L142" s="73">
        <f>L141-L140</f>
        <v>0</v>
      </c>
      <c r="M142" s="74" t="s">
        <v>39</v>
      </c>
      <c r="N142" s="75" t="b">
        <v>0</v>
      </c>
    </row>
    <row r="143" ht="13.5" customHeight="1">
      <c r="A143" s="46" t="s">
        <v>40</v>
      </c>
      <c r="B143" s="52" t="s">
        <v>75</v>
      </c>
      <c r="C143" s="53" t="s">
        <v>27</v>
      </c>
      <c r="D143" s="54"/>
      <c r="E143" s="55">
        <f t="shared" ref="E143:J143" si="38">E141-E144</f>
        <v>0</v>
      </c>
      <c r="F143" s="55">
        <f t="shared" si="38"/>
        <v>0</v>
      </c>
      <c r="G143" s="55">
        <f t="shared" si="38"/>
        <v>0</v>
      </c>
      <c r="H143" s="55">
        <f t="shared" si="38"/>
        <v>0</v>
      </c>
      <c r="I143" s="55">
        <f t="shared" si="38"/>
        <v>0</v>
      </c>
      <c r="J143" s="55">
        <f t="shared" si="38"/>
        <v>0</v>
      </c>
      <c r="K143" s="56"/>
      <c r="L143" s="30"/>
      <c r="M143" s="57" t="s">
        <v>28</v>
      </c>
      <c r="N143" s="58" t="b">
        <v>0</v>
      </c>
    </row>
    <row r="144" ht="13.5" customHeight="1">
      <c r="A144" s="64"/>
      <c r="B144" s="59"/>
      <c r="C144" s="53" t="s">
        <v>30</v>
      </c>
      <c r="D144" s="54"/>
      <c r="E144" s="60"/>
      <c r="F144" s="84"/>
      <c r="G144" s="60"/>
      <c r="H144" s="60"/>
      <c r="I144" s="84"/>
      <c r="J144" s="60"/>
      <c r="K144" s="61" t="s">
        <v>30</v>
      </c>
      <c r="L144" s="62">
        <f>(E144*E137)+(F144*F137)+(G144*G137)+(H144*H137)+(I144*I137)+(J144*J137)</f>
        <v>0</v>
      </c>
      <c r="M144" s="57" t="s">
        <v>31</v>
      </c>
      <c r="N144" s="63" t="b">
        <v>0</v>
      </c>
    </row>
    <row r="145" ht="13.5" customHeight="1">
      <c r="A145" s="68"/>
      <c r="B145" s="65" t="s">
        <v>42</v>
      </c>
      <c r="C145" s="53" t="s">
        <v>34</v>
      </c>
      <c r="D145" s="54"/>
      <c r="E145" s="66"/>
      <c r="F145" s="76"/>
      <c r="G145" s="76"/>
      <c r="H145" s="66"/>
      <c r="I145" s="76"/>
      <c r="J145" s="76"/>
      <c r="K145" s="67" t="s">
        <v>35</v>
      </c>
      <c r="L145" s="62">
        <f>(E145*E137)+(F145*F137)+(G145*G137)+(H145*H137)+(I145*I137)+(J145*J137)</f>
        <v>0</v>
      </c>
      <c r="M145" s="57" t="s">
        <v>36</v>
      </c>
      <c r="N145" s="63" t="b">
        <v>0</v>
      </c>
    </row>
    <row r="146" ht="15.0" customHeight="1">
      <c r="A146" s="46" t="s">
        <v>43</v>
      </c>
      <c r="B146" s="69" t="str">
        <f>IFS(L146=0,"",B146&lt;&gt;"",B146,TRUE,NOW())</f>
        <v/>
      </c>
      <c r="C146" s="70" t="s">
        <v>37</v>
      </c>
      <c r="D146" s="33"/>
      <c r="E146" s="71"/>
      <c r="F146" s="71"/>
      <c r="G146" s="71"/>
      <c r="H146" s="71"/>
      <c r="I146" s="71"/>
      <c r="J146" s="71"/>
      <c r="K146" s="72" t="s">
        <v>38</v>
      </c>
      <c r="L146" s="73">
        <f>L145-L144</f>
        <v>0</v>
      </c>
      <c r="M146" s="74" t="s">
        <v>39</v>
      </c>
      <c r="N146" s="75" t="b">
        <v>0</v>
      </c>
    </row>
    <row r="147" ht="13.5" customHeight="1">
      <c r="A147" s="64"/>
      <c r="B147" s="52" t="s">
        <v>75</v>
      </c>
      <c r="C147" s="53" t="s">
        <v>27</v>
      </c>
      <c r="D147" s="54"/>
      <c r="E147" s="55">
        <f t="shared" ref="E147:J147" si="39">E145-E148</f>
        <v>0</v>
      </c>
      <c r="F147" s="55">
        <f t="shared" si="39"/>
        <v>0</v>
      </c>
      <c r="G147" s="55">
        <f t="shared" si="39"/>
        <v>0</v>
      </c>
      <c r="H147" s="55">
        <f t="shared" si="39"/>
        <v>0</v>
      </c>
      <c r="I147" s="55">
        <f t="shared" si="39"/>
        <v>0</v>
      </c>
      <c r="J147" s="55">
        <f t="shared" si="39"/>
        <v>0</v>
      </c>
      <c r="K147" s="56"/>
      <c r="L147" s="30"/>
      <c r="M147" s="57" t="s">
        <v>28</v>
      </c>
      <c r="N147" s="58" t="b">
        <v>0</v>
      </c>
    </row>
    <row r="148" ht="13.5" customHeight="1">
      <c r="A148" s="46" t="s">
        <v>45</v>
      </c>
      <c r="B148" s="59"/>
      <c r="C148" s="53" t="s">
        <v>30</v>
      </c>
      <c r="D148" s="54"/>
      <c r="E148" s="60"/>
      <c r="F148" s="60"/>
      <c r="G148" s="60"/>
      <c r="H148" s="60"/>
      <c r="I148" s="60"/>
      <c r="J148" s="60"/>
      <c r="K148" s="61" t="s">
        <v>30</v>
      </c>
      <c r="L148" s="62">
        <f>(E148*E137)+(F148*F137)+(G148*G137)+(H148*H137)+(I148*I137)+(J148*J137)</f>
        <v>0</v>
      </c>
      <c r="M148" s="57" t="s">
        <v>31</v>
      </c>
      <c r="N148" s="63" t="b">
        <v>0</v>
      </c>
    </row>
    <row r="149" ht="13.5" customHeight="1">
      <c r="A149" s="77"/>
      <c r="B149" s="65" t="s">
        <v>47</v>
      </c>
      <c r="C149" s="53" t="s">
        <v>34</v>
      </c>
      <c r="D149" s="54"/>
      <c r="E149" s="66"/>
      <c r="F149" s="66"/>
      <c r="G149" s="66"/>
      <c r="H149" s="66"/>
      <c r="I149" s="66"/>
      <c r="J149" s="66"/>
      <c r="K149" s="67" t="s">
        <v>35</v>
      </c>
      <c r="L149" s="62">
        <f>(E149*E137)+(F149*F137)+(G149*G137)+(H149*H137)+(I149*I137)+(J149*J137)</f>
        <v>0</v>
      </c>
      <c r="M149" s="57" t="s">
        <v>36</v>
      </c>
      <c r="N149" s="63" t="b">
        <v>0</v>
      </c>
    </row>
    <row r="150" ht="13.5" customHeight="1">
      <c r="A150" s="68"/>
      <c r="B150" s="69" t="str">
        <f>IFS(L150=0,"",B150&lt;&gt;"",B150,TRUE,NOW())</f>
        <v/>
      </c>
      <c r="C150" s="70" t="s">
        <v>37</v>
      </c>
      <c r="D150" s="33"/>
      <c r="E150" s="71"/>
      <c r="F150" s="71"/>
      <c r="G150" s="71"/>
      <c r="H150" s="71"/>
      <c r="I150" s="71"/>
      <c r="J150" s="71"/>
      <c r="K150" s="72" t="s">
        <v>38</v>
      </c>
      <c r="L150" s="73">
        <f>L149-L148</f>
        <v>0</v>
      </c>
      <c r="M150" s="74" t="s">
        <v>39</v>
      </c>
      <c r="N150" s="75" t="b">
        <v>0</v>
      </c>
    </row>
    <row r="151" ht="15.0" customHeight="1">
      <c r="A151" s="78" t="s">
        <v>48</v>
      </c>
      <c r="B151" s="52" t="s">
        <v>75</v>
      </c>
      <c r="C151" s="53" t="s">
        <v>27</v>
      </c>
      <c r="D151" s="54"/>
      <c r="E151" s="55">
        <f t="shared" ref="E151:J151" si="40">E149-E152</f>
        <v>0</v>
      </c>
      <c r="F151" s="55">
        <f t="shared" si="40"/>
        <v>0</v>
      </c>
      <c r="G151" s="55">
        <f t="shared" si="40"/>
        <v>0</v>
      </c>
      <c r="H151" s="55">
        <f t="shared" si="40"/>
        <v>0</v>
      </c>
      <c r="I151" s="55">
        <f t="shared" si="40"/>
        <v>0</v>
      </c>
      <c r="J151" s="55">
        <f t="shared" si="40"/>
        <v>0</v>
      </c>
      <c r="K151" s="56"/>
      <c r="L151" s="30"/>
      <c r="M151" s="57" t="s">
        <v>28</v>
      </c>
      <c r="N151" s="58" t="b">
        <v>0</v>
      </c>
    </row>
    <row r="152" ht="13.5" customHeight="1">
      <c r="A152" s="87"/>
      <c r="B152" s="59"/>
      <c r="C152" s="53" t="s">
        <v>30</v>
      </c>
      <c r="D152" s="54"/>
      <c r="E152" s="60"/>
      <c r="F152" s="60"/>
      <c r="G152" s="60"/>
      <c r="H152" s="60"/>
      <c r="I152" s="60"/>
      <c r="J152" s="60"/>
      <c r="K152" s="61" t="s">
        <v>30</v>
      </c>
      <c r="L152" s="62">
        <f>(E152*E137)+(F152*F137)+(G152*G137)+(H152*H137)+(I152*I137)+(J152*J137)</f>
        <v>0</v>
      </c>
      <c r="M152" s="57" t="s">
        <v>31</v>
      </c>
      <c r="N152" s="63" t="b">
        <v>0</v>
      </c>
    </row>
    <row r="153" ht="13.5" customHeight="1">
      <c r="A153" s="68"/>
      <c r="B153" s="65" t="s">
        <v>49</v>
      </c>
      <c r="C153" s="53" t="s">
        <v>34</v>
      </c>
      <c r="D153" s="54"/>
      <c r="E153" s="66"/>
      <c r="F153" s="66"/>
      <c r="G153" s="66"/>
      <c r="H153" s="66"/>
      <c r="I153" s="66"/>
      <c r="J153" s="66"/>
      <c r="K153" s="67" t="s">
        <v>35</v>
      </c>
      <c r="L153" s="62">
        <f>(E153*E137)+(F153*F137)+(G153*G137)+(H153*H137)+(I153*I137)+(J153*J137)</f>
        <v>0</v>
      </c>
      <c r="M153" s="57" t="s">
        <v>36</v>
      </c>
      <c r="N153" s="63" t="b">
        <v>0</v>
      </c>
    </row>
    <row r="154" ht="13.5" customHeight="1">
      <c r="A154" s="80"/>
      <c r="B154" s="69" t="str">
        <f>IFS(L154=0,"",B154&lt;&gt;"",B154,TRUE,NOW())</f>
        <v/>
      </c>
      <c r="C154" s="53" t="s">
        <v>37</v>
      </c>
      <c r="D154" s="54"/>
      <c r="E154" s="81"/>
      <c r="F154" s="81"/>
      <c r="G154" s="81"/>
      <c r="H154" s="82"/>
      <c r="I154" s="81"/>
      <c r="J154" s="81"/>
      <c r="K154" s="72" t="s">
        <v>38</v>
      </c>
      <c r="L154" s="73">
        <f>L153-L152</f>
        <v>0</v>
      </c>
      <c r="M154" s="74" t="s">
        <v>39</v>
      </c>
      <c r="N154" s="75" t="b">
        <v>0</v>
      </c>
    </row>
    <row r="155" ht="13.5" customHeight="1">
      <c r="A155" s="83" t="s">
        <v>77</v>
      </c>
      <c r="B155" s="42" t="s">
        <v>20</v>
      </c>
      <c r="C155" s="24"/>
      <c r="D155" s="33"/>
      <c r="E155" s="43">
        <f t="shared" ref="E155:J155" si="41">E6</f>
        <v>17</v>
      </c>
      <c r="F155" s="43">
        <f t="shared" si="41"/>
        <v>27</v>
      </c>
      <c r="G155" s="43">
        <f t="shared" si="41"/>
        <v>27</v>
      </c>
      <c r="H155" s="43">
        <f t="shared" si="41"/>
        <v>27</v>
      </c>
      <c r="I155" s="43">
        <f t="shared" si="41"/>
        <v>32</v>
      </c>
      <c r="J155" s="44">
        <f t="shared" si="41"/>
        <v>37</v>
      </c>
      <c r="K155" s="42" t="s">
        <v>21</v>
      </c>
      <c r="L155" s="25"/>
      <c r="M155" s="45" t="s">
        <v>22</v>
      </c>
      <c r="N155" s="25"/>
    </row>
    <row r="156" ht="18.75" customHeight="1">
      <c r="A156" s="46" t="s">
        <v>23</v>
      </c>
      <c r="B156" s="47" t="s">
        <v>24</v>
      </c>
      <c r="C156" s="32" t="s">
        <v>25</v>
      </c>
      <c r="D156" s="33"/>
      <c r="E156" s="48"/>
      <c r="F156" s="48"/>
      <c r="G156" s="48"/>
      <c r="H156" s="48"/>
      <c r="I156" s="48"/>
      <c r="J156" s="48"/>
      <c r="K156" s="49"/>
      <c r="L156" s="25"/>
      <c r="M156" s="50"/>
      <c r="N156" s="10"/>
    </row>
    <row r="157" ht="13.5" customHeight="1">
      <c r="A157" s="92"/>
      <c r="B157" s="52" t="s">
        <v>78</v>
      </c>
      <c r="C157" s="53" t="s">
        <v>27</v>
      </c>
      <c r="D157" s="54"/>
      <c r="E157" s="55">
        <f t="shared" ref="E157:J157" si="42">E156-E158</f>
        <v>0</v>
      </c>
      <c r="F157" s="55">
        <f t="shared" si="42"/>
        <v>0</v>
      </c>
      <c r="G157" s="55">
        <f t="shared" si="42"/>
        <v>0</v>
      </c>
      <c r="H157" s="55">
        <f t="shared" si="42"/>
        <v>0</v>
      </c>
      <c r="I157" s="55">
        <f t="shared" si="42"/>
        <v>0</v>
      </c>
      <c r="J157" s="55">
        <f t="shared" si="42"/>
        <v>0</v>
      </c>
      <c r="K157" s="56"/>
      <c r="L157" s="30"/>
      <c r="M157" s="57" t="s">
        <v>28</v>
      </c>
      <c r="N157" s="58" t="b">
        <v>0</v>
      </c>
    </row>
    <row r="158" ht="13.5" customHeight="1">
      <c r="A158" s="46" t="s">
        <v>29</v>
      </c>
      <c r="B158" s="59"/>
      <c r="C158" s="53" t="s">
        <v>30</v>
      </c>
      <c r="D158" s="54"/>
      <c r="E158" s="60"/>
      <c r="F158" s="60"/>
      <c r="G158" s="60"/>
      <c r="H158" s="60"/>
      <c r="I158" s="60"/>
      <c r="J158" s="60"/>
      <c r="K158" s="61" t="s">
        <v>30</v>
      </c>
      <c r="L158" s="62">
        <f>(E158*E155)+(F158*F155)+(G158*G155)+(H158*H155)+(I158*I155)+(J158*J155)</f>
        <v>0</v>
      </c>
      <c r="M158" s="57" t="s">
        <v>31</v>
      </c>
      <c r="N158" s="63" t="b">
        <v>0</v>
      </c>
    </row>
    <row r="159" ht="13.5" customHeight="1">
      <c r="A159" s="64"/>
      <c r="B159" s="65" t="s">
        <v>33</v>
      </c>
      <c r="C159" s="53" t="s">
        <v>34</v>
      </c>
      <c r="D159" s="54"/>
      <c r="E159" s="66"/>
      <c r="F159" s="66"/>
      <c r="G159" s="66"/>
      <c r="H159" s="66"/>
      <c r="I159" s="66"/>
      <c r="J159" s="66"/>
      <c r="K159" s="67" t="s">
        <v>35</v>
      </c>
      <c r="L159" s="62">
        <f>(E159*E155)+(F159*F155)+(G159*G155)+(H159*H155)+(I159*I155)+(J159*J155)</f>
        <v>0</v>
      </c>
      <c r="M159" s="57" t="s">
        <v>36</v>
      </c>
      <c r="N159" s="63" t="b">
        <v>0</v>
      </c>
    </row>
    <row r="160" ht="13.5" customHeight="1">
      <c r="A160" s="68"/>
      <c r="B160" s="69" t="str">
        <f>IFS(L160=0,"",B160&lt;&gt;"",B160,TRUE,NOW())</f>
        <v/>
      </c>
      <c r="C160" s="70" t="s">
        <v>37</v>
      </c>
      <c r="D160" s="33"/>
      <c r="E160" s="71"/>
      <c r="F160" s="71"/>
      <c r="G160" s="71"/>
      <c r="H160" s="71"/>
      <c r="I160" s="71"/>
      <c r="J160" s="71"/>
      <c r="K160" s="72" t="s">
        <v>38</v>
      </c>
      <c r="L160" s="73">
        <f>L159-L158</f>
        <v>0</v>
      </c>
      <c r="M160" s="74" t="s">
        <v>39</v>
      </c>
      <c r="N160" s="75" t="b">
        <v>0</v>
      </c>
    </row>
    <row r="161" ht="13.5" customHeight="1">
      <c r="A161" s="46" t="s">
        <v>40</v>
      </c>
      <c r="B161" s="52" t="s">
        <v>78</v>
      </c>
      <c r="C161" s="53" t="s">
        <v>27</v>
      </c>
      <c r="D161" s="54"/>
      <c r="E161" s="55">
        <f t="shared" ref="E161:J161" si="43">E159-E162</f>
        <v>0</v>
      </c>
      <c r="F161" s="55">
        <f t="shared" si="43"/>
        <v>0</v>
      </c>
      <c r="G161" s="55">
        <f t="shared" si="43"/>
        <v>0</v>
      </c>
      <c r="H161" s="55">
        <f t="shared" si="43"/>
        <v>0</v>
      </c>
      <c r="I161" s="55">
        <f t="shared" si="43"/>
        <v>0</v>
      </c>
      <c r="J161" s="55">
        <f t="shared" si="43"/>
        <v>0</v>
      </c>
      <c r="K161" s="56"/>
      <c r="L161" s="30"/>
      <c r="M161" s="57" t="s">
        <v>28</v>
      </c>
      <c r="N161" s="58" t="b">
        <v>0</v>
      </c>
    </row>
    <row r="162" ht="13.5" customHeight="1">
      <c r="A162" s="64"/>
      <c r="B162" s="59"/>
      <c r="C162" s="53" t="s">
        <v>30</v>
      </c>
      <c r="D162" s="54"/>
      <c r="E162" s="60"/>
      <c r="F162" s="60"/>
      <c r="G162" s="60"/>
      <c r="H162" s="60"/>
      <c r="I162" s="84"/>
      <c r="J162" s="60"/>
      <c r="K162" s="61" t="s">
        <v>30</v>
      </c>
      <c r="L162" s="62">
        <f>(E162*E155)+(F162*F155)+(G162*G155)+(H162*H155)+(I162*I155)+(J162*J155)</f>
        <v>0</v>
      </c>
      <c r="M162" s="57" t="s">
        <v>31</v>
      </c>
      <c r="N162" s="63" t="b">
        <v>0</v>
      </c>
    </row>
    <row r="163" ht="17.25" customHeight="1">
      <c r="A163" s="68"/>
      <c r="B163" s="65" t="s">
        <v>42</v>
      </c>
      <c r="C163" s="53" t="s">
        <v>34</v>
      </c>
      <c r="D163" s="54"/>
      <c r="E163" s="66"/>
      <c r="F163" s="76"/>
      <c r="G163" s="76"/>
      <c r="H163" s="76"/>
      <c r="I163" s="76"/>
      <c r="J163" s="76"/>
      <c r="K163" s="67" t="s">
        <v>35</v>
      </c>
      <c r="L163" s="62">
        <f>(E163*E155)+(F163*F155)+(G163*G155)+(H163*H155)+(I163*I155)+(J163*J155)</f>
        <v>0</v>
      </c>
      <c r="M163" s="57" t="s">
        <v>36</v>
      </c>
      <c r="N163" s="63" t="b">
        <v>0</v>
      </c>
    </row>
    <row r="164" ht="13.5" customHeight="1">
      <c r="A164" s="46" t="s">
        <v>43</v>
      </c>
      <c r="B164" s="69" t="str">
        <f>IFS(L164=0,"",B164&lt;&gt;"",B164,TRUE,NOW())</f>
        <v/>
      </c>
      <c r="C164" s="70" t="s">
        <v>37</v>
      </c>
      <c r="D164" s="33"/>
      <c r="E164" s="71"/>
      <c r="F164" s="71"/>
      <c r="G164" s="71"/>
      <c r="H164" s="71"/>
      <c r="I164" s="71"/>
      <c r="J164" s="71"/>
      <c r="K164" s="72" t="s">
        <v>38</v>
      </c>
      <c r="L164" s="73">
        <f>L163-L162</f>
        <v>0</v>
      </c>
      <c r="M164" s="74" t="s">
        <v>39</v>
      </c>
      <c r="N164" s="75" t="b">
        <v>0</v>
      </c>
    </row>
    <row r="165" ht="13.5" customHeight="1">
      <c r="A165" s="64"/>
      <c r="B165" s="52" t="s">
        <v>78</v>
      </c>
      <c r="C165" s="53" t="s">
        <v>27</v>
      </c>
      <c r="D165" s="54"/>
      <c r="E165" s="55">
        <f t="shared" ref="E165:J165" si="44">E163-E166</f>
        <v>0</v>
      </c>
      <c r="F165" s="55">
        <f t="shared" si="44"/>
        <v>0</v>
      </c>
      <c r="G165" s="55">
        <f t="shared" si="44"/>
        <v>0</v>
      </c>
      <c r="H165" s="55">
        <f t="shared" si="44"/>
        <v>0</v>
      </c>
      <c r="I165" s="55">
        <f t="shared" si="44"/>
        <v>0</v>
      </c>
      <c r="J165" s="55">
        <f t="shared" si="44"/>
        <v>0</v>
      </c>
      <c r="K165" s="56"/>
      <c r="L165" s="30"/>
      <c r="M165" s="57" t="s">
        <v>28</v>
      </c>
      <c r="N165" s="58" t="b">
        <v>0</v>
      </c>
    </row>
    <row r="166" ht="13.5" customHeight="1">
      <c r="A166" s="46" t="s">
        <v>45</v>
      </c>
      <c r="B166" s="59"/>
      <c r="C166" s="53" t="s">
        <v>30</v>
      </c>
      <c r="D166" s="54"/>
      <c r="E166" s="60"/>
      <c r="F166" s="60"/>
      <c r="G166" s="60"/>
      <c r="H166" s="60"/>
      <c r="I166" s="60"/>
      <c r="J166" s="60"/>
      <c r="K166" s="61" t="s">
        <v>30</v>
      </c>
      <c r="L166" s="62">
        <f>(E166*E155)+(F166*F155)+(G166*G155)+(H166*H155)+(I166*I155)+(J166*J155)</f>
        <v>0</v>
      </c>
      <c r="M166" s="57" t="s">
        <v>31</v>
      </c>
      <c r="N166" s="63" t="b">
        <v>0</v>
      </c>
    </row>
    <row r="167" ht="13.5" customHeight="1">
      <c r="A167" s="77"/>
      <c r="B167" s="65" t="s">
        <v>47</v>
      </c>
      <c r="C167" s="53" t="s">
        <v>34</v>
      </c>
      <c r="D167" s="54"/>
      <c r="E167" s="66"/>
      <c r="F167" s="66"/>
      <c r="G167" s="66"/>
      <c r="H167" s="66"/>
      <c r="I167" s="66"/>
      <c r="J167" s="66"/>
      <c r="K167" s="67" t="s">
        <v>35</v>
      </c>
      <c r="L167" s="62">
        <f>(E167*E155)+(F167*F155)+(G167*G155)+(H167*H155)+(I167*I155)+(J167*J155)</f>
        <v>0</v>
      </c>
      <c r="M167" s="57" t="s">
        <v>36</v>
      </c>
      <c r="N167" s="63" t="b">
        <v>0</v>
      </c>
    </row>
    <row r="168" ht="15.0" customHeight="1">
      <c r="A168" s="68"/>
      <c r="B168" s="69" t="str">
        <f>IFS(L168=0,"",B168&lt;&gt;"",B168,TRUE,NOW())</f>
        <v/>
      </c>
      <c r="C168" s="70" t="s">
        <v>37</v>
      </c>
      <c r="D168" s="33"/>
      <c r="E168" s="71"/>
      <c r="F168" s="71"/>
      <c r="G168" s="71"/>
      <c r="H168" s="71"/>
      <c r="I168" s="71"/>
      <c r="J168" s="71"/>
      <c r="K168" s="72" t="s">
        <v>38</v>
      </c>
      <c r="L168" s="73">
        <f>L167-L166</f>
        <v>0</v>
      </c>
      <c r="M168" s="74" t="s">
        <v>39</v>
      </c>
      <c r="N168" s="75" t="b">
        <v>0</v>
      </c>
    </row>
    <row r="169" ht="13.5" customHeight="1">
      <c r="A169" s="78" t="s">
        <v>48</v>
      </c>
      <c r="B169" s="52" t="s">
        <v>78</v>
      </c>
      <c r="C169" s="53" t="s">
        <v>27</v>
      </c>
      <c r="D169" s="54"/>
      <c r="E169" s="55">
        <f t="shared" ref="E169:J169" si="45">E167-E170</f>
        <v>0</v>
      </c>
      <c r="F169" s="55">
        <f t="shared" si="45"/>
        <v>0</v>
      </c>
      <c r="G169" s="55">
        <f t="shared" si="45"/>
        <v>0</v>
      </c>
      <c r="H169" s="55">
        <f t="shared" si="45"/>
        <v>0</v>
      </c>
      <c r="I169" s="55">
        <f t="shared" si="45"/>
        <v>0</v>
      </c>
      <c r="J169" s="55">
        <f t="shared" si="45"/>
        <v>0</v>
      </c>
      <c r="K169" s="56"/>
      <c r="L169" s="30"/>
      <c r="M169" s="57" t="s">
        <v>28</v>
      </c>
      <c r="N169" s="58" t="b">
        <v>0</v>
      </c>
    </row>
    <row r="170" ht="13.5" customHeight="1">
      <c r="A170" s="87"/>
      <c r="B170" s="59"/>
      <c r="C170" s="53" t="s">
        <v>30</v>
      </c>
      <c r="D170" s="54"/>
      <c r="E170" s="60"/>
      <c r="F170" s="60"/>
      <c r="G170" s="60"/>
      <c r="H170" s="60"/>
      <c r="I170" s="60"/>
      <c r="J170" s="60"/>
      <c r="K170" s="61" t="s">
        <v>30</v>
      </c>
      <c r="L170" s="62">
        <f>(E170*E155)+(F170*F155)+(G170*G155)+(H170*H155)+(I170*I155)+(J170*J155)</f>
        <v>0</v>
      </c>
      <c r="M170" s="57" t="s">
        <v>31</v>
      </c>
      <c r="N170" s="63" t="b">
        <v>0</v>
      </c>
    </row>
    <row r="171" ht="13.5" customHeight="1">
      <c r="A171" s="68"/>
      <c r="B171" s="65" t="s">
        <v>49</v>
      </c>
      <c r="C171" s="53" t="s">
        <v>34</v>
      </c>
      <c r="D171" s="54"/>
      <c r="E171" s="66"/>
      <c r="F171" s="66"/>
      <c r="G171" s="66"/>
      <c r="H171" s="66"/>
      <c r="I171" s="66"/>
      <c r="J171" s="66"/>
      <c r="K171" s="67" t="s">
        <v>35</v>
      </c>
      <c r="L171" s="62">
        <f>(E171*E155)+(F171*F155)+(G171*G155)+(H171*H155)+(I171*I155)+(J171*J155)</f>
        <v>0</v>
      </c>
      <c r="M171" s="57" t="s">
        <v>36</v>
      </c>
      <c r="N171" s="63" t="b">
        <v>0</v>
      </c>
    </row>
    <row r="172" ht="13.5" customHeight="1">
      <c r="A172" s="80"/>
      <c r="B172" s="69" t="str">
        <f>IFS(L172=0,"",B172&lt;&gt;"",B172,TRUE,NOW())</f>
        <v/>
      </c>
      <c r="C172" s="86" t="s">
        <v>37</v>
      </c>
      <c r="D172" s="59"/>
      <c r="E172" s="81"/>
      <c r="F172" s="81"/>
      <c r="G172" s="81"/>
      <c r="H172" s="82"/>
      <c r="I172" s="81"/>
      <c r="J172" s="81"/>
      <c r="K172" s="72" t="s">
        <v>38</v>
      </c>
      <c r="L172" s="73">
        <f>L171-L170</f>
        <v>0</v>
      </c>
      <c r="M172" s="74" t="s">
        <v>39</v>
      </c>
      <c r="N172" s="75" t="b">
        <v>0</v>
      </c>
    </row>
    <row r="173" ht="15.0" customHeight="1">
      <c r="A173" s="83" t="s">
        <v>80</v>
      </c>
      <c r="B173" s="42" t="s">
        <v>20</v>
      </c>
      <c r="C173" s="24"/>
      <c r="D173" s="33"/>
      <c r="E173" s="43">
        <f t="shared" ref="E173:J173" si="46">E6</f>
        <v>17</v>
      </c>
      <c r="F173" s="43">
        <f t="shared" si="46"/>
        <v>27</v>
      </c>
      <c r="G173" s="43">
        <f t="shared" si="46"/>
        <v>27</v>
      </c>
      <c r="H173" s="43">
        <f t="shared" si="46"/>
        <v>27</v>
      </c>
      <c r="I173" s="43">
        <f t="shared" si="46"/>
        <v>32</v>
      </c>
      <c r="J173" s="44">
        <f t="shared" si="46"/>
        <v>37</v>
      </c>
      <c r="K173" s="42" t="s">
        <v>21</v>
      </c>
      <c r="L173" s="25"/>
      <c r="M173" s="45" t="s">
        <v>22</v>
      </c>
      <c r="N173" s="25"/>
    </row>
    <row r="174" ht="13.5" customHeight="1">
      <c r="A174" s="46" t="s">
        <v>23</v>
      </c>
      <c r="B174" s="47" t="s">
        <v>24</v>
      </c>
      <c r="C174" s="32" t="s">
        <v>25</v>
      </c>
      <c r="D174" s="33"/>
      <c r="E174" s="48"/>
      <c r="F174" s="48"/>
      <c r="G174" s="48"/>
      <c r="H174" s="48"/>
      <c r="I174" s="48"/>
      <c r="J174" s="48"/>
      <c r="K174" s="49"/>
      <c r="L174" s="25"/>
      <c r="M174" s="50"/>
      <c r="N174" s="10"/>
    </row>
    <row r="175" ht="13.5" customHeight="1">
      <c r="A175" s="92"/>
      <c r="B175" s="52" t="s">
        <v>81</v>
      </c>
      <c r="C175" s="53" t="s">
        <v>27</v>
      </c>
      <c r="D175" s="54"/>
      <c r="E175" s="55">
        <f t="shared" ref="E175:J175" si="47">E174-E176</f>
        <v>0</v>
      </c>
      <c r="F175" s="55">
        <f t="shared" si="47"/>
        <v>0</v>
      </c>
      <c r="G175" s="55">
        <f t="shared" si="47"/>
        <v>0</v>
      </c>
      <c r="H175" s="55">
        <f t="shared" si="47"/>
        <v>0</v>
      </c>
      <c r="I175" s="55">
        <f t="shared" si="47"/>
        <v>0</v>
      </c>
      <c r="J175" s="55">
        <f t="shared" si="47"/>
        <v>0</v>
      </c>
      <c r="K175" s="56"/>
      <c r="L175" s="30"/>
      <c r="M175" s="57" t="s">
        <v>28</v>
      </c>
      <c r="N175" s="58" t="b">
        <v>0</v>
      </c>
    </row>
    <row r="176" ht="13.5" customHeight="1">
      <c r="A176" s="46" t="s">
        <v>29</v>
      </c>
      <c r="B176" s="59"/>
      <c r="C176" s="53" t="s">
        <v>30</v>
      </c>
      <c r="D176" s="54"/>
      <c r="E176" s="60"/>
      <c r="F176" s="60"/>
      <c r="G176" s="60"/>
      <c r="H176" s="60"/>
      <c r="I176" s="60"/>
      <c r="J176" s="60"/>
      <c r="K176" s="61" t="s">
        <v>30</v>
      </c>
      <c r="L176" s="62">
        <f>(E176*E173)+(F176*F173)+(G176*G173)+(H176*H173)+(I176*I173)+(J176*J173)</f>
        <v>0</v>
      </c>
      <c r="M176" s="57" t="s">
        <v>31</v>
      </c>
      <c r="N176" s="63" t="b">
        <v>0</v>
      </c>
    </row>
    <row r="177" ht="13.5" customHeight="1">
      <c r="A177" s="64"/>
      <c r="B177" s="65" t="s">
        <v>33</v>
      </c>
      <c r="C177" s="53" t="s">
        <v>34</v>
      </c>
      <c r="D177" s="54"/>
      <c r="E177" s="66"/>
      <c r="F177" s="66"/>
      <c r="G177" s="66"/>
      <c r="H177" s="66"/>
      <c r="I177" s="66"/>
      <c r="J177" s="66"/>
      <c r="K177" s="67" t="s">
        <v>35</v>
      </c>
      <c r="L177" s="62">
        <f>(E177*E173)+(F177*F173)+(G177*G173)+(H177*H173)+(I177*I173)+(J177*J173)</f>
        <v>0</v>
      </c>
      <c r="M177" s="57" t="s">
        <v>36</v>
      </c>
      <c r="N177" s="63" t="b">
        <v>0</v>
      </c>
    </row>
    <row r="178" ht="15.0" customHeight="1">
      <c r="A178" s="68"/>
      <c r="B178" s="69" t="str">
        <f>IFS(L178=0,"",B178&lt;&gt;"",B178,TRUE,NOW())</f>
        <v/>
      </c>
      <c r="C178" s="70" t="s">
        <v>37</v>
      </c>
      <c r="D178" s="33"/>
      <c r="E178" s="71"/>
      <c r="F178" s="71"/>
      <c r="G178" s="71"/>
      <c r="H178" s="71"/>
      <c r="I178" s="71"/>
      <c r="J178" s="71"/>
      <c r="K178" s="72" t="s">
        <v>38</v>
      </c>
      <c r="L178" s="73">
        <f>L177-L176</f>
        <v>0</v>
      </c>
      <c r="M178" s="74" t="s">
        <v>39</v>
      </c>
      <c r="N178" s="75" t="b">
        <v>0</v>
      </c>
    </row>
    <row r="179" ht="13.5" customHeight="1">
      <c r="A179" s="46" t="s">
        <v>40</v>
      </c>
      <c r="B179" s="52" t="s">
        <v>81</v>
      </c>
      <c r="C179" s="53" t="s">
        <v>27</v>
      </c>
      <c r="D179" s="54"/>
      <c r="E179" s="55">
        <f t="shared" ref="E179:J179" si="48">E177-E180</f>
        <v>0</v>
      </c>
      <c r="F179" s="55">
        <f t="shared" si="48"/>
        <v>0</v>
      </c>
      <c r="G179" s="55">
        <f t="shared" si="48"/>
        <v>0</v>
      </c>
      <c r="H179" s="55">
        <f t="shared" si="48"/>
        <v>0</v>
      </c>
      <c r="I179" s="55">
        <f t="shared" si="48"/>
        <v>0</v>
      </c>
      <c r="J179" s="55">
        <f t="shared" si="48"/>
        <v>0</v>
      </c>
      <c r="K179" s="56"/>
      <c r="L179" s="30"/>
      <c r="M179" s="57" t="s">
        <v>28</v>
      </c>
      <c r="N179" s="58" t="b">
        <v>0</v>
      </c>
    </row>
    <row r="180" ht="13.5" customHeight="1">
      <c r="A180" s="64"/>
      <c r="B180" s="59"/>
      <c r="C180" s="53" t="s">
        <v>30</v>
      </c>
      <c r="D180" s="54"/>
      <c r="E180" s="60"/>
      <c r="F180" s="60"/>
      <c r="G180" s="60"/>
      <c r="H180" s="60"/>
      <c r="I180" s="60"/>
      <c r="J180" s="60"/>
      <c r="K180" s="61" t="s">
        <v>30</v>
      </c>
      <c r="L180" s="62">
        <f>(E180*E173)+(F180*F173)+(G180*G173)+(H180*H173)+(I180*I173)+(J180*J173)</f>
        <v>0</v>
      </c>
      <c r="M180" s="57" t="s">
        <v>31</v>
      </c>
      <c r="N180" s="63" t="b">
        <v>0</v>
      </c>
    </row>
    <row r="181" ht="13.5" customHeight="1">
      <c r="A181" s="68"/>
      <c r="B181" s="65" t="s">
        <v>42</v>
      </c>
      <c r="C181" s="53" t="s">
        <v>34</v>
      </c>
      <c r="D181" s="54"/>
      <c r="E181" s="66"/>
      <c r="F181" s="76"/>
      <c r="G181" s="66"/>
      <c r="H181" s="66"/>
      <c r="I181" s="66"/>
      <c r="J181" s="76"/>
      <c r="K181" s="67" t="s">
        <v>35</v>
      </c>
      <c r="L181" s="62">
        <f>(E181*E173)+(F181*F173)+(G181*G173)+(H181*H173)+(I181*I173)+(J181*J173)</f>
        <v>0</v>
      </c>
      <c r="M181" s="57" t="s">
        <v>36</v>
      </c>
      <c r="N181" s="63" t="b">
        <v>0</v>
      </c>
    </row>
    <row r="182" ht="13.5" customHeight="1">
      <c r="A182" s="46" t="s">
        <v>43</v>
      </c>
      <c r="B182" s="69" t="str">
        <f>IFS(L182=0,"",B182&lt;&gt;"",B182,TRUE,NOW())</f>
        <v/>
      </c>
      <c r="C182" s="70" t="s">
        <v>37</v>
      </c>
      <c r="D182" s="33"/>
      <c r="E182" s="71"/>
      <c r="F182" s="71"/>
      <c r="G182" s="71"/>
      <c r="H182" s="71"/>
      <c r="I182" s="71"/>
      <c r="J182" s="71"/>
      <c r="K182" s="72" t="s">
        <v>38</v>
      </c>
      <c r="L182" s="73">
        <f>L181-L180</f>
        <v>0</v>
      </c>
      <c r="M182" s="74" t="s">
        <v>39</v>
      </c>
      <c r="N182" s="75" t="b">
        <v>0</v>
      </c>
    </row>
    <row r="183" ht="13.5" customHeight="1">
      <c r="A183" s="64"/>
      <c r="B183" s="52" t="s">
        <v>81</v>
      </c>
      <c r="C183" s="53" t="s">
        <v>27</v>
      </c>
      <c r="D183" s="54"/>
      <c r="E183" s="55">
        <f t="shared" ref="E183:J183" si="49">E181-E184</f>
        <v>0</v>
      </c>
      <c r="F183" s="55">
        <f t="shared" si="49"/>
        <v>0</v>
      </c>
      <c r="G183" s="55">
        <f t="shared" si="49"/>
        <v>0</v>
      </c>
      <c r="H183" s="55">
        <f t="shared" si="49"/>
        <v>0</v>
      </c>
      <c r="I183" s="55">
        <f t="shared" si="49"/>
        <v>0</v>
      </c>
      <c r="J183" s="55">
        <f t="shared" si="49"/>
        <v>0</v>
      </c>
      <c r="K183" s="56"/>
      <c r="L183" s="30"/>
      <c r="M183" s="57" t="s">
        <v>28</v>
      </c>
      <c r="N183" s="58" t="b">
        <v>0</v>
      </c>
    </row>
    <row r="184" ht="13.5" customHeight="1">
      <c r="A184" s="46" t="s">
        <v>45</v>
      </c>
      <c r="B184" s="59"/>
      <c r="C184" s="53" t="s">
        <v>30</v>
      </c>
      <c r="D184" s="54"/>
      <c r="E184" s="60"/>
      <c r="F184" s="60"/>
      <c r="G184" s="60"/>
      <c r="H184" s="60"/>
      <c r="I184" s="60"/>
      <c r="J184" s="60"/>
      <c r="K184" s="61" t="s">
        <v>30</v>
      </c>
      <c r="L184" s="62">
        <f>(E184*E173)+(F184*F173)+(G184*G173)+(H184*H173)+(I184*I173)+(J184*J173)</f>
        <v>0</v>
      </c>
      <c r="M184" s="57" t="s">
        <v>31</v>
      </c>
      <c r="N184" s="63" t="b">
        <v>0</v>
      </c>
    </row>
    <row r="185" ht="18.0" customHeight="1">
      <c r="A185" s="77"/>
      <c r="B185" s="65" t="s">
        <v>47</v>
      </c>
      <c r="C185" s="53" t="s">
        <v>34</v>
      </c>
      <c r="D185" s="54"/>
      <c r="E185" s="66"/>
      <c r="F185" s="66"/>
      <c r="G185" s="66"/>
      <c r="H185" s="66"/>
      <c r="I185" s="66"/>
      <c r="J185" s="66"/>
      <c r="K185" s="67" t="s">
        <v>35</v>
      </c>
      <c r="L185" s="62">
        <f>(E185*E173)+(F185*F173)+(G185*G173)+(H185*H173)+(I185*I173)+(J185*J173)</f>
        <v>0</v>
      </c>
      <c r="M185" s="57" t="s">
        <v>36</v>
      </c>
      <c r="N185" s="63" t="b">
        <v>0</v>
      </c>
    </row>
    <row r="186" ht="13.5" customHeight="1">
      <c r="A186" s="68"/>
      <c r="B186" s="69" t="str">
        <f>IFS(L186=0,"",B186&lt;&gt;"",B186,TRUE,NOW())</f>
        <v/>
      </c>
      <c r="C186" s="70" t="s">
        <v>37</v>
      </c>
      <c r="D186" s="33"/>
      <c r="E186" s="71"/>
      <c r="F186" s="71"/>
      <c r="G186" s="71"/>
      <c r="H186" s="71"/>
      <c r="I186" s="71"/>
      <c r="J186" s="71"/>
      <c r="K186" s="72" t="s">
        <v>38</v>
      </c>
      <c r="L186" s="73">
        <f>L185-L184</f>
        <v>0</v>
      </c>
      <c r="M186" s="74" t="s">
        <v>39</v>
      </c>
      <c r="N186" s="75" t="b">
        <v>0</v>
      </c>
    </row>
    <row r="187" ht="13.5" customHeight="1">
      <c r="A187" s="78" t="s">
        <v>48</v>
      </c>
      <c r="B187" s="52" t="s">
        <v>81</v>
      </c>
      <c r="C187" s="53" t="s">
        <v>27</v>
      </c>
      <c r="D187" s="54"/>
      <c r="E187" s="55">
        <f t="shared" ref="E187:J187" si="50">E185-E188</f>
        <v>0</v>
      </c>
      <c r="F187" s="55">
        <f t="shared" si="50"/>
        <v>0</v>
      </c>
      <c r="G187" s="55">
        <f t="shared" si="50"/>
        <v>0</v>
      </c>
      <c r="H187" s="55">
        <f t="shared" si="50"/>
        <v>0</v>
      </c>
      <c r="I187" s="55">
        <f t="shared" si="50"/>
        <v>0</v>
      </c>
      <c r="J187" s="55">
        <f t="shared" si="50"/>
        <v>0</v>
      </c>
      <c r="K187" s="56"/>
      <c r="L187" s="30"/>
      <c r="M187" s="57" t="s">
        <v>28</v>
      </c>
      <c r="N187" s="58" t="b">
        <v>0</v>
      </c>
    </row>
    <row r="188" ht="13.5" customHeight="1">
      <c r="A188" s="87"/>
      <c r="B188" s="59"/>
      <c r="C188" s="53" t="s">
        <v>30</v>
      </c>
      <c r="D188" s="54"/>
      <c r="E188" s="60"/>
      <c r="F188" s="60"/>
      <c r="G188" s="60"/>
      <c r="H188" s="60"/>
      <c r="I188" s="60"/>
      <c r="J188" s="60"/>
      <c r="K188" s="61" t="s">
        <v>30</v>
      </c>
      <c r="L188" s="62">
        <f>(E188*E173)+(F188*F173)+(G188*G173)+(H188*H173)+(I188*I173)+(J188*J173)</f>
        <v>0</v>
      </c>
      <c r="M188" s="57" t="s">
        <v>31</v>
      </c>
      <c r="N188" s="63" t="b">
        <v>0</v>
      </c>
    </row>
    <row r="189" ht="13.5" customHeight="1">
      <c r="A189" s="68"/>
      <c r="B189" s="65" t="s">
        <v>49</v>
      </c>
      <c r="C189" s="53" t="s">
        <v>34</v>
      </c>
      <c r="D189" s="54"/>
      <c r="E189" s="66"/>
      <c r="F189" s="66"/>
      <c r="G189" s="66"/>
      <c r="H189" s="66"/>
      <c r="I189" s="66"/>
      <c r="J189" s="66"/>
      <c r="K189" s="67" t="s">
        <v>35</v>
      </c>
      <c r="L189" s="62">
        <f>(E189*E173)+(F189*F173)+(G189*G173)+(H189*H173)+(I189*I173)+(J189*J173)</f>
        <v>0</v>
      </c>
      <c r="M189" s="57" t="s">
        <v>36</v>
      </c>
      <c r="N189" s="63" t="b">
        <v>0</v>
      </c>
    </row>
    <row r="190" ht="15.0" customHeight="1">
      <c r="A190" s="80"/>
      <c r="B190" s="69" t="str">
        <f>IFS(L190=0,"",B190&lt;&gt;"",B190,TRUE,NOW())</f>
        <v/>
      </c>
      <c r="C190" s="86" t="s">
        <v>37</v>
      </c>
      <c r="D190" s="59"/>
      <c r="E190" s="81"/>
      <c r="F190" s="81"/>
      <c r="G190" s="81"/>
      <c r="H190" s="82"/>
      <c r="I190" s="81"/>
      <c r="J190" s="81"/>
      <c r="K190" s="72" t="s">
        <v>38</v>
      </c>
      <c r="L190" s="73">
        <f>L189-L188</f>
        <v>0</v>
      </c>
      <c r="M190" s="74" t="s">
        <v>39</v>
      </c>
      <c r="N190" s="75" t="b">
        <v>0</v>
      </c>
    </row>
    <row r="191" ht="13.5" customHeight="1">
      <c r="A191" s="83" t="s">
        <v>83</v>
      </c>
      <c r="B191" s="42" t="s">
        <v>20</v>
      </c>
      <c r="C191" s="24"/>
      <c r="D191" s="33"/>
      <c r="E191" s="43">
        <f t="shared" ref="E191:J191" si="51">E6</f>
        <v>17</v>
      </c>
      <c r="F191" s="43">
        <f t="shared" si="51"/>
        <v>27</v>
      </c>
      <c r="G191" s="43">
        <f t="shared" si="51"/>
        <v>27</v>
      </c>
      <c r="H191" s="43">
        <f t="shared" si="51"/>
        <v>27</v>
      </c>
      <c r="I191" s="43">
        <f t="shared" si="51"/>
        <v>32</v>
      </c>
      <c r="J191" s="44">
        <f t="shared" si="51"/>
        <v>37</v>
      </c>
      <c r="K191" s="42" t="s">
        <v>21</v>
      </c>
      <c r="L191" s="25"/>
      <c r="M191" s="45" t="s">
        <v>22</v>
      </c>
      <c r="N191" s="25"/>
    </row>
    <row r="192" ht="13.5" customHeight="1">
      <c r="A192" s="46" t="s">
        <v>23</v>
      </c>
      <c r="B192" s="47" t="s">
        <v>24</v>
      </c>
      <c r="C192" s="32" t="s">
        <v>25</v>
      </c>
      <c r="D192" s="33"/>
      <c r="E192" s="48"/>
      <c r="F192" s="48"/>
      <c r="G192" s="48"/>
      <c r="H192" s="48"/>
      <c r="I192" s="48"/>
      <c r="J192" s="48"/>
      <c r="K192" s="49"/>
      <c r="L192" s="25"/>
      <c r="M192" s="50"/>
      <c r="N192" s="10"/>
    </row>
    <row r="193" ht="13.5" customHeight="1">
      <c r="A193" s="92"/>
      <c r="B193" s="52" t="s">
        <v>84</v>
      </c>
      <c r="C193" s="53" t="s">
        <v>27</v>
      </c>
      <c r="D193" s="54"/>
      <c r="E193" s="55">
        <f t="shared" ref="E193:J193" si="52">E192-E194</f>
        <v>0</v>
      </c>
      <c r="F193" s="55">
        <f t="shared" si="52"/>
        <v>0</v>
      </c>
      <c r="G193" s="55">
        <f t="shared" si="52"/>
        <v>0</v>
      </c>
      <c r="H193" s="55">
        <f t="shared" si="52"/>
        <v>0</v>
      </c>
      <c r="I193" s="55">
        <f t="shared" si="52"/>
        <v>0</v>
      </c>
      <c r="J193" s="55">
        <f t="shared" si="52"/>
        <v>0</v>
      </c>
      <c r="K193" s="56"/>
      <c r="L193" s="30"/>
      <c r="M193" s="57" t="s">
        <v>28</v>
      </c>
      <c r="N193" s="58" t="b">
        <v>0</v>
      </c>
    </row>
    <row r="194" ht="13.5" customHeight="1">
      <c r="A194" s="46" t="s">
        <v>29</v>
      </c>
      <c r="B194" s="59"/>
      <c r="C194" s="53" t="s">
        <v>30</v>
      </c>
      <c r="D194" s="54"/>
      <c r="E194" s="60"/>
      <c r="F194" s="60"/>
      <c r="G194" s="60"/>
      <c r="H194" s="60"/>
      <c r="I194" s="60"/>
      <c r="J194" s="60"/>
      <c r="K194" s="61" t="s">
        <v>30</v>
      </c>
      <c r="L194" s="62">
        <f>(E194*E191)+(F194*F191)+(G194*G191)+(H194*H191)+(I194*I191)+(J194*J191)</f>
        <v>0</v>
      </c>
      <c r="M194" s="57" t="s">
        <v>31</v>
      </c>
      <c r="N194" s="63" t="b">
        <v>0</v>
      </c>
    </row>
    <row r="195" ht="18.0" customHeight="1">
      <c r="A195" s="64"/>
      <c r="B195" s="65" t="s">
        <v>33</v>
      </c>
      <c r="C195" s="53" t="s">
        <v>34</v>
      </c>
      <c r="D195" s="54"/>
      <c r="E195" s="66"/>
      <c r="F195" s="66"/>
      <c r="G195" s="66"/>
      <c r="H195" s="66"/>
      <c r="I195" s="66"/>
      <c r="J195" s="66"/>
      <c r="K195" s="67" t="s">
        <v>35</v>
      </c>
      <c r="L195" s="62">
        <f>(E195*E191)+(F195*F191)+(G195*G191)+(H195*H191)+(I195*I191)+(J195*J191)</f>
        <v>0</v>
      </c>
      <c r="M195" s="57" t="s">
        <v>36</v>
      </c>
      <c r="N195" s="63" t="b">
        <v>0</v>
      </c>
    </row>
    <row r="196" ht="13.5" customHeight="1">
      <c r="A196" s="68"/>
      <c r="B196" s="69" t="str">
        <f>IFS(L196=0,"",B196&lt;&gt;"",B196,TRUE,NOW())</f>
        <v/>
      </c>
      <c r="C196" s="70" t="s">
        <v>37</v>
      </c>
      <c r="D196" s="33"/>
      <c r="E196" s="71"/>
      <c r="F196" s="71"/>
      <c r="G196" s="71"/>
      <c r="H196" s="71"/>
      <c r="I196" s="71"/>
      <c r="J196" s="71"/>
      <c r="K196" s="72" t="s">
        <v>38</v>
      </c>
      <c r="L196" s="73">
        <f>L195-L194</f>
        <v>0</v>
      </c>
      <c r="M196" s="74" t="s">
        <v>39</v>
      </c>
      <c r="N196" s="75" t="b">
        <v>0</v>
      </c>
    </row>
    <row r="197" ht="13.5" customHeight="1">
      <c r="A197" s="46" t="s">
        <v>40</v>
      </c>
      <c r="B197" s="52" t="s">
        <v>84</v>
      </c>
      <c r="C197" s="53" t="s">
        <v>27</v>
      </c>
      <c r="D197" s="54"/>
      <c r="E197" s="55">
        <f t="shared" ref="E197:J197" si="53">E195-E198</f>
        <v>0</v>
      </c>
      <c r="F197" s="55">
        <f t="shared" si="53"/>
        <v>0</v>
      </c>
      <c r="G197" s="55">
        <f t="shared" si="53"/>
        <v>0</v>
      </c>
      <c r="H197" s="55">
        <f t="shared" si="53"/>
        <v>0</v>
      </c>
      <c r="I197" s="55">
        <f t="shared" si="53"/>
        <v>0</v>
      </c>
      <c r="J197" s="55">
        <f t="shared" si="53"/>
        <v>0</v>
      </c>
      <c r="K197" s="56"/>
      <c r="L197" s="30"/>
      <c r="M197" s="57" t="s">
        <v>28</v>
      </c>
      <c r="N197" s="58" t="b">
        <v>0</v>
      </c>
    </row>
    <row r="198" ht="13.5" customHeight="1">
      <c r="A198" s="64"/>
      <c r="B198" s="59"/>
      <c r="C198" s="53" t="s">
        <v>30</v>
      </c>
      <c r="D198" s="54"/>
      <c r="E198" s="60"/>
      <c r="F198" s="60"/>
      <c r="G198" s="60"/>
      <c r="H198" s="60"/>
      <c r="I198" s="60"/>
      <c r="J198" s="60"/>
      <c r="K198" s="61" t="s">
        <v>30</v>
      </c>
      <c r="L198" s="62">
        <f>(E198*E191)+(F198*F191)+(G198*G191)+(H198*H191)+(I198*I191)+(J198*J191)</f>
        <v>0</v>
      </c>
      <c r="M198" s="57" t="s">
        <v>31</v>
      </c>
      <c r="N198" s="63" t="b">
        <v>0</v>
      </c>
    </row>
    <row r="199" ht="13.5" customHeight="1">
      <c r="A199" s="68"/>
      <c r="B199" s="65" t="s">
        <v>42</v>
      </c>
      <c r="C199" s="53" t="s">
        <v>34</v>
      </c>
      <c r="D199" s="54"/>
      <c r="E199" s="66"/>
      <c r="F199" s="66"/>
      <c r="G199" s="66"/>
      <c r="H199" s="66"/>
      <c r="I199" s="66"/>
      <c r="J199" s="66"/>
      <c r="K199" s="67" t="s">
        <v>35</v>
      </c>
      <c r="L199" s="62">
        <f>(E199*E191)+(F199*F191)+(G199*G191)+(H199*H191)+(I199*I191)+(J199*J191)</f>
        <v>0</v>
      </c>
      <c r="M199" s="57" t="s">
        <v>36</v>
      </c>
      <c r="N199" s="63" t="b">
        <v>0</v>
      </c>
    </row>
    <row r="200" ht="15.0" customHeight="1">
      <c r="A200" s="46" t="s">
        <v>43</v>
      </c>
      <c r="B200" s="69" t="str">
        <f>IFS(L200=0,"",B200&lt;&gt;"",B200,TRUE,NOW())</f>
        <v/>
      </c>
      <c r="C200" s="70" t="s">
        <v>37</v>
      </c>
      <c r="D200" s="33"/>
      <c r="E200" s="71"/>
      <c r="F200" s="71"/>
      <c r="G200" s="71"/>
      <c r="H200" s="71"/>
      <c r="I200" s="71"/>
      <c r="J200" s="71"/>
      <c r="K200" s="72" t="s">
        <v>38</v>
      </c>
      <c r="L200" s="73">
        <f>L199-L198</f>
        <v>0</v>
      </c>
      <c r="M200" s="74" t="s">
        <v>39</v>
      </c>
      <c r="N200" s="75" t="b">
        <v>0</v>
      </c>
    </row>
    <row r="201" ht="13.5" customHeight="1">
      <c r="A201" s="64"/>
      <c r="B201" s="52" t="s">
        <v>84</v>
      </c>
      <c r="C201" s="53" t="s">
        <v>27</v>
      </c>
      <c r="D201" s="54"/>
      <c r="E201" s="55">
        <f t="shared" ref="E201:J201" si="54">E199-E202</f>
        <v>0</v>
      </c>
      <c r="F201" s="55">
        <f t="shared" si="54"/>
        <v>0</v>
      </c>
      <c r="G201" s="55">
        <f t="shared" si="54"/>
        <v>0</v>
      </c>
      <c r="H201" s="55">
        <f t="shared" si="54"/>
        <v>0</v>
      </c>
      <c r="I201" s="55">
        <f t="shared" si="54"/>
        <v>0</v>
      </c>
      <c r="J201" s="55">
        <f t="shared" si="54"/>
        <v>0</v>
      </c>
      <c r="K201" s="56"/>
      <c r="L201" s="30"/>
      <c r="M201" s="57" t="s">
        <v>28</v>
      </c>
      <c r="N201" s="58" t="b">
        <v>0</v>
      </c>
    </row>
    <row r="202" ht="13.5" customHeight="1">
      <c r="A202" s="46" t="s">
        <v>45</v>
      </c>
      <c r="B202" s="59"/>
      <c r="C202" s="53" t="s">
        <v>30</v>
      </c>
      <c r="D202" s="54"/>
      <c r="E202" s="60"/>
      <c r="F202" s="60"/>
      <c r="G202" s="60"/>
      <c r="H202" s="60"/>
      <c r="I202" s="60"/>
      <c r="J202" s="60"/>
      <c r="K202" s="61" t="s">
        <v>30</v>
      </c>
      <c r="L202" s="62">
        <f>(E202*E191)+(F202*F191)+(G202*G191)+(H202*H191)+(I202*I191)+(J202*J191)</f>
        <v>0</v>
      </c>
      <c r="M202" s="57" t="s">
        <v>31</v>
      </c>
      <c r="N202" s="63" t="b">
        <v>0</v>
      </c>
    </row>
    <row r="203" ht="13.5" customHeight="1">
      <c r="A203" s="77"/>
      <c r="B203" s="65" t="s">
        <v>47</v>
      </c>
      <c r="C203" s="53" t="s">
        <v>34</v>
      </c>
      <c r="D203" s="54"/>
      <c r="E203" s="66"/>
      <c r="F203" s="66"/>
      <c r="G203" s="66"/>
      <c r="H203" s="66"/>
      <c r="I203" s="66"/>
      <c r="J203" s="66"/>
      <c r="K203" s="67" t="s">
        <v>35</v>
      </c>
      <c r="L203" s="62">
        <f>(E203*E191)+(F203*F191)+(G203*G191)+(H203*H191)+(I203*I191)+(J203*J191)</f>
        <v>0</v>
      </c>
      <c r="M203" s="57" t="s">
        <v>36</v>
      </c>
      <c r="N203" s="63" t="b">
        <v>0</v>
      </c>
    </row>
    <row r="204" ht="13.5" customHeight="1">
      <c r="A204" s="68"/>
      <c r="B204" s="69" t="str">
        <f>IFS(L204=0,"",B204&lt;&gt;"",B204,TRUE,NOW())</f>
        <v/>
      </c>
      <c r="C204" s="70" t="s">
        <v>37</v>
      </c>
      <c r="D204" s="33"/>
      <c r="E204" s="71"/>
      <c r="F204" s="71"/>
      <c r="G204" s="71"/>
      <c r="H204" s="71"/>
      <c r="I204" s="71"/>
      <c r="J204" s="71"/>
      <c r="K204" s="72" t="s">
        <v>38</v>
      </c>
      <c r="L204" s="73">
        <f>L203-L202</f>
        <v>0</v>
      </c>
      <c r="M204" s="74" t="s">
        <v>39</v>
      </c>
      <c r="N204" s="75" t="b">
        <v>0</v>
      </c>
    </row>
    <row r="205" ht="13.5" customHeight="1">
      <c r="A205" s="78" t="s">
        <v>48</v>
      </c>
      <c r="B205" s="52" t="s">
        <v>84</v>
      </c>
      <c r="C205" s="53" t="s">
        <v>27</v>
      </c>
      <c r="D205" s="54"/>
      <c r="E205" s="55">
        <f t="shared" ref="E205:J205" si="55">E203-E206</f>
        <v>0</v>
      </c>
      <c r="F205" s="55">
        <f t="shared" si="55"/>
        <v>0</v>
      </c>
      <c r="G205" s="55">
        <f t="shared" si="55"/>
        <v>0</v>
      </c>
      <c r="H205" s="55">
        <f t="shared" si="55"/>
        <v>0</v>
      </c>
      <c r="I205" s="55">
        <f t="shared" si="55"/>
        <v>0</v>
      </c>
      <c r="J205" s="55">
        <f t="shared" si="55"/>
        <v>0</v>
      </c>
      <c r="K205" s="56"/>
      <c r="L205" s="30"/>
      <c r="M205" s="57" t="s">
        <v>28</v>
      </c>
      <c r="N205" s="58" t="b">
        <v>0</v>
      </c>
    </row>
    <row r="206" ht="13.5" customHeight="1">
      <c r="A206" s="87"/>
      <c r="B206" s="59"/>
      <c r="C206" s="53" t="s">
        <v>30</v>
      </c>
      <c r="D206" s="54"/>
      <c r="E206" s="60"/>
      <c r="F206" s="60"/>
      <c r="G206" s="60"/>
      <c r="H206" s="60"/>
      <c r="I206" s="60"/>
      <c r="J206" s="60"/>
      <c r="K206" s="61" t="s">
        <v>30</v>
      </c>
      <c r="L206" s="62">
        <f>(E206*E191)+(F206*F191)+(G206*G191)+(H206*H191)+(I206*I191)+(J206*J191)</f>
        <v>0</v>
      </c>
      <c r="M206" s="57" t="s">
        <v>31</v>
      </c>
      <c r="N206" s="63" t="b">
        <v>0</v>
      </c>
    </row>
    <row r="207" ht="18.0" customHeight="1">
      <c r="A207" s="68"/>
      <c r="B207" s="65" t="s">
        <v>49</v>
      </c>
      <c r="C207" s="53" t="s">
        <v>34</v>
      </c>
      <c r="D207" s="54"/>
      <c r="E207" s="66"/>
      <c r="F207" s="66"/>
      <c r="G207" s="66"/>
      <c r="H207" s="66"/>
      <c r="I207" s="66"/>
      <c r="J207" s="66"/>
      <c r="K207" s="67" t="s">
        <v>35</v>
      </c>
      <c r="L207" s="62">
        <f>(E207*E191)+(F207*F191)+(G207*G191)+(H207*H191)+(I207*I191)+(J207*J191)</f>
        <v>0</v>
      </c>
      <c r="M207" s="57" t="s">
        <v>36</v>
      </c>
      <c r="N207" s="63" t="b">
        <v>0</v>
      </c>
    </row>
    <row r="208" ht="13.5" customHeight="1">
      <c r="A208" s="80"/>
      <c r="B208" s="69" t="str">
        <f>IFS(L208=0,"",B208&lt;&gt;"",B208,TRUE,NOW())</f>
        <v/>
      </c>
      <c r="C208" s="53" t="s">
        <v>37</v>
      </c>
      <c r="D208" s="54"/>
      <c r="E208" s="81"/>
      <c r="F208" s="81"/>
      <c r="G208" s="81"/>
      <c r="H208" s="82"/>
      <c r="I208" s="81"/>
      <c r="J208" s="81"/>
      <c r="K208" s="72" t="s">
        <v>38</v>
      </c>
      <c r="L208" s="73">
        <f>L207-L206</f>
        <v>0</v>
      </c>
      <c r="M208" s="74" t="s">
        <v>39</v>
      </c>
      <c r="N208" s="75" t="b">
        <v>0</v>
      </c>
    </row>
    <row r="209" ht="13.5" customHeight="1">
      <c r="A209" s="83" t="s">
        <v>86</v>
      </c>
      <c r="B209" s="42" t="s">
        <v>20</v>
      </c>
      <c r="C209" s="24"/>
      <c r="D209" s="33"/>
      <c r="E209" s="43">
        <f t="shared" ref="E209:J209" si="56">E6</f>
        <v>17</v>
      </c>
      <c r="F209" s="43">
        <f t="shared" si="56"/>
        <v>27</v>
      </c>
      <c r="G209" s="43">
        <f t="shared" si="56"/>
        <v>27</v>
      </c>
      <c r="H209" s="43">
        <f t="shared" si="56"/>
        <v>27</v>
      </c>
      <c r="I209" s="43">
        <f t="shared" si="56"/>
        <v>32</v>
      </c>
      <c r="J209" s="44">
        <f t="shared" si="56"/>
        <v>37</v>
      </c>
      <c r="K209" s="42" t="s">
        <v>21</v>
      </c>
      <c r="L209" s="25"/>
      <c r="M209" s="45" t="s">
        <v>22</v>
      </c>
      <c r="N209" s="25"/>
    </row>
    <row r="210" ht="13.5" customHeight="1">
      <c r="A210" s="46" t="s">
        <v>23</v>
      </c>
      <c r="B210" s="47" t="s">
        <v>24</v>
      </c>
      <c r="C210" s="32" t="s">
        <v>25</v>
      </c>
      <c r="D210" s="33"/>
      <c r="E210" s="48"/>
      <c r="F210" s="48"/>
      <c r="G210" s="48"/>
      <c r="H210" s="48"/>
      <c r="I210" s="48"/>
      <c r="J210" s="48"/>
      <c r="K210" s="49"/>
      <c r="L210" s="25"/>
      <c r="M210" s="50"/>
      <c r="N210" s="10"/>
    </row>
    <row r="211" ht="13.5" customHeight="1">
      <c r="A211" s="92"/>
      <c r="B211" s="52" t="s">
        <v>87</v>
      </c>
      <c r="C211" s="53" t="s">
        <v>27</v>
      </c>
      <c r="D211" s="54"/>
      <c r="E211" s="55">
        <f t="shared" ref="E211:J211" si="57">E210-E212</f>
        <v>0</v>
      </c>
      <c r="F211" s="55">
        <f t="shared" si="57"/>
        <v>0</v>
      </c>
      <c r="G211" s="55">
        <f t="shared" si="57"/>
        <v>0</v>
      </c>
      <c r="H211" s="55">
        <f t="shared" si="57"/>
        <v>0</v>
      </c>
      <c r="I211" s="55">
        <f t="shared" si="57"/>
        <v>0</v>
      </c>
      <c r="J211" s="55">
        <f t="shared" si="57"/>
        <v>0</v>
      </c>
      <c r="K211" s="56"/>
      <c r="L211" s="30"/>
      <c r="M211" s="57" t="s">
        <v>28</v>
      </c>
      <c r="N211" s="58" t="b">
        <v>0</v>
      </c>
    </row>
    <row r="212" ht="18.0" customHeight="1">
      <c r="A212" s="46" t="s">
        <v>29</v>
      </c>
      <c r="B212" s="59"/>
      <c r="C212" s="53" t="s">
        <v>30</v>
      </c>
      <c r="D212" s="54"/>
      <c r="E212" s="60"/>
      <c r="F212" s="60"/>
      <c r="G212" s="60"/>
      <c r="H212" s="60"/>
      <c r="I212" s="60"/>
      <c r="J212" s="60"/>
      <c r="K212" s="61" t="s">
        <v>30</v>
      </c>
      <c r="L212" s="62">
        <f>(E212*E209)+(F212*F209)+(G212*G209)+(H212*H209)+(I212*I209)+(J212*J209)</f>
        <v>0</v>
      </c>
      <c r="M212" s="57" t="s">
        <v>31</v>
      </c>
      <c r="N212" s="63" t="b">
        <v>0</v>
      </c>
    </row>
    <row r="213" ht="13.5" customHeight="1">
      <c r="A213" s="64"/>
      <c r="B213" s="65" t="s">
        <v>33</v>
      </c>
      <c r="C213" s="53" t="s">
        <v>34</v>
      </c>
      <c r="D213" s="54"/>
      <c r="E213" s="66"/>
      <c r="F213" s="66"/>
      <c r="G213" s="66"/>
      <c r="H213" s="66"/>
      <c r="I213" s="66"/>
      <c r="J213" s="66"/>
      <c r="K213" s="67" t="s">
        <v>35</v>
      </c>
      <c r="L213" s="62">
        <f>(E213*E209)+(F213*F209)+(G213*G209)+(H213*H209)+(I213*I209)+(J213*J209)</f>
        <v>0</v>
      </c>
      <c r="M213" s="57" t="s">
        <v>36</v>
      </c>
      <c r="N213" s="63" t="b">
        <v>0</v>
      </c>
    </row>
    <row r="214" ht="13.5" customHeight="1">
      <c r="A214" s="68"/>
      <c r="B214" s="69" t="str">
        <f>IFS(L214=0,"",B214&lt;&gt;"",B214,TRUE,NOW())</f>
        <v/>
      </c>
      <c r="C214" s="70" t="s">
        <v>37</v>
      </c>
      <c r="D214" s="33"/>
      <c r="E214" s="71"/>
      <c r="F214" s="71"/>
      <c r="G214" s="71"/>
      <c r="H214" s="71"/>
      <c r="I214" s="71"/>
      <c r="J214" s="71"/>
      <c r="K214" s="72" t="s">
        <v>38</v>
      </c>
      <c r="L214" s="73">
        <f>L213-L212</f>
        <v>0</v>
      </c>
      <c r="M214" s="74" t="s">
        <v>39</v>
      </c>
      <c r="N214" s="75" t="b">
        <v>0</v>
      </c>
    </row>
    <row r="215" ht="13.5" customHeight="1">
      <c r="A215" s="46" t="s">
        <v>40</v>
      </c>
      <c r="B215" s="52" t="s">
        <v>87</v>
      </c>
      <c r="C215" s="53" t="s">
        <v>27</v>
      </c>
      <c r="D215" s="54"/>
      <c r="E215" s="55">
        <f t="shared" ref="E215:J215" si="58">E213-E216</f>
        <v>0</v>
      </c>
      <c r="F215" s="55">
        <f t="shared" si="58"/>
        <v>0</v>
      </c>
      <c r="G215" s="55">
        <f t="shared" si="58"/>
        <v>0</v>
      </c>
      <c r="H215" s="55">
        <f t="shared" si="58"/>
        <v>0</v>
      </c>
      <c r="I215" s="55">
        <f t="shared" si="58"/>
        <v>0</v>
      </c>
      <c r="J215" s="55">
        <f t="shared" si="58"/>
        <v>0</v>
      </c>
      <c r="K215" s="56"/>
      <c r="L215" s="30"/>
      <c r="M215" s="57" t="s">
        <v>28</v>
      </c>
      <c r="N215" s="58" t="b">
        <v>0</v>
      </c>
    </row>
    <row r="216" ht="13.5" customHeight="1">
      <c r="A216" s="64"/>
      <c r="B216" s="59"/>
      <c r="C216" s="53" t="s">
        <v>30</v>
      </c>
      <c r="D216" s="54"/>
      <c r="E216" s="60"/>
      <c r="F216" s="60"/>
      <c r="G216" s="60"/>
      <c r="H216" s="60"/>
      <c r="I216" s="60"/>
      <c r="J216" s="60"/>
      <c r="K216" s="61" t="s">
        <v>30</v>
      </c>
      <c r="L216" s="62">
        <f>(E216*E209)+(F216*F209)+(G216*G209)+(H216*H209)+(I216*I209)+(J216*J209)</f>
        <v>0</v>
      </c>
      <c r="M216" s="57" t="s">
        <v>31</v>
      </c>
      <c r="N216" s="63" t="b">
        <v>0</v>
      </c>
    </row>
    <row r="217" ht="15.0" customHeight="1">
      <c r="A217" s="68"/>
      <c r="B217" s="65" t="s">
        <v>42</v>
      </c>
      <c r="C217" s="53" t="s">
        <v>34</v>
      </c>
      <c r="D217" s="54"/>
      <c r="E217" s="66"/>
      <c r="F217" s="66"/>
      <c r="G217" s="66"/>
      <c r="H217" s="66"/>
      <c r="I217" s="66"/>
      <c r="J217" s="66"/>
      <c r="K217" s="67" t="s">
        <v>35</v>
      </c>
      <c r="L217" s="62">
        <f>(E217*E209)+(F217*F209)+(G217*G209)+(H217*H209)+(I217*I209)+(J217*J209)</f>
        <v>0</v>
      </c>
      <c r="M217" s="57" t="s">
        <v>36</v>
      </c>
      <c r="N217" s="63" t="b">
        <v>0</v>
      </c>
    </row>
    <row r="218" ht="13.5" customHeight="1">
      <c r="A218" s="46" t="s">
        <v>43</v>
      </c>
      <c r="B218" s="69" t="str">
        <f>IFS(L218=0,"",B218&lt;&gt;"",B218,TRUE,NOW())</f>
        <v/>
      </c>
      <c r="C218" s="70" t="s">
        <v>37</v>
      </c>
      <c r="D218" s="33"/>
      <c r="E218" s="71"/>
      <c r="F218" s="71"/>
      <c r="G218" s="71"/>
      <c r="H218" s="71"/>
      <c r="I218" s="71"/>
      <c r="J218" s="71"/>
      <c r="K218" s="72" t="s">
        <v>38</v>
      </c>
      <c r="L218" s="73">
        <f>L217-L216</f>
        <v>0</v>
      </c>
      <c r="M218" s="74" t="s">
        <v>39</v>
      </c>
      <c r="N218" s="75" t="b">
        <v>0</v>
      </c>
    </row>
    <row r="219" ht="13.5" customHeight="1">
      <c r="A219" s="64"/>
      <c r="B219" s="52" t="s">
        <v>87</v>
      </c>
      <c r="C219" s="53" t="s">
        <v>27</v>
      </c>
      <c r="D219" s="54"/>
      <c r="E219" s="55">
        <f t="shared" ref="E219:J219" si="59">E217-E220</f>
        <v>0</v>
      </c>
      <c r="F219" s="55">
        <f t="shared" si="59"/>
        <v>0</v>
      </c>
      <c r="G219" s="55">
        <f t="shared" si="59"/>
        <v>0</v>
      </c>
      <c r="H219" s="55">
        <f t="shared" si="59"/>
        <v>0</v>
      </c>
      <c r="I219" s="55">
        <f t="shared" si="59"/>
        <v>0</v>
      </c>
      <c r="J219" s="55">
        <f t="shared" si="59"/>
        <v>0</v>
      </c>
      <c r="K219" s="56"/>
      <c r="L219" s="30"/>
      <c r="M219" s="57" t="s">
        <v>28</v>
      </c>
      <c r="N219" s="58" t="b">
        <v>0</v>
      </c>
    </row>
    <row r="220" ht="13.5" customHeight="1">
      <c r="A220" s="46" t="s">
        <v>45</v>
      </c>
      <c r="B220" s="59"/>
      <c r="C220" s="53" t="s">
        <v>30</v>
      </c>
      <c r="D220" s="54"/>
      <c r="E220" s="60"/>
      <c r="F220" s="60"/>
      <c r="G220" s="60"/>
      <c r="H220" s="60"/>
      <c r="I220" s="60"/>
      <c r="J220" s="60"/>
      <c r="K220" s="61" t="s">
        <v>30</v>
      </c>
      <c r="L220" s="62">
        <f>(E220*E209)+(F220*F209)+(G220*G209)+(H220*H209)+(I220*I209)+(J220*J209)</f>
        <v>0</v>
      </c>
      <c r="M220" s="57" t="s">
        <v>31</v>
      </c>
      <c r="N220" s="63" t="b">
        <v>0</v>
      </c>
    </row>
    <row r="221" ht="13.5" customHeight="1">
      <c r="A221" s="77"/>
      <c r="B221" s="65" t="s">
        <v>47</v>
      </c>
      <c r="C221" s="53" t="s">
        <v>34</v>
      </c>
      <c r="D221" s="54"/>
      <c r="E221" s="66"/>
      <c r="F221" s="66"/>
      <c r="G221" s="66"/>
      <c r="H221" s="66"/>
      <c r="I221" s="66"/>
      <c r="J221" s="66"/>
      <c r="K221" s="67" t="s">
        <v>35</v>
      </c>
      <c r="L221" s="62">
        <f>(E221*E209)+(F221*F209)+(G221*G209)+(H221*H209)+(I221*I209)+(J221*J209)</f>
        <v>0</v>
      </c>
      <c r="M221" s="57" t="s">
        <v>36</v>
      </c>
      <c r="N221" s="63" t="b">
        <v>0</v>
      </c>
    </row>
    <row r="222" ht="15.0" customHeight="1">
      <c r="A222" s="68"/>
      <c r="B222" s="69" t="str">
        <f>IFS(L222=0,"",B222&lt;&gt;"",B222,TRUE,NOW())</f>
        <v/>
      </c>
      <c r="C222" s="70" t="s">
        <v>37</v>
      </c>
      <c r="D222" s="33"/>
      <c r="E222" s="71"/>
      <c r="F222" s="71"/>
      <c r="G222" s="71"/>
      <c r="H222" s="71"/>
      <c r="I222" s="71"/>
      <c r="J222" s="71"/>
      <c r="K222" s="72" t="s">
        <v>38</v>
      </c>
      <c r="L222" s="73">
        <f>L221-L220</f>
        <v>0</v>
      </c>
      <c r="M222" s="74" t="s">
        <v>39</v>
      </c>
      <c r="N222" s="75" t="b">
        <v>0</v>
      </c>
    </row>
    <row r="223" ht="13.5" customHeight="1">
      <c r="A223" s="78" t="s">
        <v>48</v>
      </c>
      <c r="B223" s="52" t="s">
        <v>87</v>
      </c>
      <c r="C223" s="53" t="s">
        <v>27</v>
      </c>
      <c r="D223" s="54"/>
      <c r="E223" s="55">
        <f t="shared" ref="E223:J223" si="60">E221-E224</f>
        <v>0</v>
      </c>
      <c r="F223" s="55">
        <f t="shared" si="60"/>
        <v>0</v>
      </c>
      <c r="G223" s="55">
        <f t="shared" si="60"/>
        <v>0</v>
      </c>
      <c r="H223" s="55">
        <f t="shared" si="60"/>
        <v>0</v>
      </c>
      <c r="I223" s="55">
        <f t="shared" si="60"/>
        <v>0</v>
      </c>
      <c r="J223" s="55">
        <f t="shared" si="60"/>
        <v>0</v>
      </c>
      <c r="K223" s="56"/>
      <c r="L223" s="30"/>
      <c r="M223" s="57" t="s">
        <v>28</v>
      </c>
      <c r="N223" s="58" t="b">
        <v>0</v>
      </c>
    </row>
    <row r="224" ht="13.5" customHeight="1">
      <c r="A224" s="87"/>
      <c r="B224" s="59"/>
      <c r="C224" s="53" t="s">
        <v>30</v>
      </c>
      <c r="D224" s="54"/>
      <c r="E224" s="60"/>
      <c r="F224" s="60"/>
      <c r="G224" s="60"/>
      <c r="H224" s="60"/>
      <c r="I224" s="60"/>
      <c r="J224" s="60"/>
      <c r="K224" s="61" t="s">
        <v>30</v>
      </c>
      <c r="L224" s="62">
        <f>(E224*E209)+(F224*F209)+(G224*G209)+(H224*H209)+(I224*I209)+(J224*J209)</f>
        <v>0</v>
      </c>
      <c r="M224" s="57" t="s">
        <v>31</v>
      </c>
      <c r="N224" s="63" t="b">
        <v>0</v>
      </c>
    </row>
    <row r="225" ht="13.5" customHeight="1">
      <c r="A225" s="68"/>
      <c r="B225" s="65" t="s">
        <v>49</v>
      </c>
      <c r="C225" s="53" t="s">
        <v>34</v>
      </c>
      <c r="D225" s="54"/>
      <c r="E225" s="66"/>
      <c r="F225" s="66"/>
      <c r="G225" s="66"/>
      <c r="H225" s="66"/>
      <c r="I225" s="66"/>
      <c r="J225" s="66"/>
      <c r="K225" s="67" t="s">
        <v>35</v>
      </c>
      <c r="L225" s="62">
        <f>(E225*E209)+(F225*F209)+(G225*G209)+(H225*H209)+(I225*I209)+(J225*J209)</f>
        <v>0</v>
      </c>
      <c r="M225" s="57" t="s">
        <v>36</v>
      </c>
      <c r="N225" s="63" t="b">
        <v>0</v>
      </c>
    </row>
    <row r="226" ht="13.5" customHeight="1">
      <c r="A226" s="80"/>
      <c r="B226" s="69" t="str">
        <f>IFS(L226=0,"",B226&lt;&gt;"",B226,TRUE,NOW())</f>
        <v/>
      </c>
      <c r="C226" s="53" t="s">
        <v>37</v>
      </c>
      <c r="D226" s="54"/>
      <c r="E226" s="81"/>
      <c r="F226" s="81"/>
      <c r="G226" s="81"/>
      <c r="H226" s="82"/>
      <c r="I226" s="81"/>
      <c r="J226" s="81"/>
      <c r="K226" s="72" t="s">
        <v>38</v>
      </c>
      <c r="L226" s="73">
        <f>L225-L224</f>
        <v>0</v>
      </c>
      <c r="M226" s="74" t="s">
        <v>39</v>
      </c>
      <c r="N226" s="75" t="b">
        <v>0</v>
      </c>
    </row>
    <row r="227" ht="13.5" customHeight="1">
      <c r="A227" s="83" t="s">
        <v>89</v>
      </c>
      <c r="B227" s="42" t="s">
        <v>20</v>
      </c>
      <c r="C227" s="24"/>
      <c r="D227" s="33"/>
      <c r="E227" s="43">
        <f t="shared" ref="E227:J227" si="61">E6</f>
        <v>17</v>
      </c>
      <c r="F227" s="43">
        <f t="shared" si="61"/>
        <v>27</v>
      </c>
      <c r="G227" s="43">
        <f t="shared" si="61"/>
        <v>27</v>
      </c>
      <c r="H227" s="43">
        <f t="shared" si="61"/>
        <v>27</v>
      </c>
      <c r="I227" s="43">
        <f t="shared" si="61"/>
        <v>32</v>
      </c>
      <c r="J227" s="44">
        <f t="shared" si="61"/>
        <v>37</v>
      </c>
      <c r="K227" s="42" t="s">
        <v>21</v>
      </c>
      <c r="L227" s="25"/>
      <c r="M227" s="45" t="s">
        <v>22</v>
      </c>
      <c r="N227" s="25"/>
    </row>
    <row r="228" ht="13.5" customHeight="1">
      <c r="A228" s="46" t="s">
        <v>23</v>
      </c>
      <c r="B228" s="47" t="s">
        <v>24</v>
      </c>
      <c r="C228" s="32" t="s">
        <v>25</v>
      </c>
      <c r="D228" s="33"/>
      <c r="E228" s="48"/>
      <c r="F228" s="48"/>
      <c r="G228" s="48"/>
      <c r="H228" s="48"/>
      <c r="I228" s="48"/>
      <c r="J228" s="48"/>
      <c r="K228" s="49"/>
      <c r="L228" s="25"/>
      <c r="M228" s="50"/>
      <c r="N228" s="10"/>
    </row>
    <row r="229" ht="15.0" customHeight="1">
      <c r="A229" s="92"/>
      <c r="B229" s="52" t="s">
        <v>90</v>
      </c>
      <c r="C229" s="53" t="s">
        <v>27</v>
      </c>
      <c r="D229" s="54"/>
      <c r="E229" s="55">
        <f t="shared" ref="E229:J229" si="62">E228-E230</f>
        <v>0</v>
      </c>
      <c r="F229" s="55">
        <f t="shared" si="62"/>
        <v>0</v>
      </c>
      <c r="G229" s="55">
        <f t="shared" si="62"/>
        <v>0</v>
      </c>
      <c r="H229" s="55">
        <f t="shared" si="62"/>
        <v>0</v>
      </c>
      <c r="I229" s="55">
        <f t="shared" si="62"/>
        <v>0</v>
      </c>
      <c r="J229" s="55">
        <f t="shared" si="62"/>
        <v>0</v>
      </c>
      <c r="K229" s="56"/>
      <c r="L229" s="30"/>
      <c r="M229" s="57" t="s">
        <v>28</v>
      </c>
      <c r="N229" s="58" t="b">
        <v>0</v>
      </c>
    </row>
    <row r="230" ht="13.5" customHeight="1">
      <c r="A230" s="46" t="s">
        <v>29</v>
      </c>
      <c r="B230" s="59"/>
      <c r="C230" s="53" t="s">
        <v>30</v>
      </c>
      <c r="D230" s="54"/>
      <c r="E230" s="60"/>
      <c r="F230" s="60"/>
      <c r="G230" s="60"/>
      <c r="H230" s="60"/>
      <c r="I230" s="60"/>
      <c r="J230" s="60"/>
      <c r="K230" s="61" t="s">
        <v>30</v>
      </c>
      <c r="L230" s="62">
        <f>(E230*E227)+(F230*F227)+(G230*G227)+(H230*H227)+(I230*I227)+(J230*J227)</f>
        <v>0</v>
      </c>
      <c r="M230" s="57" t="s">
        <v>31</v>
      </c>
      <c r="N230" s="63" t="b">
        <v>0</v>
      </c>
    </row>
    <row r="231" ht="13.5" customHeight="1">
      <c r="A231" s="64"/>
      <c r="B231" s="65" t="s">
        <v>33</v>
      </c>
      <c r="C231" s="53" t="s">
        <v>34</v>
      </c>
      <c r="D231" s="54"/>
      <c r="E231" s="66"/>
      <c r="F231" s="66"/>
      <c r="G231" s="66"/>
      <c r="H231" s="66"/>
      <c r="I231" s="66"/>
      <c r="J231" s="66"/>
      <c r="K231" s="67" t="s">
        <v>35</v>
      </c>
      <c r="L231" s="62">
        <f>(E231*E227)+(F231*F227)+(G231*G227)+(H231*H227)+(I231*I227)+(J231*J227)</f>
        <v>0</v>
      </c>
      <c r="M231" s="57" t="s">
        <v>36</v>
      </c>
      <c r="N231" s="63" t="b">
        <v>0</v>
      </c>
    </row>
    <row r="232" ht="13.5" customHeight="1">
      <c r="A232" s="68"/>
      <c r="B232" s="69" t="str">
        <f>IFS(L232=0,"",B232&lt;&gt;"",B232,TRUE,NOW())</f>
        <v/>
      </c>
      <c r="C232" s="70" t="s">
        <v>37</v>
      </c>
      <c r="D232" s="33"/>
      <c r="E232" s="71"/>
      <c r="F232" s="71"/>
      <c r="G232" s="71"/>
      <c r="H232" s="71"/>
      <c r="I232" s="71"/>
      <c r="J232" s="71"/>
      <c r="K232" s="72" t="s">
        <v>38</v>
      </c>
      <c r="L232" s="73">
        <f>L231-L230</f>
        <v>0</v>
      </c>
      <c r="M232" s="74" t="s">
        <v>39</v>
      </c>
      <c r="N232" s="75" t="b">
        <v>0</v>
      </c>
    </row>
    <row r="233" ht="13.5" customHeight="1">
      <c r="A233" s="46" t="s">
        <v>40</v>
      </c>
      <c r="B233" s="52" t="s">
        <v>90</v>
      </c>
      <c r="C233" s="53" t="s">
        <v>27</v>
      </c>
      <c r="D233" s="54"/>
      <c r="E233" s="55">
        <f t="shared" ref="E233:J233" si="63">E231-E234</f>
        <v>0</v>
      </c>
      <c r="F233" s="55">
        <f t="shared" si="63"/>
        <v>0</v>
      </c>
      <c r="G233" s="55">
        <f t="shared" si="63"/>
        <v>0</v>
      </c>
      <c r="H233" s="55">
        <f t="shared" si="63"/>
        <v>0</v>
      </c>
      <c r="I233" s="55">
        <f t="shared" si="63"/>
        <v>0</v>
      </c>
      <c r="J233" s="55">
        <f t="shared" si="63"/>
        <v>0</v>
      </c>
      <c r="K233" s="56"/>
      <c r="L233" s="30"/>
      <c r="M233" s="57" t="s">
        <v>28</v>
      </c>
      <c r="N233" s="58" t="b">
        <v>0</v>
      </c>
    </row>
    <row r="234" ht="15.0" customHeight="1">
      <c r="A234" s="64"/>
      <c r="B234" s="59"/>
      <c r="C234" s="53" t="s">
        <v>30</v>
      </c>
      <c r="D234" s="54"/>
      <c r="E234" s="60"/>
      <c r="F234" s="60"/>
      <c r="G234" s="60"/>
      <c r="H234" s="60"/>
      <c r="I234" s="60"/>
      <c r="J234" s="60"/>
      <c r="K234" s="61" t="s">
        <v>30</v>
      </c>
      <c r="L234" s="62">
        <f>(E234*E227)+(F234*F227)+(G234*G227)+(H234*H227)+(I234*I227)+(J234*J227)</f>
        <v>0</v>
      </c>
      <c r="M234" s="57" t="s">
        <v>31</v>
      </c>
      <c r="N234" s="63" t="b">
        <v>0</v>
      </c>
    </row>
    <row r="235" ht="13.5" customHeight="1">
      <c r="A235" s="68"/>
      <c r="B235" s="65" t="s">
        <v>42</v>
      </c>
      <c r="C235" s="53" t="s">
        <v>34</v>
      </c>
      <c r="D235" s="54"/>
      <c r="E235" s="66"/>
      <c r="F235" s="66"/>
      <c r="G235" s="66"/>
      <c r="H235" s="66"/>
      <c r="I235" s="66"/>
      <c r="J235" s="66"/>
      <c r="K235" s="67" t="s">
        <v>35</v>
      </c>
      <c r="L235" s="62">
        <f>(E235*E227)+(F235*F227)+(G235*G227)+(H235*H227)+(I235*I227)+(J235*J227)</f>
        <v>0</v>
      </c>
      <c r="M235" s="57" t="s">
        <v>36</v>
      </c>
      <c r="N235" s="63" t="b">
        <v>0</v>
      </c>
    </row>
    <row r="236" ht="13.5" customHeight="1">
      <c r="A236" s="46" t="s">
        <v>43</v>
      </c>
      <c r="B236" s="69" t="str">
        <f>IFS(L236=0,"",B236&lt;&gt;"",B236,TRUE,NOW())</f>
        <v/>
      </c>
      <c r="C236" s="70" t="s">
        <v>37</v>
      </c>
      <c r="D236" s="33"/>
      <c r="E236" s="71"/>
      <c r="F236" s="71"/>
      <c r="G236" s="71"/>
      <c r="H236" s="71"/>
      <c r="I236" s="71"/>
      <c r="J236" s="71"/>
      <c r="K236" s="72" t="s">
        <v>38</v>
      </c>
      <c r="L236" s="73">
        <f>L235-L234</f>
        <v>0</v>
      </c>
      <c r="M236" s="74" t="s">
        <v>39</v>
      </c>
      <c r="N236" s="75" t="b">
        <v>0</v>
      </c>
    </row>
    <row r="237" ht="13.5" customHeight="1">
      <c r="A237" s="64"/>
      <c r="B237" s="52" t="s">
        <v>90</v>
      </c>
      <c r="C237" s="53" t="s">
        <v>27</v>
      </c>
      <c r="D237" s="54"/>
      <c r="E237" s="55">
        <f t="shared" ref="E237:J237" si="64">E235-E238</f>
        <v>0</v>
      </c>
      <c r="F237" s="55">
        <f t="shared" si="64"/>
        <v>0</v>
      </c>
      <c r="G237" s="55">
        <f t="shared" si="64"/>
        <v>0</v>
      </c>
      <c r="H237" s="55">
        <f t="shared" si="64"/>
        <v>0</v>
      </c>
      <c r="I237" s="55">
        <f t="shared" si="64"/>
        <v>0</v>
      </c>
      <c r="J237" s="55">
        <f t="shared" si="64"/>
        <v>0</v>
      </c>
      <c r="K237" s="56"/>
      <c r="L237" s="30"/>
      <c r="M237" s="57" t="s">
        <v>28</v>
      </c>
      <c r="N237" s="58" t="b">
        <v>0</v>
      </c>
    </row>
    <row r="238" ht="13.5" customHeight="1">
      <c r="A238" s="46" t="s">
        <v>45</v>
      </c>
      <c r="B238" s="59"/>
      <c r="C238" s="53" t="s">
        <v>30</v>
      </c>
      <c r="D238" s="54"/>
      <c r="E238" s="60"/>
      <c r="F238" s="60"/>
      <c r="G238" s="60"/>
      <c r="H238" s="60"/>
      <c r="I238" s="60"/>
      <c r="J238" s="60"/>
      <c r="K238" s="61" t="s">
        <v>30</v>
      </c>
      <c r="L238" s="62">
        <f>(E238*E227)+(F238*F227)+(G238*G227)+(H238*H227)+(I238*I227)+(J238*J227)</f>
        <v>0</v>
      </c>
      <c r="M238" s="57" t="s">
        <v>31</v>
      </c>
      <c r="N238" s="63" t="b">
        <v>0</v>
      </c>
    </row>
    <row r="239" ht="15.0" customHeight="1">
      <c r="A239" s="77"/>
      <c r="B239" s="65" t="s">
        <v>47</v>
      </c>
      <c r="C239" s="53" t="s">
        <v>34</v>
      </c>
      <c r="D239" s="54"/>
      <c r="E239" s="66"/>
      <c r="F239" s="66"/>
      <c r="G239" s="66"/>
      <c r="H239" s="66"/>
      <c r="I239" s="66"/>
      <c r="J239" s="66"/>
      <c r="K239" s="67" t="s">
        <v>35</v>
      </c>
      <c r="L239" s="62">
        <f>(E239*E227)+(F239*F227)+(G239*G227)+(H239*H227)+(I239*I227)+(J239*J227)</f>
        <v>0</v>
      </c>
      <c r="M239" s="57" t="s">
        <v>36</v>
      </c>
      <c r="N239" s="63" t="b">
        <v>0</v>
      </c>
    </row>
    <row r="240" ht="13.5" customHeight="1">
      <c r="A240" s="68"/>
      <c r="B240" s="69" t="str">
        <f>IFS(L240=0,"",B240&lt;&gt;"",B240,TRUE,NOW())</f>
        <v/>
      </c>
      <c r="C240" s="70" t="s">
        <v>37</v>
      </c>
      <c r="D240" s="33"/>
      <c r="E240" s="71"/>
      <c r="F240" s="71"/>
      <c r="G240" s="71"/>
      <c r="H240" s="71"/>
      <c r="I240" s="71"/>
      <c r="J240" s="71"/>
      <c r="K240" s="72" t="s">
        <v>38</v>
      </c>
      <c r="L240" s="73">
        <f>L239-L238</f>
        <v>0</v>
      </c>
      <c r="M240" s="74" t="s">
        <v>39</v>
      </c>
      <c r="N240" s="75" t="b">
        <v>0</v>
      </c>
    </row>
    <row r="241" ht="13.5" customHeight="1">
      <c r="A241" s="78" t="s">
        <v>48</v>
      </c>
      <c r="B241" s="52" t="s">
        <v>90</v>
      </c>
      <c r="C241" s="53" t="s">
        <v>27</v>
      </c>
      <c r="D241" s="54"/>
      <c r="E241" s="55">
        <f t="shared" ref="E241:J241" si="65">E239-E242</f>
        <v>0</v>
      </c>
      <c r="F241" s="55">
        <f t="shared" si="65"/>
        <v>0</v>
      </c>
      <c r="G241" s="55">
        <f t="shared" si="65"/>
        <v>0</v>
      </c>
      <c r="H241" s="55">
        <f t="shared" si="65"/>
        <v>0</v>
      </c>
      <c r="I241" s="55">
        <f t="shared" si="65"/>
        <v>0</v>
      </c>
      <c r="J241" s="55">
        <f t="shared" si="65"/>
        <v>0</v>
      </c>
      <c r="K241" s="56"/>
      <c r="L241" s="30"/>
      <c r="M241" s="57" t="s">
        <v>28</v>
      </c>
      <c r="N241" s="58" t="b">
        <v>0</v>
      </c>
    </row>
    <row r="242" ht="13.5" customHeight="1">
      <c r="A242" s="87"/>
      <c r="B242" s="59"/>
      <c r="C242" s="53" t="s">
        <v>30</v>
      </c>
      <c r="D242" s="54"/>
      <c r="E242" s="60"/>
      <c r="F242" s="60"/>
      <c r="G242" s="60"/>
      <c r="H242" s="60"/>
      <c r="I242" s="60"/>
      <c r="J242" s="60"/>
      <c r="K242" s="61" t="s">
        <v>30</v>
      </c>
      <c r="L242" s="62">
        <f>(E242*E227)+(F242*F227)+(G242*G227)+(H242*H227)+(I242*I227)+(J242*J227)</f>
        <v>0</v>
      </c>
      <c r="M242" s="57" t="s">
        <v>31</v>
      </c>
      <c r="N242" s="63" t="b">
        <v>0</v>
      </c>
    </row>
    <row r="243" ht="13.5" customHeight="1">
      <c r="A243" s="68"/>
      <c r="B243" s="65" t="s">
        <v>49</v>
      </c>
      <c r="C243" s="53" t="s">
        <v>34</v>
      </c>
      <c r="D243" s="54"/>
      <c r="E243" s="66"/>
      <c r="F243" s="66"/>
      <c r="G243" s="66"/>
      <c r="H243" s="66"/>
      <c r="I243" s="66"/>
      <c r="J243" s="66"/>
      <c r="K243" s="67" t="s">
        <v>35</v>
      </c>
      <c r="L243" s="62">
        <f>(E243*E227)+(F243*F227)+(G243*G227)+(H243*H227)+(I243*I227)+(J243*J227)</f>
        <v>0</v>
      </c>
      <c r="M243" s="57" t="s">
        <v>36</v>
      </c>
      <c r="N243" s="63" t="b">
        <v>0</v>
      </c>
    </row>
    <row r="244" ht="15.0" customHeight="1">
      <c r="A244" s="80"/>
      <c r="B244" s="69" t="str">
        <f>IFS(L244=0,"",B244&lt;&gt;"",B244,TRUE,NOW())</f>
        <v/>
      </c>
      <c r="C244" s="53" t="s">
        <v>37</v>
      </c>
      <c r="D244" s="54"/>
      <c r="E244" s="81"/>
      <c r="F244" s="81"/>
      <c r="G244" s="81"/>
      <c r="H244" s="82"/>
      <c r="I244" s="81"/>
      <c r="J244" s="81"/>
      <c r="K244" s="72" t="s">
        <v>38</v>
      </c>
      <c r="L244" s="73">
        <f>L243-L242</f>
        <v>0</v>
      </c>
      <c r="M244" s="74" t="s">
        <v>39</v>
      </c>
      <c r="N244" s="75" t="b">
        <v>0</v>
      </c>
    </row>
    <row r="245" ht="13.5" customHeight="1">
      <c r="A245" s="83" t="s">
        <v>92</v>
      </c>
      <c r="B245" s="42" t="s">
        <v>20</v>
      </c>
      <c r="C245" s="24"/>
      <c r="D245" s="33"/>
      <c r="E245" s="43">
        <f t="shared" ref="E245:J245" si="66">E6</f>
        <v>17</v>
      </c>
      <c r="F245" s="43">
        <f t="shared" si="66"/>
        <v>27</v>
      </c>
      <c r="G245" s="43">
        <f t="shared" si="66"/>
        <v>27</v>
      </c>
      <c r="H245" s="43">
        <f t="shared" si="66"/>
        <v>27</v>
      </c>
      <c r="I245" s="43">
        <f t="shared" si="66"/>
        <v>32</v>
      </c>
      <c r="J245" s="44">
        <f t="shared" si="66"/>
        <v>37</v>
      </c>
      <c r="K245" s="42" t="s">
        <v>21</v>
      </c>
      <c r="L245" s="25"/>
      <c r="M245" s="45" t="s">
        <v>22</v>
      </c>
      <c r="N245" s="25"/>
    </row>
    <row r="246" ht="13.5" customHeight="1">
      <c r="A246" s="46" t="s">
        <v>23</v>
      </c>
      <c r="B246" s="47" t="s">
        <v>24</v>
      </c>
      <c r="C246" s="32" t="s">
        <v>25</v>
      </c>
      <c r="D246" s="33"/>
      <c r="E246" s="48"/>
      <c r="F246" s="48"/>
      <c r="G246" s="48"/>
      <c r="H246" s="48"/>
      <c r="I246" s="48"/>
      <c r="J246" s="48"/>
      <c r="K246" s="49"/>
      <c r="L246" s="25"/>
      <c r="M246" s="50"/>
      <c r="N246" s="10"/>
    </row>
    <row r="247" ht="13.5" customHeight="1">
      <c r="A247" s="92"/>
      <c r="B247" s="52" t="s">
        <v>93</v>
      </c>
      <c r="C247" s="53" t="s">
        <v>27</v>
      </c>
      <c r="D247" s="54"/>
      <c r="E247" s="55">
        <f t="shared" ref="E247:J247" si="67">E246-E248</f>
        <v>0</v>
      </c>
      <c r="F247" s="55">
        <f t="shared" si="67"/>
        <v>0</v>
      </c>
      <c r="G247" s="55">
        <f t="shared" si="67"/>
        <v>0</v>
      </c>
      <c r="H247" s="55">
        <f t="shared" si="67"/>
        <v>0</v>
      </c>
      <c r="I247" s="55">
        <f t="shared" si="67"/>
        <v>0</v>
      </c>
      <c r="J247" s="55">
        <f t="shared" si="67"/>
        <v>0</v>
      </c>
      <c r="K247" s="56"/>
      <c r="L247" s="30"/>
      <c r="M247" s="57" t="s">
        <v>28</v>
      </c>
      <c r="N247" s="58" t="b">
        <v>0</v>
      </c>
    </row>
    <row r="248" ht="13.5" customHeight="1">
      <c r="A248" s="46" t="s">
        <v>29</v>
      </c>
      <c r="B248" s="59"/>
      <c r="C248" s="53" t="s">
        <v>30</v>
      </c>
      <c r="D248" s="54"/>
      <c r="E248" s="60"/>
      <c r="F248" s="60"/>
      <c r="G248" s="60"/>
      <c r="H248" s="60"/>
      <c r="I248" s="60"/>
      <c r="J248" s="60"/>
      <c r="K248" s="61" t="s">
        <v>30</v>
      </c>
      <c r="L248" s="62">
        <f>(E248*E245)+(F248*F245)+(G248*G245)+(H248*H245)+(I248*I245)+(J248*J245)</f>
        <v>0</v>
      </c>
      <c r="M248" s="57" t="s">
        <v>31</v>
      </c>
      <c r="N248" s="63" t="b">
        <v>0</v>
      </c>
    </row>
    <row r="249" ht="13.5" customHeight="1">
      <c r="A249" s="64"/>
      <c r="B249" s="65" t="s">
        <v>33</v>
      </c>
      <c r="C249" s="53" t="s">
        <v>34</v>
      </c>
      <c r="D249" s="54"/>
      <c r="E249" s="66"/>
      <c r="F249" s="66"/>
      <c r="G249" s="66"/>
      <c r="H249" s="66"/>
      <c r="I249" s="66"/>
      <c r="J249" s="66"/>
      <c r="K249" s="67" t="s">
        <v>35</v>
      </c>
      <c r="L249" s="62">
        <f>(E249*E245)+(F249*F245)+(G249*G245)+(H249*H245)+(I249*I245)+(J249*J245)</f>
        <v>0</v>
      </c>
      <c r="M249" s="57" t="s">
        <v>36</v>
      </c>
      <c r="N249" s="63" t="b">
        <v>0</v>
      </c>
    </row>
    <row r="250" ht="13.5" customHeight="1">
      <c r="A250" s="68"/>
      <c r="B250" s="69" t="str">
        <f>IFS(L250=0,"",B250&lt;&gt;"",B250,TRUE,NOW())</f>
        <v/>
      </c>
      <c r="C250" s="70" t="s">
        <v>37</v>
      </c>
      <c r="D250" s="33"/>
      <c r="E250" s="71"/>
      <c r="F250" s="71"/>
      <c r="G250" s="71"/>
      <c r="H250" s="71"/>
      <c r="I250" s="71"/>
      <c r="J250" s="71"/>
      <c r="K250" s="72" t="s">
        <v>38</v>
      </c>
      <c r="L250" s="73">
        <f>L249-L248</f>
        <v>0</v>
      </c>
      <c r="M250" s="74" t="s">
        <v>39</v>
      </c>
      <c r="N250" s="75" t="b">
        <v>0</v>
      </c>
    </row>
    <row r="251" ht="15.0" customHeight="1">
      <c r="A251" s="46" t="s">
        <v>40</v>
      </c>
      <c r="B251" s="52" t="s">
        <v>93</v>
      </c>
      <c r="C251" s="53" t="s">
        <v>27</v>
      </c>
      <c r="D251" s="54"/>
      <c r="E251" s="55">
        <f t="shared" ref="E251:J251" si="68">E249-E252</f>
        <v>0</v>
      </c>
      <c r="F251" s="55">
        <f t="shared" si="68"/>
        <v>0</v>
      </c>
      <c r="G251" s="55">
        <f t="shared" si="68"/>
        <v>0</v>
      </c>
      <c r="H251" s="55">
        <f t="shared" si="68"/>
        <v>0</v>
      </c>
      <c r="I251" s="55">
        <f t="shared" si="68"/>
        <v>0</v>
      </c>
      <c r="J251" s="55">
        <f t="shared" si="68"/>
        <v>0</v>
      </c>
      <c r="K251" s="56"/>
      <c r="L251" s="30"/>
      <c r="M251" s="57" t="s">
        <v>28</v>
      </c>
      <c r="N251" s="58" t="b">
        <v>0</v>
      </c>
    </row>
    <row r="252" ht="13.5" customHeight="1">
      <c r="A252" s="64"/>
      <c r="B252" s="59"/>
      <c r="C252" s="53" t="s">
        <v>30</v>
      </c>
      <c r="D252" s="54"/>
      <c r="E252" s="60"/>
      <c r="F252" s="60"/>
      <c r="G252" s="60"/>
      <c r="H252" s="60"/>
      <c r="I252" s="60"/>
      <c r="J252" s="60"/>
      <c r="K252" s="61" t="s">
        <v>30</v>
      </c>
      <c r="L252" s="62">
        <f>(E252*E245)+(F252*F245)+(G252*G245)+(H252*H245)+(I252*I245)+(J252*J245)</f>
        <v>0</v>
      </c>
      <c r="M252" s="57" t="s">
        <v>31</v>
      </c>
      <c r="N252" s="63" t="b">
        <v>0</v>
      </c>
    </row>
    <row r="253" ht="13.5" customHeight="1">
      <c r="A253" s="68"/>
      <c r="B253" s="65" t="s">
        <v>42</v>
      </c>
      <c r="C253" s="53" t="s">
        <v>34</v>
      </c>
      <c r="D253" s="54"/>
      <c r="E253" s="66"/>
      <c r="F253" s="76"/>
      <c r="G253" s="76"/>
      <c r="H253" s="76"/>
      <c r="I253" s="76"/>
      <c r="J253" s="76"/>
      <c r="K253" s="67" t="s">
        <v>35</v>
      </c>
      <c r="L253" s="62">
        <f>(E253*E245)+(F253*F245)+(G253*G245)+(H253*H245)+(I253*I245)+(J253*J245)</f>
        <v>0</v>
      </c>
      <c r="M253" s="57" t="s">
        <v>36</v>
      </c>
      <c r="N253" s="63" t="b">
        <v>0</v>
      </c>
    </row>
    <row r="254" ht="13.5" customHeight="1">
      <c r="A254" s="46" t="s">
        <v>43</v>
      </c>
      <c r="B254" s="69" t="str">
        <f>IFS(L254=0,"",B254&lt;&gt;"",B254,TRUE,NOW())</f>
        <v/>
      </c>
      <c r="C254" s="70" t="s">
        <v>37</v>
      </c>
      <c r="D254" s="33"/>
      <c r="E254" s="71"/>
      <c r="F254" s="71"/>
      <c r="G254" s="71"/>
      <c r="H254" s="71"/>
      <c r="I254" s="71"/>
      <c r="J254" s="71"/>
      <c r="K254" s="72" t="s">
        <v>38</v>
      </c>
      <c r="L254" s="73">
        <f>L253-L252</f>
        <v>0</v>
      </c>
      <c r="M254" s="74" t="s">
        <v>39</v>
      </c>
      <c r="N254" s="75" t="b">
        <v>0</v>
      </c>
    </row>
    <row r="255" ht="13.5" customHeight="1">
      <c r="A255" s="64"/>
      <c r="B255" s="52" t="s">
        <v>93</v>
      </c>
      <c r="C255" s="53" t="s">
        <v>27</v>
      </c>
      <c r="D255" s="54"/>
      <c r="E255" s="55">
        <f t="shared" ref="E255:J255" si="69">E253-E256</f>
        <v>0</v>
      </c>
      <c r="F255" s="55">
        <f t="shared" si="69"/>
        <v>0</v>
      </c>
      <c r="G255" s="55">
        <f t="shared" si="69"/>
        <v>0</v>
      </c>
      <c r="H255" s="55">
        <f t="shared" si="69"/>
        <v>0</v>
      </c>
      <c r="I255" s="55">
        <f t="shared" si="69"/>
        <v>0</v>
      </c>
      <c r="J255" s="55">
        <f t="shared" si="69"/>
        <v>0</v>
      </c>
      <c r="K255" s="56"/>
      <c r="L255" s="30"/>
      <c r="M255" s="57" t="s">
        <v>28</v>
      </c>
      <c r="N255" s="58" t="b">
        <v>0</v>
      </c>
    </row>
    <row r="256" ht="15.0" customHeight="1">
      <c r="A256" s="46" t="s">
        <v>45</v>
      </c>
      <c r="B256" s="59"/>
      <c r="C256" s="53" t="s">
        <v>30</v>
      </c>
      <c r="D256" s="54"/>
      <c r="E256" s="60"/>
      <c r="F256" s="60"/>
      <c r="G256" s="60"/>
      <c r="H256" s="60"/>
      <c r="I256" s="60"/>
      <c r="J256" s="60"/>
      <c r="K256" s="61" t="s">
        <v>30</v>
      </c>
      <c r="L256" s="62">
        <f>(E256*E245)+(F256*F245)+(G256*G245)+(H256*H245)+(I256*I245)+(J256*J245)</f>
        <v>0</v>
      </c>
      <c r="M256" s="57" t="s">
        <v>31</v>
      </c>
      <c r="N256" s="63" t="b">
        <v>0</v>
      </c>
    </row>
    <row r="257" ht="13.5" customHeight="1">
      <c r="A257" s="77"/>
      <c r="B257" s="65" t="s">
        <v>47</v>
      </c>
      <c r="C257" s="53" t="s">
        <v>34</v>
      </c>
      <c r="D257" s="54"/>
      <c r="E257" s="66"/>
      <c r="F257" s="66"/>
      <c r="G257" s="66"/>
      <c r="H257" s="66"/>
      <c r="I257" s="66"/>
      <c r="J257" s="66"/>
      <c r="K257" s="67" t="s">
        <v>35</v>
      </c>
      <c r="L257" s="62">
        <f>(E257*E245)+(F257*F245)+(G257*G245)+(H257*H245)+(I257*I245)+(J257*J245)</f>
        <v>0</v>
      </c>
      <c r="M257" s="57" t="s">
        <v>36</v>
      </c>
      <c r="N257" s="63" t="b">
        <v>0</v>
      </c>
    </row>
    <row r="258" ht="13.5" customHeight="1">
      <c r="A258" s="68"/>
      <c r="B258" s="69" t="str">
        <f>IFS(L258=0,"",B258&lt;&gt;"",B258,TRUE,NOW())</f>
        <v/>
      </c>
      <c r="C258" s="70" t="s">
        <v>37</v>
      </c>
      <c r="D258" s="33"/>
      <c r="E258" s="71"/>
      <c r="F258" s="71"/>
      <c r="G258" s="71"/>
      <c r="H258" s="71"/>
      <c r="I258" s="71"/>
      <c r="J258" s="71"/>
      <c r="K258" s="72" t="s">
        <v>38</v>
      </c>
      <c r="L258" s="73">
        <f>L257-L256</f>
        <v>0</v>
      </c>
      <c r="M258" s="74" t="s">
        <v>39</v>
      </c>
      <c r="N258" s="75" t="b">
        <v>0</v>
      </c>
    </row>
    <row r="259" ht="13.5" customHeight="1">
      <c r="A259" s="78" t="s">
        <v>48</v>
      </c>
      <c r="B259" s="52" t="s">
        <v>93</v>
      </c>
      <c r="C259" s="53" t="s">
        <v>27</v>
      </c>
      <c r="D259" s="54"/>
      <c r="E259" s="55">
        <f t="shared" ref="E259:J259" si="70">E257-E260</f>
        <v>0</v>
      </c>
      <c r="F259" s="55">
        <f t="shared" si="70"/>
        <v>0</v>
      </c>
      <c r="G259" s="55">
        <f t="shared" si="70"/>
        <v>0</v>
      </c>
      <c r="H259" s="55">
        <f t="shared" si="70"/>
        <v>0</v>
      </c>
      <c r="I259" s="55">
        <f t="shared" si="70"/>
        <v>0</v>
      </c>
      <c r="J259" s="55">
        <f t="shared" si="70"/>
        <v>0</v>
      </c>
      <c r="K259" s="56"/>
      <c r="L259" s="30"/>
      <c r="M259" s="57" t="s">
        <v>28</v>
      </c>
      <c r="N259" s="58" t="b">
        <v>0</v>
      </c>
    </row>
    <row r="260" ht="13.5" customHeight="1">
      <c r="A260" s="87"/>
      <c r="B260" s="59"/>
      <c r="C260" s="53" t="s">
        <v>30</v>
      </c>
      <c r="D260" s="54"/>
      <c r="E260" s="60"/>
      <c r="F260" s="60"/>
      <c r="G260" s="60"/>
      <c r="H260" s="60"/>
      <c r="I260" s="60"/>
      <c r="J260" s="60"/>
      <c r="K260" s="61" t="s">
        <v>30</v>
      </c>
      <c r="L260" s="62">
        <f>(E260*E245)+(F260*F245)+(G260*G245)+(H260*H245)+(I260*I245)+(J260*J245)</f>
        <v>0</v>
      </c>
      <c r="M260" s="57" t="s">
        <v>31</v>
      </c>
      <c r="N260" s="63" t="b">
        <v>0</v>
      </c>
    </row>
    <row r="261" ht="15.0" customHeight="1">
      <c r="A261" s="68"/>
      <c r="B261" s="65" t="s">
        <v>49</v>
      </c>
      <c r="C261" s="53" t="s">
        <v>34</v>
      </c>
      <c r="D261" s="54"/>
      <c r="E261" s="66"/>
      <c r="F261" s="66"/>
      <c r="G261" s="66"/>
      <c r="H261" s="66"/>
      <c r="I261" s="66"/>
      <c r="J261" s="66"/>
      <c r="K261" s="67" t="s">
        <v>35</v>
      </c>
      <c r="L261" s="62">
        <f>(E261*E245)+(F261*F245)+(G261*G245)+(H261*H245)+(I261*I245)+(J261*J245)</f>
        <v>0</v>
      </c>
      <c r="M261" s="57" t="s">
        <v>36</v>
      </c>
      <c r="N261" s="63" t="b">
        <v>0</v>
      </c>
    </row>
    <row r="262" ht="13.5" customHeight="1">
      <c r="A262" s="80"/>
      <c r="B262" s="69" t="str">
        <f>IFS(L262=0,"",B262&lt;&gt;"",B262,TRUE,NOW())</f>
        <v/>
      </c>
      <c r="C262" s="86" t="s">
        <v>37</v>
      </c>
      <c r="D262" s="59"/>
      <c r="E262" s="81"/>
      <c r="F262" s="81"/>
      <c r="G262" s="81"/>
      <c r="H262" s="82"/>
      <c r="I262" s="81"/>
      <c r="J262" s="81"/>
      <c r="K262" s="72" t="s">
        <v>38</v>
      </c>
      <c r="L262" s="73">
        <f>L261-L260</f>
        <v>0</v>
      </c>
      <c r="M262" s="74" t="s">
        <v>39</v>
      </c>
      <c r="N262" s="75" t="b">
        <v>0</v>
      </c>
    </row>
    <row r="263" ht="13.5" customHeight="1">
      <c r="A263" s="83" t="s">
        <v>95</v>
      </c>
      <c r="B263" s="42" t="s">
        <v>20</v>
      </c>
      <c r="C263" s="24"/>
      <c r="D263" s="33"/>
      <c r="E263" s="43">
        <f t="shared" ref="E263:J263" si="71">E6</f>
        <v>17</v>
      </c>
      <c r="F263" s="43">
        <f t="shared" si="71"/>
        <v>27</v>
      </c>
      <c r="G263" s="43">
        <f t="shared" si="71"/>
        <v>27</v>
      </c>
      <c r="H263" s="43">
        <f t="shared" si="71"/>
        <v>27</v>
      </c>
      <c r="I263" s="43">
        <f t="shared" si="71"/>
        <v>32</v>
      </c>
      <c r="J263" s="44">
        <f t="shared" si="71"/>
        <v>37</v>
      </c>
      <c r="K263" s="42" t="s">
        <v>21</v>
      </c>
      <c r="L263" s="25"/>
      <c r="M263" s="45" t="s">
        <v>22</v>
      </c>
      <c r="N263" s="25"/>
    </row>
    <row r="264" ht="13.5" customHeight="1">
      <c r="A264" s="46" t="s">
        <v>23</v>
      </c>
      <c r="B264" s="47" t="s">
        <v>24</v>
      </c>
      <c r="C264" s="32" t="s">
        <v>25</v>
      </c>
      <c r="D264" s="33"/>
      <c r="E264" s="48"/>
      <c r="F264" s="48"/>
      <c r="G264" s="48"/>
      <c r="H264" s="48"/>
      <c r="I264" s="48"/>
      <c r="J264" s="48"/>
      <c r="K264" s="49"/>
      <c r="L264" s="25"/>
      <c r="M264" s="50"/>
      <c r="N264" s="10"/>
    </row>
    <row r="265" ht="13.5" customHeight="1">
      <c r="A265" s="92"/>
      <c r="B265" s="52" t="s">
        <v>96</v>
      </c>
      <c r="C265" s="53" t="s">
        <v>27</v>
      </c>
      <c r="D265" s="54"/>
      <c r="E265" s="55">
        <f t="shared" ref="E265:J265" si="72">E264-E266</f>
        <v>0</v>
      </c>
      <c r="F265" s="55">
        <f t="shared" si="72"/>
        <v>0</v>
      </c>
      <c r="G265" s="55">
        <f t="shared" si="72"/>
        <v>0</v>
      </c>
      <c r="H265" s="55">
        <f t="shared" si="72"/>
        <v>0</v>
      </c>
      <c r="I265" s="55">
        <f t="shared" si="72"/>
        <v>0</v>
      </c>
      <c r="J265" s="55">
        <f t="shared" si="72"/>
        <v>0</v>
      </c>
      <c r="K265" s="56"/>
      <c r="L265" s="30"/>
      <c r="M265" s="57" t="s">
        <v>28</v>
      </c>
      <c r="N265" s="58" t="b">
        <v>0</v>
      </c>
    </row>
    <row r="266" ht="15.0" customHeight="1">
      <c r="A266" s="46" t="s">
        <v>29</v>
      </c>
      <c r="B266" s="59"/>
      <c r="C266" s="53" t="s">
        <v>30</v>
      </c>
      <c r="D266" s="54"/>
      <c r="E266" s="60"/>
      <c r="F266" s="60"/>
      <c r="G266" s="60"/>
      <c r="H266" s="60"/>
      <c r="I266" s="60"/>
      <c r="J266" s="60"/>
      <c r="K266" s="61" t="s">
        <v>30</v>
      </c>
      <c r="L266" s="62">
        <f>(E266*E263)+(F266*F263)+(G266*G263)+(H266*H263)+(I266*I263)+(J266*J263)</f>
        <v>0</v>
      </c>
      <c r="M266" s="57" t="s">
        <v>31</v>
      </c>
      <c r="N266" s="63" t="b">
        <v>0</v>
      </c>
    </row>
    <row r="267" ht="13.5" customHeight="1">
      <c r="A267" s="64"/>
      <c r="B267" s="65" t="s">
        <v>33</v>
      </c>
      <c r="C267" s="53" t="s">
        <v>34</v>
      </c>
      <c r="D267" s="54"/>
      <c r="E267" s="66"/>
      <c r="F267" s="66"/>
      <c r="G267" s="66"/>
      <c r="H267" s="66"/>
      <c r="I267" s="66"/>
      <c r="J267" s="66"/>
      <c r="K267" s="67" t="s">
        <v>35</v>
      </c>
      <c r="L267" s="62">
        <f>(E267*E263)+(F267*F263)+(G267*G263)+(H267*H263)+(I267*I263)+(J267*J263)</f>
        <v>0</v>
      </c>
      <c r="M267" s="57" t="s">
        <v>36</v>
      </c>
      <c r="N267" s="63" t="b">
        <v>0</v>
      </c>
    </row>
    <row r="268" ht="13.5" customHeight="1">
      <c r="A268" s="68"/>
      <c r="B268" s="69" t="str">
        <f>IFS(L268=0,"",B268&lt;&gt;"",B268,TRUE,NOW())</f>
        <v/>
      </c>
      <c r="C268" s="70" t="s">
        <v>37</v>
      </c>
      <c r="D268" s="33"/>
      <c r="E268" s="71"/>
      <c r="F268" s="71"/>
      <c r="G268" s="71"/>
      <c r="H268" s="71"/>
      <c r="I268" s="71"/>
      <c r="J268" s="71"/>
      <c r="K268" s="72" t="s">
        <v>38</v>
      </c>
      <c r="L268" s="73">
        <f>L267-L266</f>
        <v>0</v>
      </c>
      <c r="M268" s="74" t="s">
        <v>39</v>
      </c>
      <c r="N268" s="75" t="b">
        <v>0</v>
      </c>
    </row>
    <row r="269" ht="13.5" customHeight="1">
      <c r="A269" s="46" t="s">
        <v>40</v>
      </c>
      <c r="B269" s="52" t="s">
        <v>96</v>
      </c>
      <c r="C269" s="53" t="s">
        <v>27</v>
      </c>
      <c r="D269" s="54"/>
      <c r="E269" s="55">
        <f t="shared" ref="E269:J269" si="73">E267-E270</f>
        <v>0</v>
      </c>
      <c r="F269" s="55">
        <f t="shared" si="73"/>
        <v>0</v>
      </c>
      <c r="G269" s="55">
        <f t="shared" si="73"/>
        <v>0</v>
      </c>
      <c r="H269" s="55">
        <f t="shared" si="73"/>
        <v>0</v>
      </c>
      <c r="I269" s="55">
        <f t="shared" si="73"/>
        <v>0</v>
      </c>
      <c r="J269" s="55">
        <f t="shared" si="73"/>
        <v>0</v>
      </c>
      <c r="K269" s="56"/>
      <c r="L269" s="30"/>
      <c r="M269" s="57" t="s">
        <v>28</v>
      </c>
      <c r="N269" s="58" t="b">
        <v>0</v>
      </c>
    </row>
    <row r="270" ht="13.5" customHeight="1">
      <c r="A270" s="64"/>
      <c r="B270" s="59"/>
      <c r="C270" s="53" t="s">
        <v>30</v>
      </c>
      <c r="D270" s="54"/>
      <c r="E270" s="60"/>
      <c r="F270" s="60"/>
      <c r="G270" s="60"/>
      <c r="H270" s="60"/>
      <c r="I270" s="60"/>
      <c r="J270" s="60"/>
      <c r="K270" s="61" t="s">
        <v>30</v>
      </c>
      <c r="L270" s="62">
        <f>(E270*E263)+(F270*F263)+(G270*G263)+(H270*H263)+(I270*I263)+(J270*J263)</f>
        <v>0</v>
      </c>
      <c r="M270" s="57" t="s">
        <v>31</v>
      </c>
      <c r="N270" s="63" t="b">
        <v>0</v>
      </c>
    </row>
    <row r="271" ht="13.5" customHeight="1">
      <c r="A271" s="68"/>
      <c r="B271" s="65" t="s">
        <v>42</v>
      </c>
      <c r="C271" s="53" t="s">
        <v>34</v>
      </c>
      <c r="D271" s="54"/>
      <c r="E271" s="66"/>
      <c r="F271" s="76"/>
      <c r="G271" s="76"/>
      <c r="H271" s="76"/>
      <c r="I271" s="76"/>
      <c r="J271" s="76"/>
      <c r="K271" s="67" t="s">
        <v>35</v>
      </c>
      <c r="L271" s="62">
        <f>(E271*E263)+(F271*F263)+(G271*G263)+(H271*H263)+(I271*I263)+(J271*J263)</f>
        <v>0</v>
      </c>
      <c r="M271" s="57" t="s">
        <v>36</v>
      </c>
      <c r="N271" s="63" t="b">
        <v>0</v>
      </c>
    </row>
    <row r="272" ht="13.5" customHeight="1">
      <c r="A272" s="46" t="s">
        <v>43</v>
      </c>
      <c r="B272" s="69" t="str">
        <f>IFS(L272=0,"",B272&lt;&gt;"",B272,TRUE,NOW())</f>
        <v/>
      </c>
      <c r="C272" s="70" t="s">
        <v>37</v>
      </c>
      <c r="D272" s="33"/>
      <c r="E272" s="71"/>
      <c r="F272" s="71"/>
      <c r="G272" s="71"/>
      <c r="H272" s="71"/>
      <c r="I272" s="71"/>
      <c r="J272" s="71"/>
      <c r="K272" s="72" t="s">
        <v>38</v>
      </c>
      <c r="L272" s="73">
        <f>L271-L270</f>
        <v>0</v>
      </c>
      <c r="M272" s="74" t="s">
        <v>39</v>
      </c>
      <c r="N272" s="75" t="b">
        <v>0</v>
      </c>
    </row>
    <row r="273" ht="18.0" customHeight="1">
      <c r="A273" s="64"/>
      <c r="B273" s="52" t="s">
        <v>96</v>
      </c>
      <c r="C273" s="53" t="s">
        <v>27</v>
      </c>
      <c r="D273" s="54"/>
      <c r="E273" s="55">
        <f t="shared" ref="E273:J273" si="74">E271-E274</f>
        <v>0</v>
      </c>
      <c r="F273" s="55">
        <f t="shared" si="74"/>
        <v>0</v>
      </c>
      <c r="G273" s="55">
        <f t="shared" si="74"/>
        <v>0</v>
      </c>
      <c r="H273" s="55">
        <f t="shared" si="74"/>
        <v>0</v>
      </c>
      <c r="I273" s="55">
        <f t="shared" si="74"/>
        <v>0</v>
      </c>
      <c r="J273" s="55">
        <f t="shared" si="74"/>
        <v>0</v>
      </c>
      <c r="K273" s="56"/>
      <c r="L273" s="30"/>
      <c r="M273" s="57" t="s">
        <v>28</v>
      </c>
      <c r="N273" s="58" t="b">
        <v>0</v>
      </c>
    </row>
    <row r="274" ht="13.5" customHeight="1">
      <c r="A274" s="46" t="s">
        <v>45</v>
      </c>
      <c r="B274" s="59"/>
      <c r="C274" s="53" t="s">
        <v>30</v>
      </c>
      <c r="D274" s="54"/>
      <c r="E274" s="60"/>
      <c r="F274" s="60"/>
      <c r="G274" s="60"/>
      <c r="H274" s="60"/>
      <c r="I274" s="60"/>
      <c r="J274" s="60"/>
      <c r="K274" s="61" t="s">
        <v>30</v>
      </c>
      <c r="L274" s="62">
        <f>(E274*E263)+(F274*F263)+(G274*G263)+(H274*H263)+(I274*I263)+(J274*J263)</f>
        <v>0</v>
      </c>
      <c r="M274" s="57" t="s">
        <v>31</v>
      </c>
      <c r="N274" s="63" t="b">
        <v>0</v>
      </c>
    </row>
    <row r="275" ht="13.5" customHeight="1">
      <c r="A275" s="77"/>
      <c r="B275" s="65" t="s">
        <v>47</v>
      </c>
      <c r="C275" s="53" t="s">
        <v>34</v>
      </c>
      <c r="D275" s="54"/>
      <c r="E275" s="66"/>
      <c r="F275" s="66"/>
      <c r="G275" s="66"/>
      <c r="H275" s="66"/>
      <c r="I275" s="66"/>
      <c r="J275" s="66"/>
      <c r="K275" s="67" t="s">
        <v>35</v>
      </c>
      <c r="L275" s="62">
        <f>(E275*E263)+(F275*F263)+(G275*G263)+(H275*H263)+(I275*I263)+(J275*J263)</f>
        <v>0</v>
      </c>
      <c r="M275" s="57" t="s">
        <v>36</v>
      </c>
      <c r="N275" s="63" t="b">
        <v>0</v>
      </c>
    </row>
    <row r="276" ht="13.5" customHeight="1">
      <c r="A276" s="68"/>
      <c r="B276" s="69" t="str">
        <f>IFS(L276=0,"",B276&lt;&gt;"",B276,TRUE,NOW())</f>
        <v/>
      </c>
      <c r="C276" s="70" t="s">
        <v>37</v>
      </c>
      <c r="D276" s="33"/>
      <c r="E276" s="71"/>
      <c r="F276" s="71"/>
      <c r="G276" s="71"/>
      <c r="H276" s="71"/>
      <c r="I276" s="71"/>
      <c r="J276" s="71"/>
      <c r="K276" s="72" t="s">
        <v>38</v>
      </c>
      <c r="L276" s="73">
        <f>L275-L274</f>
        <v>0</v>
      </c>
      <c r="M276" s="74" t="s">
        <v>39</v>
      </c>
      <c r="N276" s="75" t="b">
        <v>0</v>
      </c>
    </row>
    <row r="277" ht="13.5" customHeight="1">
      <c r="A277" s="78" t="s">
        <v>48</v>
      </c>
      <c r="B277" s="52" t="s">
        <v>96</v>
      </c>
      <c r="C277" s="53" t="s">
        <v>27</v>
      </c>
      <c r="D277" s="54"/>
      <c r="E277" s="55">
        <f t="shared" ref="E277:J277" si="75">E275-E278</f>
        <v>0</v>
      </c>
      <c r="F277" s="55">
        <f t="shared" si="75"/>
        <v>0</v>
      </c>
      <c r="G277" s="55">
        <f t="shared" si="75"/>
        <v>0</v>
      </c>
      <c r="H277" s="55">
        <f t="shared" si="75"/>
        <v>0</v>
      </c>
      <c r="I277" s="55">
        <f t="shared" si="75"/>
        <v>0</v>
      </c>
      <c r="J277" s="55">
        <f t="shared" si="75"/>
        <v>0</v>
      </c>
      <c r="K277" s="56"/>
      <c r="L277" s="30"/>
      <c r="M277" s="57" t="s">
        <v>28</v>
      </c>
      <c r="N277" s="58" t="b">
        <v>0</v>
      </c>
    </row>
    <row r="278" ht="15.0" customHeight="1">
      <c r="A278" s="87"/>
      <c r="B278" s="59"/>
      <c r="C278" s="53" t="s">
        <v>30</v>
      </c>
      <c r="D278" s="54"/>
      <c r="E278" s="60"/>
      <c r="F278" s="60"/>
      <c r="G278" s="60"/>
      <c r="H278" s="60"/>
      <c r="I278" s="60"/>
      <c r="J278" s="60"/>
      <c r="K278" s="61" t="s">
        <v>30</v>
      </c>
      <c r="L278" s="62">
        <f>(E278*E263)+(F278*F263)+(G278*G263)+(H278*H263)+(I278*I263)+(J278*J263)</f>
        <v>0</v>
      </c>
      <c r="M278" s="57" t="s">
        <v>31</v>
      </c>
      <c r="N278" s="63" t="b">
        <v>0</v>
      </c>
    </row>
    <row r="279" ht="13.5" customHeight="1">
      <c r="A279" s="68"/>
      <c r="B279" s="65" t="s">
        <v>49</v>
      </c>
      <c r="C279" s="53" t="s">
        <v>34</v>
      </c>
      <c r="D279" s="54"/>
      <c r="E279" s="66"/>
      <c r="F279" s="66"/>
      <c r="G279" s="66"/>
      <c r="H279" s="66"/>
      <c r="I279" s="66"/>
      <c r="J279" s="66"/>
      <c r="K279" s="67" t="s">
        <v>35</v>
      </c>
      <c r="L279" s="62">
        <f>(E279*E263)+(F279*F263)+(G279*G263)+(H279*H263)+(I279*I263)+(J279*J263)</f>
        <v>0</v>
      </c>
      <c r="M279" s="57" t="s">
        <v>36</v>
      </c>
      <c r="N279" s="63" t="b">
        <v>0</v>
      </c>
    </row>
    <row r="280" ht="13.5" customHeight="1">
      <c r="A280" s="80"/>
      <c r="B280" s="69" t="str">
        <f>IFS(L280=0,"",B280&lt;&gt;"",B280,TRUE,NOW())</f>
        <v/>
      </c>
      <c r="C280" s="86" t="s">
        <v>37</v>
      </c>
      <c r="D280" s="59"/>
      <c r="E280" s="81"/>
      <c r="F280" s="81"/>
      <c r="G280" s="81"/>
      <c r="H280" s="82"/>
      <c r="I280" s="81"/>
      <c r="J280" s="81"/>
      <c r="K280" s="72" t="s">
        <v>38</v>
      </c>
      <c r="L280" s="73">
        <f>L279-L278</f>
        <v>0</v>
      </c>
      <c r="M280" s="74" t="s">
        <v>39</v>
      </c>
      <c r="N280" s="75" t="b">
        <v>0</v>
      </c>
    </row>
    <row r="281" ht="13.5" customHeight="1">
      <c r="A281" s="83" t="s">
        <v>97</v>
      </c>
      <c r="B281" s="42" t="s">
        <v>20</v>
      </c>
      <c r="C281" s="24"/>
      <c r="D281" s="33"/>
      <c r="E281" s="43">
        <f t="shared" ref="E281:J281" si="76">E6</f>
        <v>17</v>
      </c>
      <c r="F281" s="43">
        <f t="shared" si="76"/>
        <v>27</v>
      </c>
      <c r="G281" s="43">
        <f t="shared" si="76"/>
        <v>27</v>
      </c>
      <c r="H281" s="43">
        <f t="shared" si="76"/>
        <v>27</v>
      </c>
      <c r="I281" s="43">
        <f t="shared" si="76"/>
        <v>32</v>
      </c>
      <c r="J281" s="44">
        <f t="shared" si="76"/>
        <v>37</v>
      </c>
      <c r="K281" s="42" t="s">
        <v>21</v>
      </c>
      <c r="L281" s="25"/>
      <c r="M281" s="45" t="s">
        <v>22</v>
      </c>
      <c r="N281" s="25"/>
    </row>
    <row r="282" ht="13.5" customHeight="1">
      <c r="A282" s="46" t="s">
        <v>23</v>
      </c>
      <c r="B282" s="47" t="s">
        <v>24</v>
      </c>
      <c r="C282" s="32" t="s">
        <v>25</v>
      </c>
      <c r="D282" s="33"/>
      <c r="E282" s="48"/>
      <c r="F282" s="48"/>
      <c r="G282" s="48"/>
      <c r="H282" s="48"/>
      <c r="I282" s="48"/>
      <c r="J282" s="48"/>
      <c r="K282" s="49"/>
      <c r="L282" s="25"/>
      <c r="M282" s="50"/>
      <c r="N282" s="10"/>
    </row>
    <row r="283" ht="15.0" customHeight="1">
      <c r="A283" s="92"/>
      <c r="B283" s="52" t="s">
        <v>98</v>
      </c>
      <c r="C283" s="53" t="s">
        <v>27</v>
      </c>
      <c r="D283" s="54"/>
      <c r="E283" s="55">
        <f t="shared" ref="E283:J283" si="77">E282-E284</f>
        <v>0</v>
      </c>
      <c r="F283" s="55">
        <f t="shared" si="77"/>
        <v>0</v>
      </c>
      <c r="G283" s="55">
        <f t="shared" si="77"/>
        <v>0</v>
      </c>
      <c r="H283" s="55">
        <f t="shared" si="77"/>
        <v>0</v>
      </c>
      <c r="I283" s="55">
        <f t="shared" si="77"/>
        <v>0</v>
      </c>
      <c r="J283" s="55">
        <f t="shared" si="77"/>
        <v>0</v>
      </c>
      <c r="K283" s="56"/>
      <c r="L283" s="30"/>
      <c r="M283" s="57" t="s">
        <v>28</v>
      </c>
      <c r="N283" s="58" t="b">
        <v>0</v>
      </c>
    </row>
    <row r="284" ht="13.5" customHeight="1">
      <c r="A284" s="46" t="s">
        <v>29</v>
      </c>
      <c r="B284" s="59"/>
      <c r="C284" s="53" t="s">
        <v>30</v>
      </c>
      <c r="D284" s="54"/>
      <c r="E284" s="60"/>
      <c r="F284" s="60"/>
      <c r="G284" s="60"/>
      <c r="H284" s="60"/>
      <c r="I284" s="60"/>
      <c r="J284" s="60"/>
      <c r="K284" s="61" t="s">
        <v>30</v>
      </c>
      <c r="L284" s="62">
        <f>(E284*E281)+(F284*F281)+(G284*G281)+(H284*H281)+(I284*I281)+(J284*J281)</f>
        <v>0</v>
      </c>
      <c r="M284" s="57" t="s">
        <v>31</v>
      </c>
      <c r="N284" s="63" t="b">
        <v>0</v>
      </c>
    </row>
    <row r="285" ht="13.5" customHeight="1">
      <c r="A285" s="64"/>
      <c r="B285" s="65" t="s">
        <v>33</v>
      </c>
      <c r="C285" s="53" t="s">
        <v>34</v>
      </c>
      <c r="D285" s="54"/>
      <c r="E285" s="66"/>
      <c r="F285" s="66"/>
      <c r="G285" s="66"/>
      <c r="H285" s="66"/>
      <c r="I285" s="66"/>
      <c r="J285" s="66"/>
      <c r="K285" s="67" t="s">
        <v>35</v>
      </c>
      <c r="L285" s="62">
        <f>(E285*E281)+(F285*F281)+(G285*G281)+(H285*H281)+(I285*I281)+(J285*J281)</f>
        <v>0</v>
      </c>
      <c r="M285" s="57" t="s">
        <v>36</v>
      </c>
      <c r="N285" s="63" t="b">
        <v>0</v>
      </c>
    </row>
    <row r="286" ht="13.5" customHeight="1">
      <c r="A286" s="68"/>
      <c r="B286" s="69" t="str">
        <f>IFS(L286=0,"",B286&lt;&gt;"",B286,TRUE,NOW())</f>
        <v/>
      </c>
      <c r="C286" s="70" t="s">
        <v>37</v>
      </c>
      <c r="D286" s="33"/>
      <c r="E286" s="71"/>
      <c r="F286" s="71"/>
      <c r="G286" s="71"/>
      <c r="H286" s="71"/>
      <c r="I286" s="71"/>
      <c r="J286" s="71"/>
      <c r="K286" s="72" t="s">
        <v>38</v>
      </c>
      <c r="L286" s="73">
        <f>L285-L284</f>
        <v>0</v>
      </c>
      <c r="M286" s="74" t="s">
        <v>39</v>
      </c>
      <c r="N286" s="75" t="b">
        <v>0</v>
      </c>
    </row>
    <row r="287" ht="13.5" customHeight="1">
      <c r="A287" s="46" t="s">
        <v>40</v>
      </c>
      <c r="B287" s="52" t="s">
        <v>98</v>
      </c>
      <c r="C287" s="53" t="s">
        <v>27</v>
      </c>
      <c r="D287" s="54"/>
      <c r="E287" s="55">
        <f t="shared" ref="E287:J287" si="78">E285-E288</f>
        <v>0</v>
      </c>
      <c r="F287" s="55">
        <f t="shared" si="78"/>
        <v>0</v>
      </c>
      <c r="G287" s="55">
        <f t="shared" si="78"/>
        <v>0</v>
      </c>
      <c r="H287" s="55">
        <f t="shared" si="78"/>
        <v>0</v>
      </c>
      <c r="I287" s="55">
        <f t="shared" si="78"/>
        <v>0</v>
      </c>
      <c r="J287" s="55">
        <f t="shared" si="78"/>
        <v>0</v>
      </c>
      <c r="K287" s="56"/>
      <c r="L287" s="30"/>
      <c r="M287" s="57" t="s">
        <v>28</v>
      </c>
      <c r="N287" s="58" t="b">
        <v>0</v>
      </c>
    </row>
    <row r="288" ht="15.0" customHeight="1">
      <c r="A288" s="64"/>
      <c r="B288" s="59"/>
      <c r="C288" s="53" t="s">
        <v>30</v>
      </c>
      <c r="D288" s="54"/>
      <c r="E288" s="60"/>
      <c r="F288" s="60"/>
      <c r="G288" s="60"/>
      <c r="H288" s="60"/>
      <c r="I288" s="60"/>
      <c r="J288" s="60"/>
      <c r="K288" s="61" t="s">
        <v>30</v>
      </c>
      <c r="L288" s="62">
        <f>(E288*E281)+(F288*F281)+(G288*G281)+(H288*H281)+(I288*I281)+(J288*J281)</f>
        <v>0</v>
      </c>
      <c r="M288" s="57" t="s">
        <v>31</v>
      </c>
      <c r="N288" s="63" t="b">
        <v>0</v>
      </c>
    </row>
    <row r="289" ht="13.5" customHeight="1">
      <c r="A289" s="68"/>
      <c r="B289" s="65" t="s">
        <v>42</v>
      </c>
      <c r="C289" s="53" t="s">
        <v>34</v>
      </c>
      <c r="D289" s="54"/>
      <c r="E289" s="66"/>
      <c r="F289" s="66"/>
      <c r="G289" s="66"/>
      <c r="H289" s="66"/>
      <c r="I289" s="66"/>
      <c r="J289" s="66"/>
      <c r="K289" s="67" t="s">
        <v>35</v>
      </c>
      <c r="L289" s="62">
        <f>(E289*E281)+(F289*F281)+(G289*G281)+(H289*H281)+(I289*I281)+(J289*J281)</f>
        <v>0</v>
      </c>
      <c r="M289" s="57" t="s">
        <v>36</v>
      </c>
      <c r="N289" s="63" t="b">
        <v>0</v>
      </c>
    </row>
    <row r="290" ht="13.5" customHeight="1">
      <c r="A290" s="46" t="s">
        <v>43</v>
      </c>
      <c r="B290" s="69" t="str">
        <f>IFS(L290=0,"",B290&lt;&gt;"",B290,TRUE,NOW())</f>
        <v/>
      </c>
      <c r="C290" s="70" t="s">
        <v>37</v>
      </c>
      <c r="D290" s="33"/>
      <c r="E290" s="71"/>
      <c r="F290" s="71"/>
      <c r="G290" s="71"/>
      <c r="H290" s="71"/>
      <c r="I290" s="71"/>
      <c r="J290" s="71"/>
      <c r="K290" s="72" t="s">
        <v>38</v>
      </c>
      <c r="L290" s="73">
        <f>L289-L288</f>
        <v>0</v>
      </c>
      <c r="M290" s="74" t="s">
        <v>39</v>
      </c>
      <c r="N290" s="75" t="b">
        <v>0</v>
      </c>
    </row>
    <row r="291" ht="13.5" customHeight="1">
      <c r="A291" s="64"/>
      <c r="B291" s="52" t="s">
        <v>98</v>
      </c>
      <c r="C291" s="53" t="s">
        <v>27</v>
      </c>
      <c r="D291" s="54"/>
      <c r="E291" s="55">
        <f t="shared" ref="E291:J291" si="79">E289-E292</f>
        <v>0</v>
      </c>
      <c r="F291" s="55">
        <f t="shared" si="79"/>
        <v>0</v>
      </c>
      <c r="G291" s="55">
        <f t="shared" si="79"/>
        <v>0</v>
      </c>
      <c r="H291" s="55">
        <f t="shared" si="79"/>
        <v>0</v>
      </c>
      <c r="I291" s="55">
        <f t="shared" si="79"/>
        <v>0</v>
      </c>
      <c r="J291" s="55">
        <f t="shared" si="79"/>
        <v>0</v>
      </c>
      <c r="K291" s="56"/>
      <c r="L291" s="30"/>
      <c r="M291" s="57" t="s">
        <v>28</v>
      </c>
      <c r="N291" s="58" t="b">
        <v>0</v>
      </c>
    </row>
    <row r="292" ht="13.5" customHeight="1">
      <c r="A292" s="46" t="s">
        <v>45</v>
      </c>
      <c r="B292" s="59"/>
      <c r="C292" s="53" t="s">
        <v>30</v>
      </c>
      <c r="D292" s="54"/>
      <c r="E292" s="60"/>
      <c r="F292" s="60"/>
      <c r="G292" s="60"/>
      <c r="H292" s="60"/>
      <c r="I292" s="60"/>
      <c r="J292" s="60"/>
      <c r="K292" s="61" t="s">
        <v>30</v>
      </c>
      <c r="L292" s="62">
        <f>(E292*E281)+(F292*F281)+(G292*G281)+(H292*H281)+(I292*I281)+(J292*J281)</f>
        <v>0</v>
      </c>
      <c r="M292" s="57" t="s">
        <v>31</v>
      </c>
      <c r="N292" s="63" t="b">
        <v>0</v>
      </c>
    </row>
    <row r="293" ht="13.5" customHeight="1">
      <c r="A293" s="77"/>
      <c r="B293" s="65" t="s">
        <v>47</v>
      </c>
      <c r="C293" s="53" t="s">
        <v>34</v>
      </c>
      <c r="D293" s="54"/>
      <c r="E293" s="66"/>
      <c r="F293" s="66"/>
      <c r="G293" s="66"/>
      <c r="H293" s="66"/>
      <c r="I293" s="66"/>
      <c r="J293" s="66"/>
      <c r="K293" s="67" t="s">
        <v>35</v>
      </c>
      <c r="L293" s="62">
        <f>(E293*E281)+(F293*F281)+(G293*G281)+(H293*H281)+(I293*I281)+(J293*J281)</f>
        <v>0</v>
      </c>
      <c r="M293" s="57" t="s">
        <v>36</v>
      </c>
      <c r="N293" s="63" t="b">
        <v>0</v>
      </c>
    </row>
    <row r="294" ht="13.5" customHeight="1">
      <c r="A294" s="68"/>
      <c r="B294" s="69" t="str">
        <f>IFS(L294=0,"",B294&lt;&gt;"",B294,TRUE,NOW())</f>
        <v/>
      </c>
      <c r="C294" s="70" t="s">
        <v>37</v>
      </c>
      <c r="D294" s="33"/>
      <c r="E294" s="71"/>
      <c r="F294" s="71"/>
      <c r="G294" s="71"/>
      <c r="H294" s="71"/>
      <c r="I294" s="71"/>
      <c r="J294" s="71"/>
      <c r="K294" s="72" t="s">
        <v>38</v>
      </c>
      <c r="L294" s="73">
        <f>L293-L292</f>
        <v>0</v>
      </c>
      <c r="M294" s="74" t="s">
        <v>39</v>
      </c>
      <c r="N294" s="75" t="b">
        <v>0</v>
      </c>
    </row>
    <row r="295" ht="15.0" customHeight="1">
      <c r="A295" s="78" t="s">
        <v>48</v>
      </c>
      <c r="B295" s="52" t="s">
        <v>98</v>
      </c>
      <c r="C295" s="53" t="s">
        <v>27</v>
      </c>
      <c r="D295" s="54"/>
      <c r="E295" s="55">
        <f t="shared" ref="E295:J295" si="80">E293-E296</f>
        <v>0</v>
      </c>
      <c r="F295" s="55">
        <f t="shared" si="80"/>
        <v>0</v>
      </c>
      <c r="G295" s="55">
        <f t="shared" si="80"/>
        <v>0</v>
      </c>
      <c r="H295" s="55">
        <f t="shared" si="80"/>
        <v>0</v>
      </c>
      <c r="I295" s="55">
        <f t="shared" si="80"/>
        <v>0</v>
      </c>
      <c r="J295" s="55">
        <f t="shared" si="80"/>
        <v>0</v>
      </c>
      <c r="K295" s="56"/>
      <c r="L295" s="30"/>
      <c r="M295" s="57" t="s">
        <v>28</v>
      </c>
      <c r="N295" s="58" t="b">
        <v>0</v>
      </c>
    </row>
    <row r="296" ht="13.5" customHeight="1">
      <c r="A296" s="87"/>
      <c r="B296" s="59"/>
      <c r="C296" s="53" t="s">
        <v>30</v>
      </c>
      <c r="D296" s="54"/>
      <c r="E296" s="60"/>
      <c r="F296" s="60"/>
      <c r="G296" s="60"/>
      <c r="H296" s="60"/>
      <c r="I296" s="60"/>
      <c r="J296" s="60"/>
      <c r="K296" s="61" t="s">
        <v>30</v>
      </c>
      <c r="L296" s="62">
        <f>(E296*E281)+(F296*F281)+(G296*G281)+(H296*H281)+(I296*I281)+(J296*J281)</f>
        <v>0</v>
      </c>
      <c r="M296" s="57" t="s">
        <v>31</v>
      </c>
      <c r="N296" s="63" t="b">
        <v>0</v>
      </c>
    </row>
    <row r="297" ht="13.5" customHeight="1">
      <c r="A297" s="68"/>
      <c r="B297" s="65" t="s">
        <v>49</v>
      </c>
      <c r="C297" s="53" t="s">
        <v>34</v>
      </c>
      <c r="D297" s="54"/>
      <c r="E297" s="66"/>
      <c r="F297" s="66"/>
      <c r="G297" s="66"/>
      <c r="H297" s="66"/>
      <c r="I297" s="66"/>
      <c r="J297" s="66"/>
      <c r="K297" s="67" t="s">
        <v>35</v>
      </c>
      <c r="L297" s="62">
        <f>(E297*E281)+(F297*F281)+(G297*G281)+(H297*H281)+(I297*I281)+(J297*J281)</f>
        <v>0</v>
      </c>
      <c r="M297" s="57" t="s">
        <v>36</v>
      </c>
      <c r="N297" s="63" t="b">
        <v>0</v>
      </c>
    </row>
    <row r="298" ht="13.5" customHeight="1">
      <c r="A298" s="80"/>
      <c r="B298" s="69" t="str">
        <f>IFS(L298=0,"",B298&lt;&gt;"",B298,TRUE,NOW())</f>
        <v/>
      </c>
      <c r="C298" s="53" t="s">
        <v>37</v>
      </c>
      <c r="D298" s="54"/>
      <c r="E298" s="81"/>
      <c r="F298" s="81"/>
      <c r="G298" s="81"/>
      <c r="H298" s="82"/>
      <c r="I298" s="81"/>
      <c r="J298" s="81"/>
      <c r="K298" s="72" t="s">
        <v>38</v>
      </c>
      <c r="L298" s="73">
        <f>L297-L296</f>
        <v>0</v>
      </c>
      <c r="M298" s="74" t="s">
        <v>39</v>
      </c>
      <c r="N298" s="75" t="b">
        <v>0</v>
      </c>
    </row>
    <row r="299" ht="13.5" customHeight="1">
      <c r="A299" s="83" t="s">
        <v>99</v>
      </c>
      <c r="B299" s="42" t="s">
        <v>20</v>
      </c>
      <c r="C299" s="24"/>
      <c r="D299" s="33"/>
      <c r="E299" s="43">
        <f t="shared" ref="E299:J299" si="81">E6</f>
        <v>17</v>
      </c>
      <c r="F299" s="43">
        <f t="shared" si="81"/>
        <v>27</v>
      </c>
      <c r="G299" s="43">
        <f t="shared" si="81"/>
        <v>27</v>
      </c>
      <c r="H299" s="43">
        <f t="shared" si="81"/>
        <v>27</v>
      </c>
      <c r="I299" s="43">
        <f t="shared" si="81"/>
        <v>32</v>
      </c>
      <c r="J299" s="44">
        <f t="shared" si="81"/>
        <v>37</v>
      </c>
      <c r="K299" s="42" t="s">
        <v>21</v>
      </c>
      <c r="L299" s="25"/>
      <c r="M299" s="45" t="s">
        <v>22</v>
      </c>
      <c r="N299" s="25"/>
    </row>
    <row r="300" ht="17.25" customHeight="1">
      <c r="A300" s="46" t="s">
        <v>23</v>
      </c>
      <c r="B300" s="47" t="s">
        <v>24</v>
      </c>
      <c r="C300" s="32" t="s">
        <v>25</v>
      </c>
      <c r="D300" s="33"/>
      <c r="E300" s="48"/>
      <c r="F300" s="48"/>
      <c r="G300" s="48"/>
      <c r="H300" s="48"/>
      <c r="I300" s="48"/>
      <c r="J300" s="48"/>
      <c r="K300" s="49"/>
      <c r="L300" s="25"/>
      <c r="M300" s="50"/>
      <c r="N300" s="10"/>
    </row>
    <row r="301" ht="13.5" customHeight="1">
      <c r="A301" s="92"/>
      <c r="B301" s="52" t="s">
        <v>100</v>
      </c>
      <c r="C301" s="53" t="s">
        <v>27</v>
      </c>
      <c r="D301" s="54"/>
      <c r="E301" s="55">
        <f t="shared" ref="E301:J301" si="82">E300-E302</f>
        <v>0</v>
      </c>
      <c r="F301" s="55">
        <f t="shared" si="82"/>
        <v>0</v>
      </c>
      <c r="G301" s="55">
        <f t="shared" si="82"/>
        <v>0</v>
      </c>
      <c r="H301" s="55">
        <f t="shared" si="82"/>
        <v>0</v>
      </c>
      <c r="I301" s="55">
        <f t="shared" si="82"/>
        <v>0</v>
      </c>
      <c r="J301" s="55">
        <f t="shared" si="82"/>
        <v>0</v>
      </c>
      <c r="K301" s="56"/>
      <c r="L301" s="30"/>
      <c r="M301" s="57" t="s">
        <v>28</v>
      </c>
      <c r="N301" s="58" t="b">
        <v>0</v>
      </c>
    </row>
    <row r="302" ht="13.5" customHeight="1">
      <c r="A302" s="46" t="s">
        <v>29</v>
      </c>
      <c r="B302" s="59"/>
      <c r="C302" s="53" t="s">
        <v>30</v>
      </c>
      <c r="D302" s="54"/>
      <c r="E302" s="60"/>
      <c r="F302" s="60"/>
      <c r="G302" s="60"/>
      <c r="H302" s="60"/>
      <c r="I302" s="60"/>
      <c r="J302" s="60"/>
      <c r="K302" s="61" t="s">
        <v>30</v>
      </c>
      <c r="L302" s="62">
        <f>(E302*E299)+(F302*F299)+(G302*G299)+(H302*H299)+(I302*I299)+(J302*J299)</f>
        <v>0</v>
      </c>
      <c r="M302" s="57" t="s">
        <v>31</v>
      </c>
      <c r="N302" s="63" t="b">
        <v>0</v>
      </c>
    </row>
    <row r="303" ht="13.5" customHeight="1">
      <c r="A303" s="64"/>
      <c r="B303" s="65" t="s">
        <v>33</v>
      </c>
      <c r="C303" s="53" t="s">
        <v>34</v>
      </c>
      <c r="D303" s="54"/>
      <c r="E303" s="66"/>
      <c r="F303" s="66"/>
      <c r="G303" s="66"/>
      <c r="H303" s="66"/>
      <c r="I303" s="66"/>
      <c r="J303" s="66"/>
      <c r="K303" s="67" t="s">
        <v>35</v>
      </c>
      <c r="L303" s="62">
        <f>(E303*E299)+(F303*F299)+(G303*G299)+(H303*H299)+(I303*I299)+(J303*J299)</f>
        <v>0</v>
      </c>
      <c r="M303" s="57" t="s">
        <v>36</v>
      </c>
      <c r="N303" s="63" t="b">
        <v>0</v>
      </c>
    </row>
    <row r="304" ht="13.5" customHeight="1">
      <c r="A304" s="68"/>
      <c r="B304" s="69" t="str">
        <f>IFS(L304=0,"",B304&lt;&gt;"",B304,TRUE,NOW())</f>
        <v/>
      </c>
      <c r="C304" s="70" t="s">
        <v>37</v>
      </c>
      <c r="D304" s="33"/>
      <c r="E304" s="71"/>
      <c r="F304" s="71"/>
      <c r="G304" s="71"/>
      <c r="H304" s="71"/>
      <c r="I304" s="71"/>
      <c r="J304" s="71"/>
      <c r="K304" s="72" t="s">
        <v>38</v>
      </c>
      <c r="L304" s="73">
        <f>L303-L302</f>
        <v>0</v>
      </c>
      <c r="M304" s="74" t="s">
        <v>39</v>
      </c>
      <c r="N304" s="75" t="b">
        <v>0</v>
      </c>
    </row>
    <row r="305" ht="18.75" customHeight="1">
      <c r="A305" s="46" t="s">
        <v>40</v>
      </c>
      <c r="B305" s="52" t="s">
        <v>100</v>
      </c>
      <c r="C305" s="53" t="s">
        <v>27</v>
      </c>
      <c r="D305" s="54"/>
      <c r="E305" s="55">
        <f t="shared" ref="E305:J305" si="83">E303-E306</f>
        <v>0</v>
      </c>
      <c r="F305" s="55">
        <f t="shared" si="83"/>
        <v>0</v>
      </c>
      <c r="G305" s="55">
        <f t="shared" si="83"/>
        <v>0</v>
      </c>
      <c r="H305" s="55">
        <f t="shared" si="83"/>
        <v>0</v>
      </c>
      <c r="I305" s="55">
        <f t="shared" si="83"/>
        <v>0</v>
      </c>
      <c r="J305" s="55">
        <f t="shared" si="83"/>
        <v>0</v>
      </c>
      <c r="K305" s="56"/>
      <c r="L305" s="30"/>
      <c r="M305" s="57" t="s">
        <v>28</v>
      </c>
      <c r="N305" s="58" t="b">
        <v>0</v>
      </c>
    </row>
    <row r="306" ht="13.5" customHeight="1">
      <c r="A306" s="64"/>
      <c r="B306" s="59"/>
      <c r="C306" s="53" t="s">
        <v>30</v>
      </c>
      <c r="D306" s="54"/>
      <c r="E306" s="60"/>
      <c r="F306" s="60"/>
      <c r="G306" s="60"/>
      <c r="H306" s="60"/>
      <c r="I306" s="60"/>
      <c r="J306" s="60"/>
      <c r="K306" s="61" t="s">
        <v>30</v>
      </c>
      <c r="L306" s="62">
        <f>(E306*E299)+(F306*F299)+(G306*G299)+(H306*H299)+(I306*I299)+(J306*J299)</f>
        <v>0</v>
      </c>
      <c r="M306" s="57" t="s">
        <v>31</v>
      </c>
      <c r="N306" s="63" t="b">
        <v>0</v>
      </c>
    </row>
    <row r="307" ht="13.5" customHeight="1">
      <c r="A307" s="68"/>
      <c r="B307" s="65" t="s">
        <v>42</v>
      </c>
      <c r="C307" s="53" t="s">
        <v>34</v>
      </c>
      <c r="D307" s="54"/>
      <c r="E307" s="66"/>
      <c r="F307" s="66"/>
      <c r="G307" s="66"/>
      <c r="H307" s="66"/>
      <c r="I307" s="66"/>
      <c r="J307" s="66"/>
      <c r="K307" s="67" t="s">
        <v>35</v>
      </c>
      <c r="L307" s="62">
        <f>(E307*E299)+(F307*F299)+(G307*G299)+(H307*H299)+(I307*I299)+(J307*J299)</f>
        <v>0</v>
      </c>
      <c r="M307" s="57" t="s">
        <v>36</v>
      </c>
      <c r="N307" s="63" t="b">
        <v>0</v>
      </c>
    </row>
    <row r="308" ht="13.5" customHeight="1">
      <c r="A308" s="46" t="s">
        <v>43</v>
      </c>
      <c r="B308" s="69" t="str">
        <f>IFS(L308=0,"",B308&lt;&gt;"",B308,TRUE,NOW())</f>
        <v/>
      </c>
      <c r="C308" s="70" t="s">
        <v>37</v>
      </c>
      <c r="D308" s="33"/>
      <c r="E308" s="71"/>
      <c r="F308" s="71"/>
      <c r="G308" s="71"/>
      <c r="H308" s="71"/>
      <c r="I308" s="71"/>
      <c r="J308" s="71"/>
      <c r="K308" s="72" t="s">
        <v>38</v>
      </c>
      <c r="L308" s="73">
        <f>L307-L306</f>
        <v>0</v>
      </c>
      <c r="M308" s="74" t="s">
        <v>39</v>
      </c>
      <c r="N308" s="75" t="b">
        <v>0</v>
      </c>
    </row>
    <row r="309" ht="13.5" customHeight="1">
      <c r="A309" s="64"/>
      <c r="B309" s="52" t="s">
        <v>100</v>
      </c>
      <c r="C309" s="53" t="s">
        <v>27</v>
      </c>
      <c r="D309" s="54"/>
      <c r="E309" s="55">
        <f t="shared" ref="E309:J309" si="84">E307-E310</f>
        <v>0</v>
      </c>
      <c r="F309" s="55">
        <f t="shared" si="84"/>
        <v>0</v>
      </c>
      <c r="G309" s="55">
        <f t="shared" si="84"/>
        <v>0</v>
      </c>
      <c r="H309" s="55">
        <f t="shared" si="84"/>
        <v>0</v>
      </c>
      <c r="I309" s="55">
        <f t="shared" si="84"/>
        <v>0</v>
      </c>
      <c r="J309" s="55">
        <f t="shared" si="84"/>
        <v>0</v>
      </c>
      <c r="K309" s="56"/>
      <c r="L309" s="30"/>
      <c r="M309" s="57" t="s">
        <v>28</v>
      </c>
      <c r="N309" s="58" t="b">
        <v>0</v>
      </c>
    </row>
    <row r="310" ht="15.0" customHeight="1">
      <c r="A310" s="46" t="s">
        <v>45</v>
      </c>
      <c r="B310" s="59"/>
      <c r="C310" s="53" t="s">
        <v>30</v>
      </c>
      <c r="D310" s="54"/>
      <c r="E310" s="60"/>
      <c r="F310" s="60"/>
      <c r="G310" s="60"/>
      <c r="H310" s="60"/>
      <c r="I310" s="60"/>
      <c r="J310" s="60"/>
      <c r="K310" s="61" t="s">
        <v>30</v>
      </c>
      <c r="L310" s="62">
        <f>(E310*E299)+(F310*F299)+(G310*G299)+(H310*H299)+(I310*I299)+(J310*J299)</f>
        <v>0</v>
      </c>
      <c r="M310" s="57" t="s">
        <v>31</v>
      </c>
      <c r="N310" s="63" t="b">
        <v>0</v>
      </c>
    </row>
    <row r="311" ht="13.5" customHeight="1">
      <c r="A311" s="77"/>
      <c r="B311" s="65" t="s">
        <v>47</v>
      </c>
      <c r="C311" s="53" t="s">
        <v>34</v>
      </c>
      <c r="D311" s="54"/>
      <c r="E311" s="66"/>
      <c r="F311" s="66"/>
      <c r="G311" s="66"/>
      <c r="H311" s="66"/>
      <c r="I311" s="66"/>
      <c r="J311" s="66"/>
      <c r="K311" s="67" t="s">
        <v>35</v>
      </c>
      <c r="L311" s="62">
        <f>(E311*E299)+(F311*F299)+(G311*G299)+(H311*H299)+(I311*I299)+(J311*J299)</f>
        <v>0</v>
      </c>
      <c r="M311" s="57" t="s">
        <v>36</v>
      </c>
      <c r="N311" s="63" t="b">
        <v>0</v>
      </c>
    </row>
    <row r="312" ht="13.5" customHeight="1">
      <c r="A312" s="68"/>
      <c r="B312" s="69" t="str">
        <f>IFS(L312=0,"",B312&lt;&gt;"",B312,TRUE,NOW())</f>
        <v/>
      </c>
      <c r="C312" s="70" t="s">
        <v>37</v>
      </c>
      <c r="D312" s="33"/>
      <c r="E312" s="71"/>
      <c r="F312" s="71"/>
      <c r="G312" s="71"/>
      <c r="H312" s="71"/>
      <c r="I312" s="71"/>
      <c r="J312" s="71"/>
      <c r="K312" s="72" t="s">
        <v>38</v>
      </c>
      <c r="L312" s="73">
        <f>L311-L310</f>
        <v>0</v>
      </c>
      <c r="M312" s="74" t="s">
        <v>39</v>
      </c>
      <c r="N312" s="75" t="b">
        <v>0</v>
      </c>
    </row>
    <row r="313" ht="13.5" customHeight="1">
      <c r="A313" s="78" t="s">
        <v>48</v>
      </c>
      <c r="B313" s="52" t="s">
        <v>100</v>
      </c>
      <c r="C313" s="53" t="s">
        <v>27</v>
      </c>
      <c r="D313" s="54"/>
      <c r="E313" s="55">
        <f t="shared" ref="E313:J313" si="85">E311-E314</f>
        <v>0</v>
      </c>
      <c r="F313" s="55">
        <f t="shared" si="85"/>
        <v>0</v>
      </c>
      <c r="G313" s="55">
        <f t="shared" si="85"/>
        <v>0</v>
      </c>
      <c r="H313" s="55">
        <f t="shared" si="85"/>
        <v>0</v>
      </c>
      <c r="I313" s="55">
        <f t="shared" si="85"/>
        <v>0</v>
      </c>
      <c r="J313" s="55">
        <f t="shared" si="85"/>
        <v>0</v>
      </c>
      <c r="K313" s="56"/>
      <c r="L313" s="30"/>
      <c r="M313" s="57" t="s">
        <v>28</v>
      </c>
      <c r="N313" s="58" t="b">
        <v>0</v>
      </c>
    </row>
    <row r="314" ht="13.5" customHeight="1">
      <c r="A314" s="87"/>
      <c r="B314" s="59"/>
      <c r="C314" s="53" t="s">
        <v>30</v>
      </c>
      <c r="D314" s="54"/>
      <c r="E314" s="60"/>
      <c r="F314" s="60"/>
      <c r="G314" s="60"/>
      <c r="H314" s="60"/>
      <c r="I314" s="60"/>
      <c r="J314" s="60"/>
      <c r="K314" s="61" t="s">
        <v>30</v>
      </c>
      <c r="L314" s="62">
        <f>(E314*E299)+(F314*F299)+(G314*G299)+(H314*H299)+(I314*I299)+(J314*J299)</f>
        <v>0</v>
      </c>
      <c r="M314" s="57" t="s">
        <v>31</v>
      </c>
      <c r="N314" s="63" t="b">
        <v>0</v>
      </c>
    </row>
    <row r="315" ht="13.5" customHeight="1">
      <c r="A315" s="68"/>
      <c r="B315" s="65" t="s">
        <v>49</v>
      </c>
      <c r="C315" s="53" t="s">
        <v>34</v>
      </c>
      <c r="D315" s="54"/>
      <c r="E315" s="66"/>
      <c r="F315" s="66"/>
      <c r="G315" s="66"/>
      <c r="H315" s="66"/>
      <c r="I315" s="66"/>
      <c r="J315" s="66"/>
      <c r="K315" s="67" t="s">
        <v>35</v>
      </c>
      <c r="L315" s="62">
        <f>(E315*E299)+(F315*F299)+(G315*G299)+(H315*H299)+(I315*I299)+(J315*J299)</f>
        <v>0</v>
      </c>
      <c r="M315" s="57" t="s">
        <v>36</v>
      </c>
      <c r="N315" s="63" t="b">
        <v>0</v>
      </c>
    </row>
    <row r="316" ht="13.5" customHeight="1">
      <c r="A316" s="80"/>
      <c r="B316" s="69" t="str">
        <f>IFS(L316=0,"",B316&lt;&gt;"",B316,TRUE,NOW())</f>
        <v/>
      </c>
      <c r="C316" s="53" t="s">
        <v>37</v>
      </c>
      <c r="D316" s="54"/>
      <c r="E316" s="81"/>
      <c r="F316" s="81"/>
      <c r="G316" s="81"/>
      <c r="H316" s="82"/>
      <c r="I316" s="81"/>
      <c r="J316" s="81"/>
      <c r="K316" s="72" t="s">
        <v>38</v>
      </c>
      <c r="L316" s="73">
        <f>L315-L314</f>
        <v>0</v>
      </c>
      <c r="M316" s="74" t="s">
        <v>39</v>
      </c>
      <c r="N316" s="75" t="b">
        <v>0</v>
      </c>
    </row>
    <row r="317" ht="15.0" customHeight="1">
      <c r="A317" s="83" t="s">
        <v>101</v>
      </c>
      <c r="B317" s="42" t="s">
        <v>20</v>
      </c>
      <c r="C317" s="24"/>
      <c r="D317" s="33"/>
      <c r="E317" s="43">
        <f t="shared" ref="E317:J317" si="86">E6</f>
        <v>17</v>
      </c>
      <c r="F317" s="43">
        <f t="shared" si="86"/>
        <v>27</v>
      </c>
      <c r="G317" s="43">
        <f t="shared" si="86"/>
        <v>27</v>
      </c>
      <c r="H317" s="43">
        <f t="shared" si="86"/>
        <v>27</v>
      </c>
      <c r="I317" s="43">
        <f t="shared" si="86"/>
        <v>32</v>
      </c>
      <c r="J317" s="44">
        <f t="shared" si="86"/>
        <v>37</v>
      </c>
      <c r="K317" s="42" t="s">
        <v>21</v>
      </c>
      <c r="L317" s="25"/>
      <c r="M317" s="45" t="s">
        <v>22</v>
      </c>
      <c r="N317" s="25"/>
    </row>
    <row r="318" ht="13.5" customHeight="1">
      <c r="A318" s="46" t="s">
        <v>23</v>
      </c>
      <c r="B318" s="47" t="s">
        <v>24</v>
      </c>
      <c r="C318" s="32" t="s">
        <v>25</v>
      </c>
      <c r="D318" s="33"/>
      <c r="E318" s="48"/>
      <c r="F318" s="48"/>
      <c r="G318" s="48"/>
      <c r="H318" s="48"/>
      <c r="I318" s="48"/>
      <c r="J318" s="48"/>
      <c r="K318" s="49"/>
      <c r="L318" s="25"/>
      <c r="M318" s="50"/>
      <c r="N318" s="10"/>
    </row>
    <row r="319" ht="13.5" customHeight="1">
      <c r="A319" s="92"/>
      <c r="B319" s="52" t="s">
        <v>102</v>
      </c>
      <c r="C319" s="53" t="s">
        <v>27</v>
      </c>
      <c r="D319" s="54"/>
      <c r="E319" s="55">
        <f t="shared" ref="E319:J319" si="87">E318-E320</f>
        <v>0</v>
      </c>
      <c r="F319" s="55">
        <f t="shared" si="87"/>
        <v>0</v>
      </c>
      <c r="G319" s="55">
        <f t="shared" si="87"/>
        <v>0</v>
      </c>
      <c r="H319" s="55">
        <f t="shared" si="87"/>
        <v>0</v>
      </c>
      <c r="I319" s="55">
        <f t="shared" si="87"/>
        <v>0</v>
      </c>
      <c r="J319" s="55">
        <f t="shared" si="87"/>
        <v>0</v>
      </c>
      <c r="K319" s="56"/>
      <c r="L319" s="30"/>
      <c r="M319" s="57" t="s">
        <v>28</v>
      </c>
      <c r="N319" s="58" t="b">
        <v>0</v>
      </c>
    </row>
    <row r="320" ht="13.5" customHeight="1">
      <c r="A320" s="46" t="s">
        <v>29</v>
      </c>
      <c r="B320" s="59"/>
      <c r="C320" s="53" t="s">
        <v>30</v>
      </c>
      <c r="D320" s="54"/>
      <c r="E320" s="60"/>
      <c r="F320" s="60"/>
      <c r="G320" s="60"/>
      <c r="H320" s="60"/>
      <c r="I320" s="60"/>
      <c r="J320" s="60"/>
      <c r="K320" s="61" t="s">
        <v>30</v>
      </c>
      <c r="L320" s="62">
        <f>(E320*E317)+(F320*F317)+(G320*G317)+(H320*H317)+(I320*I317)+(J320*J317)</f>
        <v>0</v>
      </c>
      <c r="M320" s="57" t="s">
        <v>31</v>
      </c>
      <c r="N320" s="63" t="b">
        <v>0</v>
      </c>
    </row>
    <row r="321" ht="13.5" customHeight="1">
      <c r="A321" s="64"/>
      <c r="B321" s="65" t="s">
        <v>33</v>
      </c>
      <c r="C321" s="53" t="s">
        <v>34</v>
      </c>
      <c r="D321" s="54"/>
      <c r="E321" s="66"/>
      <c r="F321" s="66"/>
      <c r="G321" s="66"/>
      <c r="H321" s="66"/>
      <c r="I321" s="66"/>
      <c r="J321" s="66"/>
      <c r="K321" s="67" t="s">
        <v>35</v>
      </c>
      <c r="L321" s="62">
        <f>(E321*E317)+(F321*F317)+(G321*G317)+(H321*H317)+(I321*I317)+(J321*J317)</f>
        <v>0</v>
      </c>
      <c r="M321" s="57" t="s">
        <v>36</v>
      </c>
      <c r="N321" s="63" t="b">
        <v>0</v>
      </c>
    </row>
    <row r="322" ht="15.0" customHeight="1">
      <c r="A322" s="68"/>
      <c r="B322" s="69" t="str">
        <f>IFS(L322=0,"",B322&lt;&gt;"",B322,TRUE,NOW())</f>
        <v/>
      </c>
      <c r="C322" s="70" t="s">
        <v>37</v>
      </c>
      <c r="D322" s="33"/>
      <c r="E322" s="71"/>
      <c r="F322" s="71"/>
      <c r="G322" s="71"/>
      <c r="H322" s="71"/>
      <c r="I322" s="71"/>
      <c r="J322" s="71"/>
      <c r="K322" s="72" t="s">
        <v>38</v>
      </c>
      <c r="L322" s="73">
        <f>L321-L320</f>
        <v>0</v>
      </c>
      <c r="M322" s="74" t="s">
        <v>39</v>
      </c>
      <c r="N322" s="75" t="b">
        <v>0</v>
      </c>
    </row>
    <row r="323" ht="13.5" customHeight="1">
      <c r="A323" s="46" t="s">
        <v>40</v>
      </c>
      <c r="B323" s="52" t="s">
        <v>102</v>
      </c>
      <c r="C323" s="53" t="s">
        <v>27</v>
      </c>
      <c r="D323" s="54"/>
      <c r="E323" s="55">
        <f t="shared" ref="E323:J323" si="88">E321-E324</f>
        <v>0</v>
      </c>
      <c r="F323" s="55">
        <f t="shared" si="88"/>
        <v>0</v>
      </c>
      <c r="G323" s="55">
        <f t="shared" si="88"/>
        <v>0</v>
      </c>
      <c r="H323" s="55">
        <f t="shared" si="88"/>
        <v>0</v>
      </c>
      <c r="I323" s="55">
        <f t="shared" si="88"/>
        <v>0</v>
      </c>
      <c r="J323" s="55">
        <f t="shared" si="88"/>
        <v>0</v>
      </c>
      <c r="K323" s="56"/>
      <c r="L323" s="30"/>
      <c r="M323" s="57" t="s">
        <v>28</v>
      </c>
      <c r="N323" s="58" t="b">
        <v>0</v>
      </c>
    </row>
    <row r="324" ht="13.5" customHeight="1">
      <c r="A324" s="64"/>
      <c r="B324" s="59"/>
      <c r="C324" s="53" t="s">
        <v>30</v>
      </c>
      <c r="D324" s="54"/>
      <c r="E324" s="60"/>
      <c r="F324" s="60"/>
      <c r="G324" s="60"/>
      <c r="H324" s="60"/>
      <c r="I324" s="60"/>
      <c r="J324" s="60"/>
      <c r="K324" s="61" t="s">
        <v>30</v>
      </c>
      <c r="L324" s="62">
        <f>(E324*E317)+(F324*F317)+(G324*G317)+(H324*H317)+(I324*I317)+(J324*J317)</f>
        <v>0</v>
      </c>
      <c r="M324" s="57" t="s">
        <v>31</v>
      </c>
      <c r="N324" s="63" t="b">
        <v>0</v>
      </c>
    </row>
    <row r="325" ht="13.5" customHeight="1">
      <c r="A325" s="68"/>
      <c r="B325" s="65" t="s">
        <v>42</v>
      </c>
      <c r="C325" s="53" t="s">
        <v>34</v>
      </c>
      <c r="D325" s="54"/>
      <c r="E325" s="66"/>
      <c r="F325" s="66"/>
      <c r="G325" s="66"/>
      <c r="H325" s="66"/>
      <c r="I325" s="66"/>
      <c r="J325" s="66"/>
      <c r="K325" s="67" t="s">
        <v>35</v>
      </c>
      <c r="L325" s="62">
        <f>(E325*E317)+(F325*F317)+(G325*G317)+(H325*H317)+(I325*I317)+(J325*J317)</f>
        <v>0</v>
      </c>
      <c r="M325" s="57" t="s">
        <v>36</v>
      </c>
      <c r="N325" s="63" t="b">
        <v>0</v>
      </c>
    </row>
    <row r="326" ht="13.5" customHeight="1">
      <c r="A326" s="46" t="s">
        <v>43</v>
      </c>
      <c r="B326" s="69" t="str">
        <f>IFS(L326=0,"",B326&lt;&gt;"",B326,TRUE,NOW())</f>
        <v/>
      </c>
      <c r="C326" s="70" t="s">
        <v>37</v>
      </c>
      <c r="D326" s="33"/>
      <c r="E326" s="71"/>
      <c r="F326" s="71"/>
      <c r="G326" s="71"/>
      <c r="H326" s="71"/>
      <c r="I326" s="71"/>
      <c r="J326" s="71"/>
      <c r="K326" s="72" t="s">
        <v>38</v>
      </c>
      <c r="L326" s="73">
        <f>L325-L324</f>
        <v>0</v>
      </c>
      <c r="M326" s="74" t="s">
        <v>39</v>
      </c>
      <c r="N326" s="75" t="b">
        <v>0</v>
      </c>
    </row>
    <row r="327" ht="15.0" customHeight="1">
      <c r="A327" s="64"/>
      <c r="B327" s="52" t="s">
        <v>102</v>
      </c>
      <c r="C327" s="53" t="s">
        <v>27</v>
      </c>
      <c r="D327" s="54"/>
      <c r="E327" s="55">
        <f t="shared" ref="E327:J327" si="89">E325-E328</f>
        <v>0</v>
      </c>
      <c r="F327" s="55">
        <f t="shared" si="89"/>
        <v>0</v>
      </c>
      <c r="G327" s="55">
        <f t="shared" si="89"/>
        <v>0</v>
      </c>
      <c r="H327" s="55">
        <f t="shared" si="89"/>
        <v>0</v>
      </c>
      <c r="I327" s="55">
        <f t="shared" si="89"/>
        <v>0</v>
      </c>
      <c r="J327" s="55">
        <f t="shared" si="89"/>
        <v>0</v>
      </c>
      <c r="K327" s="56"/>
      <c r="L327" s="30"/>
      <c r="M327" s="57" t="s">
        <v>28</v>
      </c>
      <c r="N327" s="58" t="b">
        <v>0</v>
      </c>
    </row>
    <row r="328" ht="13.5" customHeight="1">
      <c r="A328" s="46" t="s">
        <v>45</v>
      </c>
      <c r="B328" s="59"/>
      <c r="C328" s="53" t="s">
        <v>30</v>
      </c>
      <c r="D328" s="54"/>
      <c r="E328" s="60"/>
      <c r="F328" s="60"/>
      <c r="G328" s="60"/>
      <c r="H328" s="60"/>
      <c r="I328" s="60"/>
      <c r="J328" s="60"/>
      <c r="K328" s="61" t="s">
        <v>30</v>
      </c>
      <c r="L328" s="62">
        <f>(E328*E317)+(F328*F317)+(G328*G317)+(H328*H317)+(I328*I317)+(J328*J317)</f>
        <v>0</v>
      </c>
      <c r="M328" s="57" t="s">
        <v>31</v>
      </c>
      <c r="N328" s="63" t="b">
        <v>0</v>
      </c>
    </row>
    <row r="329" ht="13.5" customHeight="1">
      <c r="A329" s="77"/>
      <c r="B329" s="65" t="s">
        <v>47</v>
      </c>
      <c r="C329" s="53" t="s">
        <v>34</v>
      </c>
      <c r="D329" s="54"/>
      <c r="E329" s="66"/>
      <c r="F329" s="66"/>
      <c r="G329" s="66"/>
      <c r="H329" s="66"/>
      <c r="I329" s="66"/>
      <c r="J329" s="66"/>
      <c r="K329" s="67" t="s">
        <v>35</v>
      </c>
      <c r="L329" s="62">
        <f>(E329*E317)+(F329*F317)+(G329*G317)+(H329*H317)+(I329*I317)+(J329*J317)</f>
        <v>0</v>
      </c>
      <c r="M329" s="57" t="s">
        <v>36</v>
      </c>
      <c r="N329" s="63" t="b">
        <v>0</v>
      </c>
    </row>
    <row r="330" ht="13.5" customHeight="1">
      <c r="A330" s="68"/>
      <c r="B330" s="69" t="str">
        <f>IFS(L330=0,"",B330&lt;&gt;"",B330,TRUE,NOW())</f>
        <v/>
      </c>
      <c r="C330" s="70" t="s">
        <v>37</v>
      </c>
      <c r="D330" s="33"/>
      <c r="E330" s="71"/>
      <c r="F330" s="71"/>
      <c r="G330" s="71"/>
      <c r="H330" s="71"/>
      <c r="I330" s="71"/>
      <c r="J330" s="71"/>
      <c r="K330" s="72" t="s">
        <v>38</v>
      </c>
      <c r="L330" s="73">
        <f>L329-L328</f>
        <v>0</v>
      </c>
      <c r="M330" s="74" t="s">
        <v>39</v>
      </c>
      <c r="N330" s="75" t="b">
        <v>0</v>
      </c>
    </row>
    <row r="331" ht="13.5" customHeight="1">
      <c r="A331" s="78" t="s">
        <v>48</v>
      </c>
      <c r="B331" s="52" t="s">
        <v>102</v>
      </c>
      <c r="C331" s="53" t="s">
        <v>27</v>
      </c>
      <c r="D331" s="54"/>
      <c r="E331" s="55">
        <f t="shared" ref="E331:J331" si="90">E329-E332</f>
        <v>0</v>
      </c>
      <c r="F331" s="55">
        <f t="shared" si="90"/>
        <v>0</v>
      </c>
      <c r="G331" s="55">
        <f t="shared" si="90"/>
        <v>0</v>
      </c>
      <c r="H331" s="55">
        <f t="shared" si="90"/>
        <v>0</v>
      </c>
      <c r="I331" s="55">
        <f t="shared" si="90"/>
        <v>0</v>
      </c>
      <c r="J331" s="55">
        <f t="shared" si="90"/>
        <v>0</v>
      </c>
      <c r="K331" s="56"/>
      <c r="L331" s="30"/>
      <c r="M331" s="57" t="s">
        <v>28</v>
      </c>
      <c r="N331" s="58" t="b">
        <v>0</v>
      </c>
    </row>
    <row r="332" ht="15.0" customHeight="1">
      <c r="A332" s="87"/>
      <c r="B332" s="59"/>
      <c r="C332" s="53" t="s">
        <v>30</v>
      </c>
      <c r="D332" s="54"/>
      <c r="E332" s="60"/>
      <c r="F332" s="60"/>
      <c r="G332" s="60"/>
      <c r="H332" s="60"/>
      <c r="I332" s="60"/>
      <c r="J332" s="60"/>
      <c r="K332" s="61" t="s">
        <v>30</v>
      </c>
      <c r="L332" s="62">
        <f>(E332*E317)+(F332*F317)+(G332*G317)+(H332*H317)+(I332*I317)+(J332*J317)</f>
        <v>0</v>
      </c>
      <c r="M332" s="57" t="s">
        <v>31</v>
      </c>
      <c r="N332" s="63" t="b">
        <v>0</v>
      </c>
    </row>
    <row r="333" ht="13.5" customHeight="1">
      <c r="A333" s="68"/>
      <c r="B333" s="65" t="s">
        <v>49</v>
      </c>
      <c r="C333" s="53" t="s">
        <v>34</v>
      </c>
      <c r="D333" s="54"/>
      <c r="E333" s="66"/>
      <c r="F333" s="66"/>
      <c r="G333" s="66"/>
      <c r="H333" s="66"/>
      <c r="I333" s="66"/>
      <c r="J333" s="66"/>
      <c r="K333" s="67" t="s">
        <v>35</v>
      </c>
      <c r="L333" s="62">
        <f>(E333*E317)+(F333*F317)+(G333*G317)+(H333*H317)+(I333*I317)+(J333*J317)</f>
        <v>0</v>
      </c>
      <c r="M333" s="57" t="s">
        <v>36</v>
      </c>
      <c r="N333" s="63" t="b">
        <v>0</v>
      </c>
    </row>
    <row r="334" ht="13.5" customHeight="1">
      <c r="A334" s="80"/>
      <c r="B334" s="69" t="str">
        <f>IFS(L334=0,"",B334&lt;&gt;"",B334,TRUE,NOW())</f>
        <v/>
      </c>
      <c r="C334" s="53" t="s">
        <v>37</v>
      </c>
      <c r="D334" s="54"/>
      <c r="E334" s="81"/>
      <c r="F334" s="81"/>
      <c r="G334" s="81"/>
      <c r="H334" s="82"/>
      <c r="I334" s="81"/>
      <c r="J334" s="81"/>
      <c r="K334" s="72" t="s">
        <v>38</v>
      </c>
      <c r="L334" s="73">
        <f>L333-L332</f>
        <v>0</v>
      </c>
      <c r="M334" s="74" t="s">
        <v>39</v>
      </c>
      <c r="N334" s="75" t="b">
        <v>0</v>
      </c>
    </row>
    <row r="335" ht="13.5" customHeight="1">
      <c r="A335" s="83" t="s">
        <v>103</v>
      </c>
      <c r="B335" s="42" t="s">
        <v>20</v>
      </c>
      <c r="C335" s="24"/>
      <c r="D335" s="33"/>
      <c r="E335" s="43">
        <f t="shared" ref="E335:J335" si="91">E6</f>
        <v>17</v>
      </c>
      <c r="F335" s="43">
        <f t="shared" si="91"/>
        <v>27</v>
      </c>
      <c r="G335" s="43">
        <f t="shared" si="91"/>
        <v>27</v>
      </c>
      <c r="H335" s="43">
        <f t="shared" si="91"/>
        <v>27</v>
      </c>
      <c r="I335" s="43">
        <f t="shared" si="91"/>
        <v>32</v>
      </c>
      <c r="J335" s="44">
        <f t="shared" si="91"/>
        <v>37</v>
      </c>
      <c r="K335" s="42" t="s">
        <v>21</v>
      </c>
      <c r="L335" s="25"/>
      <c r="M335" s="45" t="s">
        <v>22</v>
      </c>
      <c r="N335" s="25"/>
    </row>
    <row r="336" ht="13.5" customHeight="1">
      <c r="A336" s="46" t="s">
        <v>23</v>
      </c>
      <c r="B336" s="47" t="s">
        <v>24</v>
      </c>
      <c r="C336" s="32" t="s">
        <v>25</v>
      </c>
      <c r="D336" s="33"/>
      <c r="E336" s="48"/>
      <c r="F336" s="48"/>
      <c r="G336" s="48"/>
      <c r="H336" s="48"/>
      <c r="I336" s="48"/>
      <c r="J336" s="48"/>
      <c r="K336" s="49"/>
      <c r="L336" s="25"/>
      <c r="M336" s="50"/>
      <c r="N336" s="10"/>
    </row>
    <row r="337" ht="13.5" customHeight="1">
      <c r="A337" s="92"/>
      <c r="B337" s="52" t="s">
        <v>104</v>
      </c>
      <c r="C337" s="53" t="s">
        <v>27</v>
      </c>
      <c r="D337" s="54"/>
      <c r="E337" s="55">
        <f t="shared" ref="E337:J337" si="92">E336-E338</f>
        <v>0</v>
      </c>
      <c r="F337" s="55">
        <f t="shared" si="92"/>
        <v>0</v>
      </c>
      <c r="G337" s="55">
        <f t="shared" si="92"/>
        <v>0</v>
      </c>
      <c r="H337" s="55">
        <f t="shared" si="92"/>
        <v>0</v>
      </c>
      <c r="I337" s="55">
        <f t="shared" si="92"/>
        <v>0</v>
      </c>
      <c r="J337" s="55">
        <f t="shared" si="92"/>
        <v>0</v>
      </c>
      <c r="K337" s="56"/>
      <c r="L337" s="30"/>
      <c r="M337" s="57" t="s">
        <v>28</v>
      </c>
      <c r="N337" s="58" t="b">
        <v>0</v>
      </c>
    </row>
    <row r="338" ht="13.5" customHeight="1">
      <c r="A338" s="46" t="s">
        <v>29</v>
      </c>
      <c r="B338" s="59"/>
      <c r="C338" s="53" t="s">
        <v>30</v>
      </c>
      <c r="D338" s="54"/>
      <c r="E338" s="60"/>
      <c r="F338" s="60"/>
      <c r="G338" s="60"/>
      <c r="H338" s="60"/>
      <c r="I338" s="60"/>
      <c r="J338" s="60"/>
      <c r="K338" s="61" t="s">
        <v>30</v>
      </c>
      <c r="L338" s="62">
        <f>(E338*E335)+(F338*F335)+(G338*G335)+(H338*H335)+(I338*I335)+(J338*J335)</f>
        <v>0</v>
      </c>
      <c r="M338" s="57" t="s">
        <v>31</v>
      </c>
      <c r="N338" s="63" t="b">
        <v>0</v>
      </c>
    </row>
    <row r="339" ht="15.0" customHeight="1">
      <c r="A339" s="64"/>
      <c r="B339" s="65" t="s">
        <v>33</v>
      </c>
      <c r="C339" s="53" t="s">
        <v>34</v>
      </c>
      <c r="D339" s="54"/>
      <c r="E339" s="66"/>
      <c r="F339" s="66"/>
      <c r="G339" s="66"/>
      <c r="H339" s="66"/>
      <c r="I339" s="66"/>
      <c r="J339" s="66"/>
      <c r="K339" s="67" t="s">
        <v>35</v>
      </c>
      <c r="L339" s="62">
        <f>(E339*E335)+(F339*F335)+(G339*G335)+(H339*H335)+(I339*I335)+(J339*J335)</f>
        <v>0</v>
      </c>
      <c r="M339" s="57" t="s">
        <v>36</v>
      </c>
      <c r="N339" s="63" t="b">
        <v>0</v>
      </c>
    </row>
    <row r="340" ht="13.5" customHeight="1">
      <c r="A340" s="68"/>
      <c r="B340" s="69" t="str">
        <f>IFS(L340=0,"",B340&lt;&gt;"",B340,TRUE,NOW())</f>
        <v/>
      </c>
      <c r="C340" s="70" t="s">
        <v>37</v>
      </c>
      <c r="D340" s="33"/>
      <c r="E340" s="71"/>
      <c r="F340" s="71"/>
      <c r="G340" s="71"/>
      <c r="H340" s="71"/>
      <c r="I340" s="71"/>
      <c r="J340" s="71"/>
      <c r="K340" s="72" t="s">
        <v>38</v>
      </c>
      <c r="L340" s="73">
        <f>L339-L338</f>
        <v>0</v>
      </c>
      <c r="M340" s="74" t="s">
        <v>39</v>
      </c>
      <c r="N340" s="75" t="b">
        <v>0</v>
      </c>
    </row>
    <row r="341" ht="13.5" customHeight="1">
      <c r="A341" s="46" t="s">
        <v>40</v>
      </c>
      <c r="B341" s="52" t="s">
        <v>104</v>
      </c>
      <c r="C341" s="53" t="s">
        <v>27</v>
      </c>
      <c r="D341" s="54"/>
      <c r="E341" s="55">
        <f t="shared" ref="E341:J341" si="93">E339-E342</f>
        <v>0</v>
      </c>
      <c r="F341" s="55">
        <f t="shared" si="93"/>
        <v>0</v>
      </c>
      <c r="G341" s="55">
        <f t="shared" si="93"/>
        <v>0</v>
      </c>
      <c r="H341" s="55">
        <f t="shared" si="93"/>
        <v>0</v>
      </c>
      <c r="I341" s="55">
        <f t="shared" si="93"/>
        <v>0</v>
      </c>
      <c r="J341" s="55">
        <f t="shared" si="93"/>
        <v>0</v>
      </c>
      <c r="K341" s="56"/>
      <c r="L341" s="30"/>
      <c r="M341" s="57" t="s">
        <v>28</v>
      </c>
      <c r="N341" s="58" t="b">
        <v>0</v>
      </c>
    </row>
    <row r="342" ht="13.5" customHeight="1">
      <c r="A342" s="64"/>
      <c r="B342" s="59"/>
      <c r="C342" s="53" t="s">
        <v>30</v>
      </c>
      <c r="D342" s="54"/>
      <c r="E342" s="60"/>
      <c r="F342" s="60"/>
      <c r="G342" s="60"/>
      <c r="H342" s="60"/>
      <c r="I342" s="60"/>
      <c r="J342" s="60"/>
      <c r="K342" s="61" t="s">
        <v>30</v>
      </c>
      <c r="L342" s="62">
        <f>(E342*E335)+(F342*F335)+(G342*G335)+(H342*H335)+(I342*I335)+(J342*J335)</f>
        <v>0</v>
      </c>
      <c r="M342" s="57" t="s">
        <v>31</v>
      </c>
      <c r="N342" s="63" t="b">
        <v>0</v>
      </c>
    </row>
    <row r="343" ht="13.5" customHeight="1">
      <c r="A343" s="68"/>
      <c r="B343" s="65" t="s">
        <v>42</v>
      </c>
      <c r="C343" s="53" t="s">
        <v>34</v>
      </c>
      <c r="D343" s="54"/>
      <c r="E343" s="66"/>
      <c r="F343" s="66"/>
      <c r="G343" s="66"/>
      <c r="H343" s="66"/>
      <c r="I343" s="66"/>
      <c r="J343" s="66"/>
      <c r="K343" s="67" t="s">
        <v>35</v>
      </c>
      <c r="L343" s="62">
        <f>(E343*E335)+(F343*F335)+(G343*G335)+(H343*H335)+(I343*I335)+(J343*J335)</f>
        <v>0</v>
      </c>
      <c r="M343" s="57" t="s">
        <v>36</v>
      </c>
      <c r="N343" s="63" t="b">
        <v>0</v>
      </c>
    </row>
    <row r="344" ht="15.0" customHeight="1">
      <c r="A344" s="46" t="s">
        <v>43</v>
      </c>
      <c r="B344" s="69" t="str">
        <f>IFS(L344=0,"",B344&lt;&gt;"",B344,TRUE,NOW())</f>
        <v/>
      </c>
      <c r="C344" s="70" t="s">
        <v>37</v>
      </c>
      <c r="D344" s="33"/>
      <c r="E344" s="71"/>
      <c r="F344" s="71"/>
      <c r="G344" s="71"/>
      <c r="H344" s="71"/>
      <c r="I344" s="71"/>
      <c r="J344" s="71"/>
      <c r="K344" s="72" t="s">
        <v>38</v>
      </c>
      <c r="L344" s="73">
        <f>L343-L342</f>
        <v>0</v>
      </c>
      <c r="M344" s="74" t="s">
        <v>39</v>
      </c>
      <c r="N344" s="75" t="b">
        <v>0</v>
      </c>
    </row>
    <row r="345" ht="13.5" customHeight="1">
      <c r="A345" s="64"/>
      <c r="B345" s="52" t="s">
        <v>104</v>
      </c>
      <c r="C345" s="53" t="s">
        <v>27</v>
      </c>
      <c r="D345" s="54"/>
      <c r="E345" s="55">
        <f t="shared" ref="E345:J345" si="94">E343-E346</f>
        <v>0</v>
      </c>
      <c r="F345" s="55">
        <f t="shared" si="94"/>
        <v>0</v>
      </c>
      <c r="G345" s="55">
        <f t="shared" si="94"/>
        <v>0</v>
      </c>
      <c r="H345" s="55">
        <f t="shared" si="94"/>
        <v>0</v>
      </c>
      <c r="I345" s="55">
        <f t="shared" si="94"/>
        <v>0</v>
      </c>
      <c r="J345" s="55">
        <f t="shared" si="94"/>
        <v>0</v>
      </c>
      <c r="K345" s="56"/>
      <c r="L345" s="30"/>
      <c r="M345" s="57" t="s">
        <v>28</v>
      </c>
      <c r="N345" s="58" t="b">
        <v>0</v>
      </c>
    </row>
    <row r="346" ht="13.5" customHeight="1">
      <c r="A346" s="46" t="s">
        <v>45</v>
      </c>
      <c r="B346" s="59"/>
      <c r="C346" s="53" t="s">
        <v>30</v>
      </c>
      <c r="D346" s="54"/>
      <c r="E346" s="60"/>
      <c r="F346" s="60"/>
      <c r="G346" s="60"/>
      <c r="H346" s="60"/>
      <c r="I346" s="60"/>
      <c r="J346" s="60"/>
      <c r="K346" s="61" t="s">
        <v>30</v>
      </c>
      <c r="L346" s="62">
        <f>(E346*E335)+(F346*F335)+(G346*G335)+(H346*H335)+(I346*I335)+(J346*J335)</f>
        <v>0</v>
      </c>
      <c r="M346" s="57" t="s">
        <v>31</v>
      </c>
      <c r="N346" s="63" t="b">
        <v>0</v>
      </c>
    </row>
    <row r="347" ht="13.5" customHeight="1">
      <c r="A347" s="77"/>
      <c r="B347" s="65" t="s">
        <v>47</v>
      </c>
      <c r="C347" s="53" t="s">
        <v>34</v>
      </c>
      <c r="D347" s="54"/>
      <c r="E347" s="66"/>
      <c r="F347" s="66"/>
      <c r="G347" s="66"/>
      <c r="H347" s="66"/>
      <c r="I347" s="66"/>
      <c r="J347" s="66"/>
      <c r="K347" s="67" t="s">
        <v>35</v>
      </c>
      <c r="L347" s="62">
        <f>(E347*E335)+(F347*F335)+(G347*G335)+(H347*H335)+(I347*I335)+(J347*J335)</f>
        <v>0</v>
      </c>
      <c r="M347" s="57" t="s">
        <v>36</v>
      </c>
      <c r="N347" s="63" t="b">
        <v>0</v>
      </c>
    </row>
    <row r="348" ht="13.5" customHeight="1">
      <c r="A348" s="68"/>
      <c r="B348" s="69" t="str">
        <f>IFS(L348=0,"",B348&lt;&gt;"",B348,TRUE,NOW())</f>
        <v/>
      </c>
      <c r="C348" s="70" t="s">
        <v>37</v>
      </c>
      <c r="D348" s="33"/>
      <c r="E348" s="71"/>
      <c r="F348" s="71"/>
      <c r="G348" s="71"/>
      <c r="H348" s="71"/>
      <c r="I348" s="71"/>
      <c r="J348" s="71"/>
      <c r="K348" s="72" t="s">
        <v>38</v>
      </c>
      <c r="L348" s="73">
        <f>L347-L346</f>
        <v>0</v>
      </c>
      <c r="M348" s="74" t="s">
        <v>39</v>
      </c>
      <c r="N348" s="75" t="b">
        <v>0</v>
      </c>
    </row>
    <row r="349" ht="15.0" customHeight="1">
      <c r="A349" s="78" t="s">
        <v>48</v>
      </c>
      <c r="B349" s="52" t="s">
        <v>104</v>
      </c>
      <c r="C349" s="53" t="s">
        <v>27</v>
      </c>
      <c r="D349" s="54"/>
      <c r="E349" s="55">
        <f t="shared" ref="E349:J349" si="95">E347-E350</f>
        <v>0</v>
      </c>
      <c r="F349" s="55">
        <f t="shared" si="95"/>
        <v>0</v>
      </c>
      <c r="G349" s="55">
        <f t="shared" si="95"/>
        <v>0</v>
      </c>
      <c r="H349" s="55">
        <f t="shared" si="95"/>
        <v>0</v>
      </c>
      <c r="I349" s="55">
        <f t="shared" si="95"/>
        <v>0</v>
      </c>
      <c r="J349" s="55">
        <f t="shared" si="95"/>
        <v>0</v>
      </c>
      <c r="K349" s="56"/>
      <c r="L349" s="30"/>
      <c r="M349" s="57" t="s">
        <v>28</v>
      </c>
      <c r="N349" s="58" t="b">
        <v>0</v>
      </c>
    </row>
    <row r="350" ht="13.5" customHeight="1">
      <c r="A350" s="87"/>
      <c r="B350" s="59"/>
      <c r="C350" s="53" t="s">
        <v>30</v>
      </c>
      <c r="D350" s="54"/>
      <c r="E350" s="60"/>
      <c r="F350" s="60"/>
      <c r="G350" s="60"/>
      <c r="H350" s="60"/>
      <c r="I350" s="60"/>
      <c r="J350" s="60"/>
      <c r="K350" s="61" t="s">
        <v>30</v>
      </c>
      <c r="L350" s="62">
        <f>(E350*E335)+(F350*F335)+(G350*G335)+(H350*H335)+(I350*I335)+(J350*J335)</f>
        <v>0</v>
      </c>
      <c r="M350" s="57" t="s">
        <v>31</v>
      </c>
      <c r="N350" s="63" t="b">
        <v>0</v>
      </c>
    </row>
    <row r="351" ht="13.5" customHeight="1">
      <c r="A351" s="68"/>
      <c r="B351" s="65" t="s">
        <v>49</v>
      </c>
      <c r="C351" s="53" t="s">
        <v>34</v>
      </c>
      <c r="D351" s="54"/>
      <c r="E351" s="66"/>
      <c r="F351" s="66"/>
      <c r="G351" s="66"/>
      <c r="H351" s="66"/>
      <c r="I351" s="66"/>
      <c r="J351" s="66"/>
      <c r="K351" s="67" t="s">
        <v>35</v>
      </c>
      <c r="L351" s="62">
        <f>(E351*E335)+(F351*F335)+(G351*G335)+(H351*H335)+(I351*I335)+(J351*J335)</f>
        <v>0</v>
      </c>
      <c r="M351" s="57" t="s">
        <v>36</v>
      </c>
      <c r="N351" s="63" t="b">
        <v>0</v>
      </c>
    </row>
    <row r="352" ht="13.5" customHeight="1">
      <c r="A352" s="80"/>
      <c r="B352" s="69" t="str">
        <f>IFS(L352=0,"",B352&lt;&gt;"",B352,TRUE,NOW())</f>
        <v/>
      </c>
      <c r="C352" s="86" t="s">
        <v>37</v>
      </c>
      <c r="D352" s="59"/>
      <c r="E352" s="81"/>
      <c r="F352" s="81"/>
      <c r="G352" s="81"/>
      <c r="H352" s="82"/>
      <c r="I352" s="81"/>
      <c r="J352" s="81"/>
      <c r="K352" s="72" t="s">
        <v>38</v>
      </c>
      <c r="L352" s="73">
        <f>L351-L350</f>
        <v>0</v>
      </c>
      <c r="M352" s="74" t="s">
        <v>39</v>
      </c>
      <c r="N352" s="75" t="b">
        <v>0</v>
      </c>
    </row>
    <row r="353" ht="13.5" customHeight="1">
      <c r="A353" s="83" t="s">
        <v>105</v>
      </c>
      <c r="B353" s="42" t="s">
        <v>20</v>
      </c>
      <c r="C353" s="24"/>
      <c r="D353" s="33"/>
      <c r="E353" s="43">
        <f t="shared" ref="E353:J353" si="96">E6</f>
        <v>17</v>
      </c>
      <c r="F353" s="43">
        <f t="shared" si="96"/>
        <v>27</v>
      </c>
      <c r="G353" s="43">
        <f t="shared" si="96"/>
        <v>27</v>
      </c>
      <c r="H353" s="43">
        <f t="shared" si="96"/>
        <v>27</v>
      </c>
      <c r="I353" s="43">
        <f t="shared" si="96"/>
        <v>32</v>
      </c>
      <c r="J353" s="44">
        <f t="shared" si="96"/>
        <v>37</v>
      </c>
      <c r="K353" s="42" t="s">
        <v>21</v>
      </c>
      <c r="L353" s="25"/>
      <c r="M353" s="45" t="s">
        <v>22</v>
      </c>
      <c r="N353" s="25"/>
    </row>
    <row r="354" ht="18.0" customHeight="1">
      <c r="A354" s="46" t="s">
        <v>23</v>
      </c>
      <c r="B354" s="47" t="s">
        <v>24</v>
      </c>
      <c r="C354" s="32" t="s">
        <v>25</v>
      </c>
      <c r="D354" s="33"/>
      <c r="E354" s="48"/>
      <c r="F354" s="48"/>
      <c r="G354" s="48"/>
      <c r="H354" s="48"/>
      <c r="I354" s="48"/>
      <c r="J354" s="48"/>
      <c r="K354" s="49"/>
      <c r="L354" s="25"/>
      <c r="M354" s="50"/>
      <c r="N354" s="10"/>
    </row>
    <row r="355" ht="13.5" customHeight="1">
      <c r="A355" s="92"/>
      <c r="B355" s="52" t="s">
        <v>106</v>
      </c>
      <c r="C355" s="53" t="s">
        <v>27</v>
      </c>
      <c r="D355" s="54"/>
      <c r="E355" s="55">
        <f t="shared" ref="E355:J355" si="97">E354-E356</f>
        <v>0</v>
      </c>
      <c r="F355" s="55">
        <f t="shared" si="97"/>
        <v>0</v>
      </c>
      <c r="G355" s="55">
        <f t="shared" si="97"/>
        <v>0</v>
      </c>
      <c r="H355" s="55">
        <f t="shared" si="97"/>
        <v>0</v>
      </c>
      <c r="I355" s="55">
        <f t="shared" si="97"/>
        <v>0</v>
      </c>
      <c r="J355" s="55">
        <f t="shared" si="97"/>
        <v>0</v>
      </c>
      <c r="K355" s="56"/>
      <c r="L355" s="30"/>
      <c r="M355" s="57" t="s">
        <v>28</v>
      </c>
      <c r="N355" s="58" t="b">
        <v>0</v>
      </c>
    </row>
    <row r="356" ht="13.5" customHeight="1">
      <c r="A356" s="46" t="s">
        <v>29</v>
      </c>
      <c r="B356" s="59"/>
      <c r="C356" s="53" t="s">
        <v>30</v>
      </c>
      <c r="D356" s="54"/>
      <c r="E356" s="60"/>
      <c r="F356" s="60"/>
      <c r="G356" s="60"/>
      <c r="H356" s="60"/>
      <c r="I356" s="60"/>
      <c r="J356" s="60"/>
      <c r="K356" s="61" t="s">
        <v>30</v>
      </c>
      <c r="L356" s="62">
        <f>(E356*E353)+(F356*F353)+(G356*G353)+(H356*H353)+(I356*I353)+(J356*J353)</f>
        <v>0</v>
      </c>
      <c r="M356" s="57" t="s">
        <v>31</v>
      </c>
      <c r="N356" s="63" t="b">
        <v>0</v>
      </c>
    </row>
    <row r="357" ht="13.5" customHeight="1">
      <c r="A357" s="64"/>
      <c r="B357" s="65" t="s">
        <v>33</v>
      </c>
      <c r="C357" s="53" t="s">
        <v>34</v>
      </c>
      <c r="D357" s="54"/>
      <c r="E357" s="66"/>
      <c r="F357" s="66"/>
      <c r="G357" s="66"/>
      <c r="H357" s="66"/>
      <c r="I357" s="66"/>
      <c r="J357" s="66"/>
      <c r="K357" s="67" t="s">
        <v>35</v>
      </c>
      <c r="L357" s="62">
        <f>(E357*E353)+(F357*F353)+(G357*G353)+(H357*H353)+(I357*I353)+(J357*J353)</f>
        <v>0</v>
      </c>
      <c r="M357" s="57" t="s">
        <v>36</v>
      </c>
      <c r="N357" s="63" t="b">
        <v>0</v>
      </c>
    </row>
    <row r="358" ht="13.5" customHeight="1">
      <c r="A358" s="68"/>
      <c r="B358" s="69" t="str">
        <f>IFS(L358=0,"",B358&lt;&gt;"",B358,TRUE,NOW())</f>
        <v/>
      </c>
      <c r="C358" s="70" t="s">
        <v>37</v>
      </c>
      <c r="D358" s="33"/>
      <c r="E358" s="71"/>
      <c r="F358" s="71"/>
      <c r="G358" s="71"/>
      <c r="H358" s="71"/>
      <c r="I358" s="71"/>
      <c r="J358" s="71"/>
      <c r="K358" s="72" t="s">
        <v>38</v>
      </c>
      <c r="L358" s="73">
        <f>L357-L356</f>
        <v>0</v>
      </c>
      <c r="M358" s="74" t="s">
        <v>39</v>
      </c>
      <c r="N358" s="75" t="b">
        <v>0</v>
      </c>
    </row>
    <row r="359" ht="13.5" customHeight="1">
      <c r="A359" s="46" t="s">
        <v>40</v>
      </c>
      <c r="B359" s="52" t="s">
        <v>106</v>
      </c>
      <c r="C359" s="53" t="s">
        <v>27</v>
      </c>
      <c r="D359" s="54"/>
      <c r="E359" s="55">
        <f t="shared" ref="E359:J359" si="98">E357-E360</f>
        <v>0</v>
      </c>
      <c r="F359" s="55">
        <f t="shared" si="98"/>
        <v>0</v>
      </c>
      <c r="G359" s="55">
        <f t="shared" si="98"/>
        <v>0</v>
      </c>
      <c r="H359" s="55">
        <f t="shared" si="98"/>
        <v>0</v>
      </c>
      <c r="I359" s="55">
        <f t="shared" si="98"/>
        <v>0</v>
      </c>
      <c r="J359" s="55">
        <f t="shared" si="98"/>
        <v>0</v>
      </c>
      <c r="K359" s="56"/>
      <c r="L359" s="30"/>
      <c r="M359" s="57" t="s">
        <v>28</v>
      </c>
      <c r="N359" s="58" t="b">
        <v>0</v>
      </c>
    </row>
    <row r="360" ht="13.5" customHeight="1">
      <c r="A360" s="64"/>
      <c r="B360" s="59"/>
      <c r="C360" s="53" t="s">
        <v>30</v>
      </c>
      <c r="D360" s="54"/>
      <c r="E360" s="60"/>
      <c r="F360" s="60"/>
      <c r="G360" s="60"/>
      <c r="H360" s="60"/>
      <c r="I360" s="60"/>
      <c r="J360" s="60"/>
      <c r="K360" s="61" t="s">
        <v>30</v>
      </c>
      <c r="L360" s="62">
        <f>(E360*E353)+(F360*F353)+(G360*G353)+(H360*H353)+(I360*I353)+(J360*J353)</f>
        <v>0</v>
      </c>
      <c r="M360" s="57" t="s">
        <v>31</v>
      </c>
      <c r="N360" s="63" t="b">
        <v>0</v>
      </c>
    </row>
    <row r="361" ht="15.0" customHeight="1">
      <c r="A361" s="68"/>
      <c r="B361" s="65" t="s">
        <v>42</v>
      </c>
      <c r="C361" s="53" t="s">
        <v>34</v>
      </c>
      <c r="D361" s="54"/>
      <c r="E361" s="66"/>
      <c r="F361" s="66"/>
      <c r="G361" s="66"/>
      <c r="H361" s="66"/>
      <c r="I361" s="66"/>
      <c r="J361" s="66"/>
      <c r="K361" s="67" t="s">
        <v>35</v>
      </c>
      <c r="L361" s="62">
        <f>(E361*E353)+(F361*F353)+(G361*G353)+(H361*H353)+(I361*I353)+(J361*J353)</f>
        <v>0</v>
      </c>
      <c r="M361" s="57" t="s">
        <v>36</v>
      </c>
      <c r="N361" s="63" t="b">
        <v>0</v>
      </c>
    </row>
    <row r="362" ht="13.5" customHeight="1">
      <c r="A362" s="46" t="s">
        <v>43</v>
      </c>
      <c r="B362" s="69" t="str">
        <f>IFS(L362=0,"",B362&lt;&gt;"",B362,TRUE,NOW())</f>
        <v/>
      </c>
      <c r="C362" s="70" t="s">
        <v>37</v>
      </c>
      <c r="D362" s="33"/>
      <c r="E362" s="71"/>
      <c r="F362" s="71"/>
      <c r="G362" s="71"/>
      <c r="H362" s="71"/>
      <c r="I362" s="71"/>
      <c r="J362" s="71"/>
      <c r="K362" s="72" t="s">
        <v>38</v>
      </c>
      <c r="L362" s="73">
        <f>L361-L360</f>
        <v>0</v>
      </c>
      <c r="M362" s="74" t="s">
        <v>39</v>
      </c>
      <c r="N362" s="75" t="b">
        <v>0</v>
      </c>
    </row>
    <row r="363" ht="13.5" customHeight="1">
      <c r="A363" s="64"/>
      <c r="B363" s="52" t="s">
        <v>106</v>
      </c>
      <c r="C363" s="53" t="s">
        <v>27</v>
      </c>
      <c r="D363" s="54"/>
      <c r="E363" s="55">
        <f t="shared" ref="E363:J363" si="99">E361-E364</f>
        <v>0</v>
      </c>
      <c r="F363" s="55">
        <f t="shared" si="99"/>
        <v>0</v>
      </c>
      <c r="G363" s="55">
        <f t="shared" si="99"/>
        <v>0</v>
      </c>
      <c r="H363" s="55">
        <f t="shared" si="99"/>
        <v>0</v>
      </c>
      <c r="I363" s="55">
        <f t="shared" si="99"/>
        <v>0</v>
      </c>
      <c r="J363" s="55">
        <f t="shared" si="99"/>
        <v>0</v>
      </c>
      <c r="K363" s="56"/>
      <c r="L363" s="30"/>
      <c r="M363" s="57" t="s">
        <v>28</v>
      </c>
      <c r="N363" s="58" t="b">
        <v>0</v>
      </c>
    </row>
    <row r="364" ht="13.5" customHeight="1">
      <c r="A364" s="46" t="s">
        <v>45</v>
      </c>
      <c r="B364" s="59"/>
      <c r="C364" s="53" t="s">
        <v>30</v>
      </c>
      <c r="D364" s="54"/>
      <c r="E364" s="60"/>
      <c r="F364" s="60"/>
      <c r="G364" s="60"/>
      <c r="H364" s="60"/>
      <c r="I364" s="60"/>
      <c r="J364" s="60"/>
      <c r="K364" s="61" t="s">
        <v>30</v>
      </c>
      <c r="L364" s="62">
        <f>(E364*E353)+(F364*F353)+(G364*G353)+(H364*H353)+(I364*I353)+(J364*J353)</f>
        <v>0</v>
      </c>
      <c r="M364" s="57" t="s">
        <v>31</v>
      </c>
      <c r="N364" s="63" t="b">
        <v>0</v>
      </c>
    </row>
    <row r="365" ht="13.5" customHeight="1">
      <c r="A365" s="77"/>
      <c r="B365" s="65" t="s">
        <v>47</v>
      </c>
      <c r="C365" s="53" t="s">
        <v>34</v>
      </c>
      <c r="D365" s="54"/>
      <c r="E365" s="66"/>
      <c r="F365" s="66"/>
      <c r="G365" s="66"/>
      <c r="H365" s="66"/>
      <c r="I365" s="66"/>
      <c r="J365" s="66"/>
      <c r="K365" s="67" t="s">
        <v>35</v>
      </c>
      <c r="L365" s="62">
        <f>(E365*E353)+(F365*F353)+(G365*G353)+(H365*H353)+(I365*I353)+(J365*J353)</f>
        <v>0</v>
      </c>
      <c r="M365" s="57" t="s">
        <v>36</v>
      </c>
      <c r="N365" s="63" t="b">
        <v>0</v>
      </c>
    </row>
    <row r="366" ht="15.0" customHeight="1">
      <c r="A366" s="68"/>
      <c r="B366" s="69" t="str">
        <f>IFS(L366=0,"",B366&lt;&gt;"",B366,TRUE,NOW())</f>
        <v/>
      </c>
      <c r="C366" s="70" t="s">
        <v>37</v>
      </c>
      <c r="D366" s="33"/>
      <c r="E366" s="71"/>
      <c r="F366" s="71"/>
      <c r="G366" s="71"/>
      <c r="H366" s="71"/>
      <c r="I366" s="71"/>
      <c r="J366" s="71"/>
      <c r="K366" s="72" t="s">
        <v>38</v>
      </c>
      <c r="L366" s="73">
        <f>L365-L364</f>
        <v>0</v>
      </c>
      <c r="M366" s="74" t="s">
        <v>39</v>
      </c>
      <c r="N366" s="75" t="b">
        <v>0</v>
      </c>
    </row>
    <row r="367" ht="13.5" customHeight="1">
      <c r="A367" s="78" t="s">
        <v>48</v>
      </c>
      <c r="B367" s="52" t="s">
        <v>106</v>
      </c>
      <c r="C367" s="53" t="s">
        <v>27</v>
      </c>
      <c r="D367" s="54"/>
      <c r="E367" s="55">
        <f t="shared" ref="E367:J367" si="100">E365-E368</f>
        <v>0</v>
      </c>
      <c r="F367" s="55">
        <f t="shared" si="100"/>
        <v>0</v>
      </c>
      <c r="G367" s="55">
        <f t="shared" si="100"/>
        <v>0</v>
      </c>
      <c r="H367" s="55">
        <f t="shared" si="100"/>
        <v>0</v>
      </c>
      <c r="I367" s="55">
        <f t="shared" si="100"/>
        <v>0</v>
      </c>
      <c r="J367" s="55">
        <f t="shared" si="100"/>
        <v>0</v>
      </c>
      <c r="K367" s="56"/>
      <c r="L367" s="30"/>
      <c r="M367" s="57" t="s">
        <v>28</v>
      </c>
      <c r="N367" s="58" t="b">
        <v>0</v>
      </c>
    </row>
    <row r="368" ht="13.5" customHeight="1">
      <c r="A368" s="87"/>
      <c r="B368" s="59"/>
      <c r="C368" s="53" t="s">
        <v>30</v>
      </c>
      <c r="D368" s="54"/>
      <c r="E368" s="60"/>
      <c r="F368" s="60"/>
      <c r="G368" s="60"/>
      <c r="H368" s="60"/>
      <c r="I368" s="60"/>
      <c r="J368" s="60"/>
      <c r="K368" s="61" t="s">
        <v>30</v>
      </c>
      <c r="L368" s="62">
        <f>(E368*E353)+(F368*F353)+(G368*G353)+(H368*H353)+(I368*I353)+(J368*J353)</f>
        <v>0</v>
      </c>
      <c r="M368" s="57" t="s">
        <v>31</v>
      </c>
      <c r="N368" s="63" t="b">
        <v>0</v>
      </c>
    </row>
    <row r="369" ht="13.5" customHeight="1">
      <c r="A369" s="68"/>
      <c r="B369" s="65" t="s">
        <v>49</v>
      </c>
      <c r="C369" s="53" t="s">
        <v>34</v>
      </c>
      <c r="D369" s="54"/>
      <c r="E369" s="66"/>
      <c r="F369" s="66"/>
      <c r="G369" s="66"/>
      <c r="H369" s="66"/>
      <c r="I369" s="66"/>
      <c r="J369" s="66"/>
      <c r="K369" s="67" t="s">
        <v>35</v>
      </c>
      <c r="L369" s="62">
        <f>(E369*E353)+(F369*F353)+(G369*G353)+(H369*H353)+(I369*I353)+(J369*J353)</f>
        <v>0</v>
      </c>
      <c r="M369" s="57" t="s">
        <v>36</v>
      </c>
      <c r="N369" s="63" t="b">
        <v>0</v>
      </c>
    </row>
    <row r="370" ht="13.5" customHeight="1">
      <c r="A370" s="80"/>
      <c r="B370" s="69" t="str">
        <f>IFS(L370=0,"",B370&lt;&gt;"",B370,TRUE,NOW())</f>
        <v/>
      </c>
      <c r="C370" s="86" t="s">
        <v>37</v>
      </c>
      <c r="D370" s="59"/>
      <c r="E370" s="81"/>
      <c r="F370" s="81"/>
      <c r="G370" s="81"/>
      <c r="H370" s="82"/>
      <c r="I370" s="81"/>
      <c r="J370" s="81"/>
      <c r="K370" s="72" t="s">
        <v>38</v>
      </c>
      <c r="L370" s="73">
        <f>L369-L368</f>
        <v>0</v>
      </c>
      <c r="M370" s="74" t="s">
        <v>39</v>
      </c>
      <c r="N370" s="75" t="b">
        <v>0</v>
      </c>
    </row>
    <row r="371" ht="18.75" customHeight="1">
      <c r="A371" s="83" t="s">
        <v>107</v>
      </c>
      <c r="B371" s="42" t="s">
        <v>20</v>
      </c>
      <c r="C371" s="24"/>
      <c r="D371" s="33"/>
      <c r="E371" s="43">
        <f t="shared" ref="E371:J371" si="101">E6</f>
        <v>17</v>
      </c>
      <c r="F371" s="43">
        <f t="shared" si="101"/>
        <v>27</v>
      </c>
      <c r="G371" s="43">
        <f t="shared" si="101"/>
        <v>27</v>
      </c>
      <c r="H371" s="43">
        <f t="shared" si="101"/>
        <v>27</v>
      </c>
      <c r="I371" s="43">
        <f t="shared" si="101"/>
        <v>32</v>
      </c>
      <c r="J371" s="44">
        <f t="shared" si="101"/>
        <v>37</v>
      </c>
      <c r="K371" s="42" t="s">
        <v>21</v>
      </c>
      <c r="L371" s="25"/>
      <c r="M371" s="45" t="s">
        <v>22</v>
      </c>
      <c r="N371" s="25"/>
    </row>
    <row r="372" ht="13.5" customHeight="1">
      <c r="A372" s="46" t="s">
        <v>23</v>
      </c>
      <c r="B372" s="47" t="s">
        <v>24</v>
      </c>
      <c r="C372" s="32" t="s">
        <v>25</v>
      </c>
      <c r="D372" s="33"/>
      <c r="E372" s="48"/>
      <c r="F372" s="48"/>
      <c r="G372" s="48"/>
      <c r="H372" s="48"/>
      <c r="I372" s="48"/>
      <c r="J372" s="48"/>
      <c r="K372" s="49"/>
      <c r="L372" s="25"/>
      <c r="M372" s="50"/>
      <c r="N372" s="10"/>
    </row>
    <row r="373" ht="13.5" customHeight="1">
      <c r="A373" s="92"/>
      <c r="B373" s="52" t="s">
        <v>108</v>
      </c>
      <c r="C373" s="53" t="s">
        <v>27</v>
      </c>
      <c r="D373" s="54"/>
      <c r="E373" s="55">
        <f t="shared" ref="E373:J373" si="102">E372-E374</f>
        <v>0</v>
      </c>
      <c r="F373" s="55">
        <f t="shared" si="102"/>
        <v>0</v>
      </c>
      <c r="G373" s="55">
        <f t="shared" si="102"/>
        <v>0</v>
      </c>
      <c r="H373" s="55">
        <f t="shared" si="102"/>
        <v>0</v>
      </c>
      <c r="I373" s="55">
        <f t="shared" si="102"/>
        <v>0</v>
      </c>
      <c r="J373" s="55">
        <f t="shared" si="102"/>
        <v>0</v>
      </c>
      <c r="K373" s="56"/>
      <c r="L373" s="30"/>
      <c r="M373" s="57" t="s">
        <v>28</v>
      </c>
      <c r="N373" s="58" t="b">
        <v>0</v>
      </c>
    </row>
    <row r="374" ht="13.5" customHeight="1">
      <c r="A374" s="46" t="s">
        <v>29</v>
      </c>
      <c r="B374" s="59"/>
      <c r="C374" s="53" t="s">
        <v>30</v>
      </c>
      <c r="D374" s="54"/>
      <c r="E374" s="60"/>
      <c r="F374" s="60"/>
      <c r="G374" s="60"/>
      <c r="H374" s="60"/>
      <c r="I374" s="60"/>
      <c r="J374" s="60"/>
      <c r="K374" s="61" t="s">
        <v>30</v>
      </c>
      <c r="L374" s="62">
        <f>(E374*E371)+(F374*F371)+(G374*G371)+(H374*H371)+(I374*I371)+(J374*J371)</f>
        <v>0</v>
      </c>
      <c r="M374" s="57" t="s">
        <v>31</v>
      </c>
      <c r="N374" s="63" t="b">
        <v>0</v>
      </c>
    </row>
    <row r="375" ht="13.5" customHeight="1">
      <c r="A375" s="64"/>
      <c r="B375" s="65" t="s">
        <v>33</v>
      </c>
      <c r="C375" s="53" t="s">
        <v>34</v>
      </c>
      <c r="D375" s="54"/>
      <c r="E375" s="66"/>
      <c r="F375" s="66"/>
      <c r="G375" s="66"/>
      <c r="H375" s="66"/>
      <c r="I375" s="66"/>
      <c r="J375" s="66"/>
      <c r="K375" s="67" t="s">
        <v>35</v>
      </c>
      <c r="L375" s="62">
        <f>(E375*E371)+(F375*F371)+(G375*G371)+(H375*H371)+(I375*I371)+(J375*J371)</f>
        <v>0</v>
      </c>
      <c r="M375" s="57" t="s">
        <v>36</v>
      </c>
      <c r="N375" s="63" t="b">
        <v>0</v>
      </c>
    </row>
    <row r="376" ht="15.0" customHeight="1">
      <c r="A376" s="68"/>
      <c r="B376" s="69" t="str">
        <f>IFS(L376=0,"",B376&lt;&gt;"",B376,TRUE,NOW())</f>
        <v/>
      </c>
      <c r="C376" s="70" t="s">
        <v>37</v>
      </c>
      <c r="D376" s="33"/>
      <c r="E376" s="71"/>
      <c r="F376" s="71"/>
      <c r="G376" s="71"/>
      <c r="H376" s="71"/>
      <c r="I376" s="71"/>
      <c r="J376" s="71"/>
      <c r="K376" s="72" t="s">
        <v>38</v>
      </c>
      <c r="L376" s="73">
        <f>L375-L374</f>
        <v>0</v>
      </c>
      <c r="M376" s="74" t="s">
        <v>39</v>
      </c>
      <c r="N376" s="75" t="b">
        <v>0</v>
      </c>
    </row>
    <row r="377" ht="13.5" customHeight="1">
      <c r="A377" s="46" t="s">
        <v>40</v>
      </c>
      <c r="B377" s="52" t="s">
        <v>108</v>
      </c>
      <c r="C377" s="53" t="s">
        <v>27</v>
      </c>
      <c r="D377" s="54"/>
      <c r="E377" s="55">
        <f t="shared" ref="E377:J377" si="103">E375-E378</f>
        <v>0</v>
      </c>
      <c r="F377" s="55">
        <f t="shared" si="103"/>
        <v>0</v>
      </c>
      <c r="G377" s="55">
        <f t="shared" si="103"/>
        <v>0</v>
      </c>
      <c r="H377" s="55">
        <f t="shared" si="103"/>
        <v>0</v>
      </c>
      <c r="I377" s="55">
        <f t="shared" si="103"/>
        <v>0</v>
      </c>
      <c r="J377" s="55">
        <f t="shared" si="103"/>
        <v>0</v>
      </c>
      <c r="K377" s="56"/>
      <c r="L377" s="30"/>
      <c r="M377" s="57" t="s">
        <v>28</v>
      </c>
      <c r="N377" s="58" t="b">
        <v>0</v>
      </c>
    </row>
    <row r="378" ht="13.5" customHeight="1">
      <c r="A378" s="64"/>
      <c r="B378" s="59"/>
      <c r="C378" s="53" t="s">
        <v>30</v>
      </c>
      <c r="D378" s="54"/>
      <c r="E378" s="60"/>
      <c r="F378" s="60"/>
      <c r="G378" s="60"/>
      <c r="H378" s="60"/>
      <c r="I378" s="60"/>
      <c r="J378" s="60"/>
      <c r="K378" s="61" t="s">
        <v>30</v>
      </c>
      <c r="L378" s="62">
        <f>(E378*E371)+(F378*F371)+(G378*G371)+(H378*H371)+(I378*I371)+(J378*J371)</f>
        <v>0</v>
      </c>
      <c r="M378" s="57" t="s">
        <v>31</v>
      </c>
      <c r="N378" s="63" t="b">
        <v>0</v>
      </c>
    </row>
    <row r="379" ht="13.5" customHeight="1">
      <c r="A379" s="68"/>
      <c r="B379" s="65" t="s">
        <v>42</v>
      </c>
      <c r="C379" s="53" t="s">
        <v>34</v>
      </c>
      <c r="D379" s="54"/>
      <c r="E379" s="66"/>
      <c r="F379" s="66"/>
      <c r="G379" s="66"/>
      <c r="H379" s="66"/>
      <c r="I379" s="66"/>
      <c r="J379" s="66"/>
      <c r="K379" s="67" t="s">
        <v>35</v>
      </c>
      <c r="L379" s="62">
        <f>(E379*E371)+(F379*F371)+(G379*G371)+(H379*H371)+(I379*I371)+(J379*J371)</f>
        <v>0</v>
      </c>
      <c r="M379" s="57" t="s">
        <v>36</v>
      </c>
      <c r="N379" s="63" t="b">
        <v>0</v>
      </c>
    </row>
    <row r="380" ht="13.5" customHeight="1">
      <c r="A380" s="46" t="s">
        <v>43</v>
      </c>
      <c r="B380" s="69" t="str">
        <f>IFS(L380=0,"",B380&lt;&gt;"",B380,TRUE,NOW())</f>
        <v/>
      </c>
      <c r="C380" s="70" t="s">
        <v>37</v>
      </c>
      <c r="D380" s="33"/>
      <c r="E380" s="71"/>
      <c r="F380" s="71"/>
      <c r="G380" s="71"/>
      <c r="H380" s="71"/>
      <c r="I380" s="71"/>
      <c r="J380" s="71"/>
      <c r="K380" s="72" t="s">
        <v>38</v>
      </c>
      <c r="L380" s="73">
        <f>L379-L378</f>
        <v>0</v>
      </c>
      <c r="M380" s="74" t="s">
        <v>39</v>
      </c>
      <c r="N380" s="75" t="b">
        <v>0</v>
      </c>
    </row>
    <row r="381" ht="13.5" customHeight="1">
      <c r="A381" s="64"/>
      <c r="B381" s="52" t="s">
        <v>108</v>
      </c>
      <c r="C381" s="53" t="s">
        <v>27</v>
      </c>
      <c r="D381" s="54"/>
      <c r="E381" s="55">
        <f t="shared" ref="E381:J381" si="104">E379-E382</f>
        <v>0</v>
      </c>
      <c r="F381" s="55">
        <f t="shared" si="104"/>
        <v>0</v>
      </c>
      <c r="G381" s="55">
        <f t="shared" si="104"/>
        <v>0</v>
      </c>
      <c r="H381" s="55">
        <f t="shared" si="104"/>
        <v>0</v>
      </c>
      <c r="I381" s="55">
        <f t="shared" si="104"/>
        <v>0</v>
      </c>
      <c r="J381" s="55">
        <f t="shared" si="104"/>
        <v>0</v>
      </c>
      <c r="K381" s="56"/>
      <c r="L381" s="30"/>
      <c r="M381" s="57" t="s">
        <v>28</v>
      </c>
      <c r="N381" s="58" t="b">
        <v>0</v>
      </c>
    </row>
    <row r="382" ht="13.5" customHeight="1">
      <c r="A382" s="46" t="s">
        <v>45</v>
      </c>
      <c r="B382" s="59"/>
      <c r="C382" s="53" t="s">
        <v>30</v>
      </c>
      <c r="D382" s="54"/>
      <c r="E382" s="60"/>
      <c r="F382" s="60"/>
      <c r="G382" s="60"/>
      <c r="H382" s="60"/>
      <c r="I382" s="60"/>
      <c r="J382" s="60"/>
      <c r="K382" s="61" t="s">
        <v>30</v>
      </c>
      <c r="L382" s="62">
        <f>(E382*E371)+(F382*F371)+(G382*G371)+(H382*H371)+(I382*I371)+(J382*J371)</f>
        <v>0</v>
      </c>
      <c r="M382" s="57" t="s">
        <v>31</v>
      </c>
      <c r="N382" s="63" t="b">
        <v>0</v>
      </c>
    </row>
    <row r="383" ht="17.25" customHeight="1">
      <c r="A383" s="77"/>
      <c r="B383" s="65" t="s">
        <v>47</v>
      </c>
      <c r="C383" s="53" t="s">
        <v>34</v>
      </c>
      <c r="D383" s="54"/>
      <c r="E383" s="66"/>
      <c r="F383" s="66"/>
      <c r="G383" s="66"/>
      <c r="H383" s="66"/>
      <c r="I383" s="66"/>
      <c r="J383" s="66"/>
      <c r="K383" s="67" t="s">
        <v>35</v>
      </c>
      <c r="L383" s="62">
        <f>(E383*E371)+(F383*F371)+(G383*G371)+(H383*H371)+(I383*I371)+(J383*J371)</f>
        <v>0</v>
      </c>
      <c r="M383" s="57" t="s">
        <v>36</v>
      </c>
      <c r="N383" s="63" t="b">
        <v>0</v>
      </c>
    </row>
    <row r="384" ht="13.5" customHeight="1">
      <c r="A384" s="68"/>
      <c r="B384" s="69" t="str">
        <f>IFS(L384=0,"",B384&lt;&gt;"",B384,TRUE,NOW())</f>
        <v/>
      </c>
      <c r="C384" s="70" t="s">
        <v>37</v>
      </c>
      <c r="D384" s="33"/>
      <c r="E384" s="71"/>
      <c r="F384" s="71"/>
      <c r="G384" s="71"/>
      <c r="H384" s="71"/>
      <c r="I384" s="71"/>
      <c r="J384" s="71"/>
      <c r="K384" s="72" t="s">
        <v>38</v>
      </c>
      <c r="L384" s="73">
        <f>L383-L382</f>
        <v>0</v>
      </c>
      <c r="M384" s="74" t="s">
        <v>39</v>
      </c>
      <c r="N384" s="75" t="b">
        <v>0</v>
      </c>
    </row>
    <row r="385" ht="13.5" customHeight="1">
      <c r="A385" s="78" t="s">
        <v>48</v>
      </c>
      <c r="B385" s="52" t="s">
        <v>108</v>
      </c>
      <c r="C385" s="53" t="s">
        <v>27</v>
      </c>
      <c r="D385" s="54"/>
      <c r="E385" s="55">
        <f t="shared" ref="E385:J385" si="105">E383-E386</f>
        <v>0</v>
      </c>
      <c r="F385" s="55">
        <f t="shared" si="105"/>
        <v>0</v>
      </c>
      <c r="G385" s="55">
        <f t="shared" si="105"/>
        <v>0</v>
      </c>
      <c r="H385" s="55">
        <f t="shared" si="105"/>
        <v>0</v>
      </c>
      <c r="I385" s="55">
        <f t="shared" si="105"/>
        <v>0</v>
      </c>
      <c r="J385" s="55">
        <f t="shared" si="105"/>
        <v>0</v>
      </c>
      <c r="K385" s="56"/>
      <c r="L385" s="30"/>
      <c r="M385" s="57" t="s">
        <v>28</v>
      </c>
      <c r="N385" s="58" t="b">
        <v>0</v>
      </c>
    </row>
    <row r="386" ht="13.5" customHeight="1">
      <c r="A386" s="87"/>
      <c r="B386" s="59"/>
      <c r="C386" s="53" t="s">
        <v>30</v>
      </c>
      <c r="D386" s="54"/>
      <c r="E386" s="60"/>
      <c r="F386" s="60"/>
      <c r="G386" s="60"/>
      <c r="H386" s="60"/>
      <c r="I386" s="60"/>
      <c r="J386" s="60"/>
      <c r="K386" s="61" t="s">
        <v>30</v>
      </c>
      <c r="L386" s="62">
        <f>(E386*E371)+(F386*F371)+(G386*G371)+(H386*H371)+(I386*I371)+(J386*J371)</f>
        <v>0</v>
      </c>
      <c r="M386" s="57" t="s">
        <v>31</v>
      </c>
      <c r="N386" s="63" t="b">
        <v>0</v>
      </c>
    </row>
    <row r="387" ht="13.5" customHeight="1">
      <c r="A387" s="68"/>
      <c r="B387" s="65" t="s">
        <v>49</v>
      </c>
      <c r="C387" s="53" t="s">
        <v>34</v>
      </c>
      <c r="D387" s="54"/>
      <c r="E387" s="66"/>
      <c r="F387" s="66"/>
      <c r="G387" s="66"/>
      <c r="H387" s="66"/>
      <c r="I387" s="66"/>
      <c r="J387" s="66"/>
      <c r="K387" s="67" t="s">
        <v>35</v>
      </c>
      <c r="L387" s="62">
        <f>(E387*E371)+(F387*F371)+(G387*G371)+(H387*H371)+(I387*I371)+(J387*J371)</f>
        <v>0</v>
      </c>
      <c r="M387" s="57" t="s">
        <v>36</v>
      </c>
      <c r="N387" s="63" t="b">
        <v>0</v>
      </c>
    </row>
    <row r="388" ht="15.0" customHeight="1">
      <c r="A388" s="80"/>
      <c r="B388" s="69" t="str">
        <f>IFS(L388=0,"",B388&lt;&gt;"",B388,TRUE,NOW())</f>
        <v/>
      </c>
      <c r="C388" s="53" t="s">
        <v>37</v>
      </c>
      <c r="D388" s="54"/>
      <c r="E388" s="81"/>
      <c r="F388" s="81"/>
      <c r="G388" s="81"/>
      <c r="H388" s="82"/>
      <c r="I388" s="81"/>
      <c r="J388" s="81"/>
      <c r="K388" s="72" t="s">
        <v>38</v>
      </c>
      <c r="L388" s="73">
        <f>L387-L386</f>
        <v>0</v>
      </c>
      <c r="M388" s="74" t="s">
        <v>39</v>
      </c>
      <c r="N388" s="75" t="b">
        <v>0</v>
      </c>
    </row>
    <row r="389" ht="13.5" customHeight="1">
      <c r="A389" s="83" t="s">
        <v>109</v>
      </c>
      <c r="B389" s="42" t="s">
        <v>20</v>
      </c>
      <c r="C389" s="24"/>
      <c r="D389" s="33"/>
      <c r="E389" s="43">
        <f t="shared" ref="E389:J389" si="106">E6</f>
        <v>17</v>
      </c>
      <c r="F389" s="43">
        <f t="shared" si="106"/>
        <v>27</v>
      </c>
      <c r="G389" s="43">
        <f t="shared" si="106"/>
        <v>27</v>
      </c>
      <c r="H389" s="43">
        <f t="shared" si="106"/>
        <v>27</v>
      </c>
      <c r="I389" s="43">
        <f t="shared" si="106"/>
        <v>32</v>
      </c>
      <c r="J389" s="44">
        <f t="shared" si="106"/>
        <v>37</v>
      </c>
      <c r="K389" s="42" t="s">
        <v>21</v>
      </c>
      <c r="L389" s="25"/>
      <c r="M389" s="45" t="s">
        <v>22</v>
      </c>
      <c r="N389" s="25"/>
    </row>
    <row r="390" ht="13.5" customHeight="1">
      <c r="A390" s="46" t="s">
        <v>23</v>
      </c>
      <c r="B390" s="47" t="s">
        <v>24</v>
      </c>
      <c r="C390" s="32" t="s">
        <v>25</v>
      </c>
      <c r="D390" s="33"/>
      <c r="E390" s="48"/>
      <c r="F390" s="48"/>
      <c r="G390" s="48"/>
      <c r="H390" s="48"/>
      <c r="I390" s="48"/>
      <c r="J390" s="48"/>
      <c r="K390" s="49"/>
      <c r="L390" s="25"/>
      <c r="M390" s="50"/>
      <c r="N390" s="10"/>
    </row>
    <row r="391" ht="13.5" customHeight="1">
      <c r="A391" s="92"/>
      <c r="B391" s="52" t="s">
        <v>110</v>
      </c>
      <c r="C391" s="53" t="s">
        <v>27</v>
      </c>
      <c r="D391" s="54"/>
      <c r="E391" s="55">
        <f t="shared" ref="E391:J391" si="107">E390-E392</f>
        <v>0</v>
      </c>
      <c r="F391" s="55">
        <f t="shared" si="107"/>
        <v>0</v>
      </c>
      <c r="G391" s="55">
        <f t="shared" si="107"/>
        <v>0</v>
      </c>
      <c r="H391" s="55">
        <f t="shared" si="107"/>
        <v>0</v>
      </c>
      <c r="I391" s="55">
        <f t="shared" si="107"/>
        <v>0</v>
      </c>
      <c r="J391" s="55">
        <f t="shared" si="107"/>
        <v>0</v>
      </c>
      <c r="K391" s="56"/>
      <c r="L391" s="30"/>
      <c r="M391" s="57" t="s">
        <v>28</v>
      </c>
      <c r="N391" s="58" t="b">
        <v>0</v>
      </c>
    </row>
    <row r="392" ht="13.5" customHeight="1">
      <c r="A392" s="46" t="s">
        <v>29</v>
      </c>
      <c r="B392" s="59"/>
      <c r="C392" s="53" t="s">
        <v>30</v>
      </c>
      <c r="D392" s="54"/>
      <c r="E392" s="60"/>
      <c r="F392" s="60"/>
      <c r="G392" s="60"/>
      <c r="H392" s="60"/>
      <c r="I392" s="60"/>
      <c r="J392" s="60"/>
      <c r="K392" s="61" t="s">
        <v>30</v>
      </c>
      <c r="L392" s="62">
        <f>(E392*E389)+(F392*F389)+(G392*G389)+(H392*H389)+(I392*I389)+(J392*J389)</f>
        <v>0</v>
      </c>
      <c r="M392" s="57" t="s">
        <v>31</v>
      </c>
      <c r="N392" s="63" t="b">
        <v>0</v>
      </c>
    </row>
    <row r="393" ht="16.5" customHeight="1">
      <c r="A393" s="64"/>
      <c r="B393" s="65" t="s">
        <v>33</v>
      </c>
      <c r="C393" s="53" t="s">
        <v>34</v>
      </c>
      <c r="D393" s="54"/>
      <c r="E393" s="66"/>
      <c r="F393" s="66"/>
      <c r="G393" s="66"/>
      <c r="H393" s="66"/>
      <c r="I393" s="66"/>
      <c r="J393" s="66"/>
      <c r="K393" s="67" t="s">
        <v>35</v>
      </c>
      <c r="L393" s="62">
        <f>(E393*E389)+(F393*F389)+(G393*G389)+(H393*H389)+(I393*I389)+(J393*J389)</f>
        <v>0</v>
      </c>
      <c r="M393" s="57" t="s">
        <v>36</v>
      </c>
      <c r="N393" s="63" t="b">
        <v>0</v>
      </c>
    </row>
    <row r="394" ht="13.5" customHeight="1">
      <c r="A394" s="68"/>
      <c r="B394" s="69" t="str">
        <f>IFS(L394=0,"",B394&lt;&gt;"",B394,TRUE,NOW())</f>
        <v/>
      </c>
      <c r="C394" s="70" t="s">
        <v>37</v>
      </c>
      <c r="D394" s="33"/>
      <c r="E394" s="71"/>
      <c r="F394" s="71"/>
      <c r="G394" s="71"/>
      <c r="H394" s="71"/>
      <c r="I394" s="71"/>
      <c r="J394" s="71"/>
      <c r="K394" s="72" t="s">
        <v>38</v>
      </c>
      <c r="L394" s="73">
        <f>L393-L392</f>
        <v>0</v>
      </c>
      <c r="M394" s="74" t="s">
        <v>39</v>
      </c>
      <c r="N394" s="75" t="b">
        <v>0</v>
      </c>
    </row>
    <row r="395" ht="13.5" customHeight="1">
      <c r="A395" s="46" t="s">
        <v>40</v>
      </c>
      <c r="B395" s="52" t="s">
        <v>110</v>
      </c>
      <c r="C395" s="53" t="s">
        <v>27</v>
      </c>
      <c r="D395" s="54"/>
      <c r="E395" s="55">
        <f t="shared" ref="E395:J395" si="108">E393-E396</f>
        <v>0</v>
      </c>
      <c r="F395" s="55">
        <f t="shared" si="108"/>
        <v>0</v>
      </c>
      <c r="G395" s="55">
        <f t="shared" si="108"/>
        <v>0</v>
      </c>
      <c r="H395" s="55">
        <f t="shared" si="108"/>
        <v>0</v>
      </c>
      <c r="I395" s="55">
        <f t="shared" si="108"/>
        <v>0</v>
      </c>
      <c r="J395" s="55">
        <f t="shared" si="108"/>
        <v>0</v>
      </c>
      <c r="K395" s="56"/>
      <c r="L395" s="30"/>
      <c r="M395" s="57" t="s">
        <v>28</v>
      </c>
      <c r="N395" s="58" t="b">
        <v>0</v>
      </c>
    </row>
    <row r="396" ht="13.5" customHeight="1">
      <c r="A396" s="64"/>
      <c r="B396" s="59"/>
      <c r="C396" s="53" t="s">
        <v>30</v>
      </c>
      <c r="D396" s="54"/>
      <c r="E396" s="60"/>
      <c r="F396" s="60"/>
      <c r="G396" s="60"/>
      <c r="H396" s="60"/>
      <c r="I396" s="60"/>
      <c r="J396" s="60"/>
      <c r="K396" s="61" t="s">
        <v>30</v>
      </c>
      <c r="L396" s="62">
        <f>(E396*E389)+(F396*F389)+(G396*G389)+(H396*H389)+(I396*I389)+(J396*J389)</f>
        <v>0</v>
      </c>
      <c r="M396" s="57" t="s">
        <v>31</v>
      </c>
      <c r="N396" s="63" t="b">
        <v>0</v>
      </c>
    </row>
    <row r="397" ht="13.5" customHeight="1">
      <c r="A397" s="68"/>
      <c r="B397" s="65" t="s">
        <v>42</v>
      </c>
      <c r="C397" s="53" t="s">
        <v>34</v>
      </c>
      <c r="D397" s="54"/>
      <c r="E397" s="66"/>
      <c r="F397" s="66"/>
      <c r="G397" s="66"/>
      <c r="H397" s="66"/>
      <c r="I397" s="66"/>
      <c r="J397" s="66"/>
      <c r="K397" s="67" t="s">
        <v>35</v>
      </c>
      <c r="L397" s="62">
        <f>(E397*E389)+(F397*F389)+(G397*G389)+(H397*H389)+(I397*I389)+(J397*J389)</f>
        <v>0</v>
      </c>
      <c r="M397" s="57" t="s">
        <v>36</v>
      </c>
      <c r="N397" s="63" t="b">
        <v>0</v>
      </c>
    </row>
    <row r="398" ht="15.0" customHeight="1">
      <c r="A398" s="46" t="s">
        <v>43</v>
      </c>
      <c r="B398" s="69" t="str">
        <f>IFS(L398=0,"",B398&lt;&gt;"",B398,TRUE,NOW())</f>
        <v/>
      </c>
      <c r="C398" s="70" t="s">
        <v>37</v>
      </c>
      <c r="D398" s="33"/>
      <c r="E398" s="71"/>
      <c r="F398" s="71"/>
      <c r="G398" s="71"/>
      <c r="H398" s="71"/>
      <c r="I398" s="71"/>
      <c r="J398" s="71"/>
      <c r="K398" s="72" t="s">
        <v>38</v>
      </c>
      <c r="L398" s="73">
        <f>L397-L396</f>
        <v>0</v>
      </c>
      <c r="M398" s="74" t="s">
        <v>39</v>
      </c>
      <c r="N398" s="75" t="b">
        <v>0</v>
      </c>
    </row>
    <row r="399" ht="13.5" customHeight="1">
      <c r="A399" s="64"/>
      <c r="B399" s="52" t="s">
        <v>110</v>
      </c>
      <c r="C399" s="53" t="s">
        <v>27</v>
      </c>
      <c r="D399" s="54"/>
      <c r="E399" s="55">
        <f t="shared" ref="E399:J399" si="109">E397-E400</f>
        <v>0</v>
      </c>
      <c r="F399" s="55">
        <f t="shared" si="109"/>
        <v>0</v>
      </c>
      <c r="G399" s="55">
        <f t="shared" si="109"/>
        <v>0</v>
      </c>
      <c r="H399" s="55">
        <f t="shared" si="109"/>
        <v>0</v>
      </c>
      <c r="I399" s="55">
        <f t="shared" si="109"/>
        <v>0</v>
      </c>
      <c r="J399" s="55">
        <f t="shared" si="109"/>
        <v>0</v>
      </c>
      <c r="K399" s="56"/>
      <c r="L399" s="30"/>
      <c r="M399" s="57" t="s">
        <v>28</v>
      </c>
      <c r="N399" s="58" t="b">
        <v>0</v>
      </c>
    </row>
    <row r="400" ht="13.5" customHeight="1">
      <c r="A400" s="46" t="s">
        <v>45</v>
      </c>
      <c r="B400" s="59"/>
      <c r="C400" s="53" t="s">
        <v>30</v>
      </c>
      <c r="D400" s="54"/>
      <c r="E400" s="60"/>
      <c r="F400" s="60"/>
      <c r="G400" s="60"/>
      <c r="H400" s="60"/>
      <c r="I400" s="60"/>
      <c r="J400" s="60"/>
      <c r="K400" s="61" t="s">
        <v>30</v>
      </c>
      <c r="L400" s="62">
        <f>(E400*E389)+(F400*F389)+(G400*G389)+(H400*H389)+(I400*I389)+(J400*J389)</f>
        <v>0</v>
      </c>
      <c r="M400" s="57" t="s">
        <v>31</v>
      </c>
      <c r="N400" s="63" t="b">
        <v>0</v>
      </c>
    </row>
    <row r="401" ht="13.5" customHeight="1">
      <c r="A401" s="77"/>
      <c r="B401" s="65" t="s">
        <v>47</v>
      </c>
      <c r="C401" s="53" t="s">
        <v>34</v>
      </c>
      <c r="D401" s="54"/>
      <c r="E401" s="66"/>
      <c r="F401" s="66"/>
      <c r="G401" s="66"/>
      <c r="H401" s="66"/>
      <c r="I401" s="66"/>
      <c r="J401" s="66"/>
      <c r="K401" s="67" t="s">
        <v>35</v>
      </c>
      <c r="L401" s="62">
        <f>(E401*E389)+(F401*F389)+(G401*G389)+(H401*H389)+(I401*I389)+(J401*J389)</f>
        <v>0</v>
      </c>
      <c r="M401" s="57" t="s">
        <v>36</v>
      </c>
      <c r="N401" s="63" t="b">
        <v>0</v>
      </c>
    </row>
    <row r="402" ht="13.5" customHeight="1">
      <c r="A402" s="68"/>
      <c r="B402" s="69" t="str">
        <f>IFS(L402=0,"",B402&lt;&gt;"",B402,TRUE,NOW())</f>
        <v/>
      </c>
      <c r="C402" s="70" t="s">
        <v>37</v>
      </c>
      <c r="D402" s="33"/>
      <c r="E402" s="71"/>
      <c r="F402" s="71"/>
      <c r="G402" s="71"/>
      <c r="H402" s="71"/>
      <c r="I402" s="71"/>
      <c r="J402" s="71"/>
      <c r="K402" s="72" t="s">
        <v>38</v>
      </c>
      <c r="L402" s="73">
        <f>L401-L400</f>
        <v>0</v>
      </c>
      <c r="M402" s="74" t="s">
        <v>39</v>
      </c>
      <c r="N402" s="75" t="b">
        <v>0</v>
      </c>
    </row>
    <row r="403" ht="13.5" customHeight="1">
      <c r="A403" s="78" t="s">
        <v>48</v>
      </c>
      <c r="B403" s="52" t="s">
        <v>110</v>
      </c>
      <c r="C403" s="53" t="s">
        <v>27</v>
      </c>
      <c r="D403" s="54"/>
      <c r="E403" s="55">
        <f t="shared" ref="E403:J403" si="110">E401-E404</f>
        <v>0</v>
      </c>
      <c r="F403" s="55">
        <f t="shared" si="110"/>
        <v>0</v>
      </c>
      <c r="G403" s="55">
        <f t="shared" si="110"/>
        <v>0</v>
      </c>
      <c r="H403" s="55">
        <f t="shared" si="110"/>
        <v>0</v>
      </c>
      <c r="I403" s="55">
        <f t="shared" si="110"/>
        <v>0</v>
      </c>
      <c r="J403" s="55">
        <f t="shared" si="110"/>
        <v>0</v>
      </c>
      <c r="K403" s="56"/>
      <c r="L403" s="30"/>
      <c r="M403" s="57" t="s">
        <v>28</v>
      </c>
      <c r="N403" s="58" t="b">
        <v>0</v>
      </c>
    </row>
    <row r="404" ht="13.5" customHeight="1">
      <c r="A404" s="87"/>
      <c r="B404" s="59"/>
      <c r="C404" s="53" t="s">
        <v>30</v>
      </c>
      <c r="D404" s="54"/>
      <c r="E404" s="60"/>
      <c r="F404" s="60"/>
      <c r="G404" s="60"/>
      <c r="H404" s="60"/>
      <c r="I404" s="60"/>
      <c r="J404" s="60"/>
      <c r="K404" s="61" t="s">
        <v>30</v>
      </c>
      <c r="L404" s="62">
        <f>(E404*E389)+(F404*F389)+(G404*G389)+(H404*H389)+(I404*I389)+(J404*J389)</f>
        <v>0</v>
      </c>
      <c r="M404" s="57" t="s">
        <v>31</v>
      </c>
      <c r="N404" s="63" t="b">
        <v>0</v>
      </c>
    </row>
    <row r="405" ht="15.0" customHeight="1">
      <c r="A405" s="68"/>
      <c r="B405" s="65" t="s">
        <v>49</v>
      </c>
      <c r="C405" s="53" t="s">
        <v>34</v>
      </c>
      <c r="D405" s="54"/>
      <c r="E405" s="66"/>
      <c r="F405" s="66"/>
      <c r="G405" s="66"/>
      <c r="H405" s="66"/>
      <c r="I405" s="66"/>
      <c r="J405" s="66"/>
      <c r="K405" s="67" t="s">
        <v>35</v>
      </c>
      <c r="L405" s="62">
        <f>(E405*E389)+(F405*F389)+(G405*G389)+(H405*H389)+(I405*I389)+(J405*J389)</f>
        <v>0</v>
      </c>
      <c r="M405" s="57" t="s">
        <v>36</v>
      </c>
      <c r="N405" s="63" t="b">
        <v>0</v>
      </c>
    </row>
    <row r="406" ht="13.5" customHeight="1">
      <c r="A406" s="80"/>
      <c r="B406" s="69" t="str">
        <f>IFS(L406=0,"",B406&lt;&gt;"",B406,TRUE,NOW())</f>
        <v/>
      </c>
      <c r="C406" s="53" t="s">
        <v>37</v>
      </c>
      <c r="D406" s="54"/>
      <c r="E406" s="81"/>
      <c r="F406" s="81"/>
      <c r="G406" s="81"/>
      <c r="H406" s="82"/>
      <c r="I406" s="81"/>
      <c r="J406" s="81"/>
      <c r="K406" s="72" t="s">
        <v>38</v>
      </c>
      <c r="L406" s="73">
        <f>L405-L404</f>
        <v>0</v>
      </c>
      <c r="M406" s="74" t="s">
        <v>39</v>
      </c>
      <c r="N406" s="75" t="b">
        <v>0</v>
      </c>
    </row>
    <row r="407" ht="13.5" customHeight="1">
      <c r="A407" s="83" t="s">
        <v>111</v>
      </c>
      <c r="B407" s="42" t="s">
        <v>20</v>
      </c>
      <c r="C407" s="24"/>
      <c r="D407" s="33"/>
      <c r="E407" s="43">
        <f t="shared" ref="E407:J407" si="111">E6</f>
        <v>17</v>
      </c>
      <c r="F407" s="43">
        <f t="shared" si="111"/>
        <v>27</v>
      </c>
      <c r="G407" s="43">
        <f t="shared" si="111"/>
        <v>27</v>
      </c>
      <c r="H407" s="43">
        <f t="shared" si="111"/>
        <v>27</v>
      </c>
      <c r="I407" s="43">
        <f t="shared" si="111"/>
        <v>32</v>
      </c>
      <c r="J407" s="44">
        <f t="shared" si="111"/>
        <v>37</v>
      </c>
      <c r="K407" s="42" t="s">
        <v>21</v>
      </c>
      <c r="L407" s="25"/>
      <c r="M407" s="45" t="s">
        <v>22</v>
      </c>
      <c r="N407" s="25"/>
    </row>
    <row r="408" ht="13.5" customHeight="1">
      <c r="A408" s="46" t="s">
        <v>23</v>
      </c>
      <c r="B408" s="47" t="s">
        <v>24</v>
      </c>
      <c r="C408" s="32" t="s">
        <v>25</v>
      </c>
      <c r="D408" s="33"/>
      <c r="E408" s="48"/>
      <c r="F408" s="48"/>
      <c r="G408" s="48"/>
      <c r="H408" s="48"/>
      <c r="I408" s="48"/>
      <c r="J408" s="48"/>
      <c r="K408" s="49"/>
      <c r="L408" s="25"/>
      <c r="M408" s="50"/>
      <c r="N408" s="10"/>
    </row>
    <row r="409" ht="13.5" customHeight="1">
      <c r="A409" s="92"/>
      <c r="B409" s="52" t="s">
        <v>112</v>
      </c>
      <c r="C409" s="53" t="s">
        <v>27</v>
      </c>
      <c r="D409" s="54"/>
      <c r="E409" s="55">
        <f t="shared" ref="E409:J409" si="112">E408-E410</f>
        <v>0</v>
      </c>
      <c r="F409" s="55">
        <f t="shared" si="112"/>
        <v>0</v>
      </c>
      <c r="G409" s="55">
        <f t="shared" si="112"/>
        <v>0</v>
      </c>
      <c r="H409" s="55">
        <f t="shared" si="112"/>
        <v>0</v>
      </c>
      <c r="I409" s="55">
        <f t="shared" si="112"/>
        <v>0</v>
      </c>
      <c r="J409" s="55">
        <f t="shared" si="112"/>
        <v>0</v>
      </c>
      <c r="K409" s="56"/>
      <c r="L409" s="30"/>
      <c r="M409" s="57" t="s">
        <v>28</v>
      </c>
      <c r="N409" s="58" t="b">
        <v>0</v>
      </c>
    </row>
    <row r="410" ht="15.0" customHeight="1">
      <c r="A410" s="46" t="s">
        <v>29</v>
      </c>
      <c r="B410" s="59"/>
      <c r="C410" s="53" t="s">
        <v>30</v>
      </c>
      <c r="D410" s="54"/>
      <c r="E410" s="60"/>
      <c r="F410" s="60"/>
      <c r="G410" s="60"/>
      <c r="H410" s="60"/>
      <c r="I410" s="60"/>
      <c r="J410" s="60"/>
      <c r="K410" s="61" t="s">
        <v>30</v>
      </c>
      <c r="L410" s="62">
        <f>(E410*E407)+(F410*F407)+(G410*G407)+(H410*H407)+(I410*I407)+(J410*J407)</f>
        <v>0</v>
      </c>
      <c r="M410" s="57" t="s">
        <v>31</v>
      </c>
      <c r="N410" s="63" t="b">
        <v>0</v>
      </c>
    </row>
    <row r="411" ht="13.5" customHeight="1">
      <c r="A411" s="64"/>
      <c r="B411" s="65" t="s">
        <v>33</v>
      </c>
      <c r="C411" s="53" t="s">
        <v>34</v>
      </c>
      <c r="D411" s="54"/>
      <c r="E411" s="66"/>
      <c r="F411" s="66"/>
      <c r="G411" s="66"/>
      <c r="H411" s="66"/>
      <c r="I411" s="66"/>
      <c r="J411" s="66"/>
      <c r="K411" s="67" t="s">
        <v>35</v>
      </c>
      <c r="L411" s="62">
        <f>(E411*E407)+(F411*F407)+(G411*G407)+(H411*H407)+(I411*I407)+(J411*J407)</f>
        <v>0</v>
      </c>
      <c r="M411" s="57" t="s">
        <v>36</v>
      </c>
      <c r="N411" s="63" t="b">
        <v>0</v>
      </c>
    </row>
    <row r="412" ht="13.5" customHeight="1">
      <c r="A412" s="68"/>
      <c r="B412" s="69" t="str">
        <f>IFS(L412=0,"",B412&lt;&gt;"",B412,TRUE,NOW())</f>
        <v/>
      </c>
      <c r="C412" s="70" t="s">
        <v>37</v>
      </c>
      <c r="D412" s="33"/>
      <c r="E412" s="71"/>
      <c r="F412" s="71"/>
      <c r="G412" s="71"/>
      <c r="H412" s="71"/>
      <c r="I412" s="71"/>
      <c r="J412" s="71"/>
      <c r="K412" s="72" t="s">
        <v>38</v>
      </c>
      <c r="L412" s="73">
        <f>L411-L410</f>
        <v>0</v>
      </c>
      <c r="M412" s="74" t="s">
        <v>39</v>
      </c>
      <c r="N412" s="75" t="b">
        <v>0</v>
      </c>
    </row>
    <row r="413" ht="13.5" customHeight="1">
      <c r="A413" s="46" t="s">
        <v>40</v>
      </c>
      <c r="B413" s="52" t="s">
        <v>112</v>
      </c>
      <c r="C413" s="53" t="s">
        <v>27</v>
      </c>
      <c r="D413" s="54"/>
      <c r="E413" s="55">
        <f t="shared" ref="E413:J413" si="113">E411-E414</f>
        <v>0</v>
      </c>
      <c r="F413" s="55">
        <f t="shared" si="113"/>
        <v>0</v>
      </c>
      <c r="G413" s="55">
        <f t="shared" si="113"/>
        <v>0</v>
      </c>
      <c r="H413" s="55">
        <f t="shared" si="113"/>
        <v>0</v>
      </c>
      <c r="I413" s="55">
        <f t="shared" si="113"/>
        <v>0</v>
      </c>
      <c r="J413" s="55">
        <f t="shared" si="113"/>
        <v>0</v>
      </c>
      <c r="K413" s="56"/>
      <c r="L413" s="30"/>
      <c r="M413" s="57" t="s">
        <v>28</v>
      </c>
      <c r="N413" s="58" t="b">
        <v>0</v>
      </c>
    </row>
    <row r="414" ht="13.5" customHeight="1">
      <c r="A414" s="64"/>
      <c r="B414" s="59"/>
      <c r="C414" s="53" t="s">
        <v>30</v>
      </c>
      <c r="D414" s="54"/>
      <c r="E414" s="60"/>
      <c r="F414" s="60"/>
      <c r="G414" s="60"/>
      <c r="H414" s="60"/>
      <c r="I414" s="60"/>
      <c r="J414" s="60"/>
      <c r="K414" s="61" t="s">
        <v>30</v>
      </c>
      <c r="L414" s="62">
        <f>(E414*E407)+(F414*F407)+(G414*G407)+(H414*H407)+(I414*I407)+(J414*J407)</f>
        <v>0</v>
      </c>
      <c r="M414" s="57" t="s">
        <v>31</v>
      </c>
      <c r="N414" s="63" t="b">
        <v>0</v>
      </c>
    </row>
    <row r="415" ht="18.75" customHeight="1">
      <c r="A415" s="68"/>
      <c r="B415" s="65" t="s">
        <v>42</v>
      </c>
      <c r="C415" s="53" t="s">
        <v>34</v>
      </c>
      <c r="D415" s="54"/>
      <c r="E415" s="66"/>
      <c r="F415" s="66"/>
      <c r="G415" s="66"/>
      <c r="H415" s="66"/>
      <c r="I415" s="66"/>
      <c r="J415" s="66"/>
      <c r="K415" s="67" t="s">
        <v>35</v>
      </c>
      <c r="L415" s="62">
        <f>(E415*E407)+(F415*F407)+(G415*G407)+(H415*H407)+(I415*I407)+(J415*J407)</f>
        <v>0</v>
      </c>
      <c r="M415" s="57" t="s">
        <v>36</v>
      </c>
      <c r="N415" s="63" t="b">
        <v>0</v>
      </c>
    </row>
    <row r="416" ht="13.5" customHeight="1">
      <c r="A416" s="46" t="s">
        <v>43</v>
      </c>
      <c r="B416" s="69" t="str">
        <f>IFS(L416=0,"",B416&lt;&gt;"",B416,TRUE,NOW())</f>
        <v/>
      </c>
      <c r="C416" s="70" t="s">
        <v>37</v>
      </c>
      <c r="D416" s="33"/>
      <c r="E416" s="71"/>
      <c r="F416" s="71"/>
      <c r="G416" s="71"/>
      <c r="H416" s="71"/>
      <c r="I416" s="71"/>
      <c r="J416" s="71"/>
      <c r="K416" s="72" t="s">
        <v>38</v>
      </c>
      <c r="L416" s="73">
        <f>L415-L414</f>
        <v>0</v>
      </c>
      <c r="M416" s="74" t="s">
        <v>39</v>
      </c>
      <c r="N416" s="75" t="b">
        <v>0</v>
      </c>
    </row>
    <row r="417" ht="13.5" customHeight="1">
      <c r="A417" s="64"/>
      <c r="B417" s="52" t="s">
        <v>112</v>
      </c>
      <c r="C417" s="53" t="s">
        <v>27</v>
      </c>
      <c r="D417" s="54"/>
      <c r="E417" s="55">
        <f t="shared" ref="E417:J417" si="114">E415-E418</f>
        <v>0</v>
      </c>
      <c r="F417" s="55">
        <f t="shared" si="114"/>
        <v>0</v>
      </c>
      <c r="G417" s="55">
        <f t="shared" si="114"/>
        <v>0</v>
      </c>
      <c r="H417" s="55">
        <f t="shared" si="114"/>
        <v>0</v>
      </c>
      <c r="I417" s="55">
        <f t="shared" si="114"/>
        <v>0</v>
      </c>
      <c r="J417" s="55">
        <f t="shared" si="114"/>
        <v>0</v>
      </c>
      <c r="K417" s="56"/>
      <c r="L417" s="30"/>
      <c r="M417" s="57" t="s">
        <v>28</v>
      </c>
      <c r="N417" s="58" t="b">
        <v>0</v>
      </c>
    </row>
    <row r="418" ht="13.5" customHeight="1">
      <c r="A418" s="46" t="s">
        <v>45</v>
      </c>
      <c r="B418" s="59"/>
      <c r="C418" s="53" t="s">
        <v>30</v>
      </c>
      <c r="D418" s="54"/>
      <c r="E418" s="60"/>
      <c r="F418" s="60"/>
      <c r="G418" s="60"/>
      <c r="H418" s="60"/>
      <c r="I418" s="60"/>
      <c r="J418" s="60"/>
      <c r="K418" s="61" t="s">
        <v>30</v>
      </c>
      <c r="L418" s="62">
        <f>(E418*E407)+(F418*F407)+(G418*G407)+(H418*H407)+(I418*I407)+(J418*J407)</f>
        <v>0</v>
      </c>
      <c r="M418" s="57" t="s">
        <v>31</v>
      </c>
      <c r="N418" s="63" t="b">
        <v>0</v>
      </c>
    </row>
    <row r="419" ht="13.5" customHeight="1">
      <c r="A419" s="77"/>
      <c r="B419" s="65" t="s">
        <v>47</v>
      </c>
      <c r="C419" s="53" t="s">
        <v>34</v>
      </c>
      <c r="D419" s="54"/>
      <c r="E419" s="66"/>
      <c r="F419" s="66"/>
      <c r="G419" s="66"/>
      <c r="H419" s="66"/>
      <c r="I419" s="66"/>
      <c r="J419" s="66"/>
      <c r="K419" s="67" t="s">
        <v>35</v>
      </c>
      <c r="L419" s="62">
        <f>(E419*E407)+(F419*F407)+(G419*G407)+(H419*H407)+(I419*I407)+(J419*J407)</f>
        <v>0</v>
      </c>
      <c r="M419" s="57" t="s">
        <v>36</v>
      </c>
      <c r="N419" s="63" t="b">
        <v>0</v>
      </c>
    </row>
    <row r="420" ht="18.75" customHeight="1">
      <c r="A420" s="68"/>
      <c r="B420" s="69" t="str">
        <f>IFS(L420=0,"",B420&lt;&gt;"",B420,TRUE,NOW())</f>
        <v/>
      </c>
      <c r="C420" s="70" t="s">
        <v>37</v>
      </c>
      <c r="D420" s="33"/>
      <c r="E420" s="71"/>
      <c r="F420" s="71"/>
      <c r="G420" s="71"/>
      <c r="H420" s="71"/>
      <c r="I420" s="71"/>
      <c r="J420" s="71"/>
      <c r="K420" s="72" t="s">
        <v>38</v>
      </c>
      <c r="L420" s="73">
        <f>L419-L418</f>
        <v>0</v>
      </c>
      <c r="M420" s="74" t="s">
        <v>39</v>
      </c>
      <c r="N420" s="75" t="b">
        <v>0</v>
      </c>
    </row>
    <row r="421" ht="13.5" customHeight="1">
      <c r="A421" s="78" t="s">
        <v>48</v>
      </c>
      <c r="B421" s="52" t="s">
        <v>112</v>
      </c>
      <c r="C421" s="53" t="s">
        <v>27</v>
      </c>
      <c r="D421" s="54"/>
      <c r="E421" s="55">
        <f t="shared" ref="E421:J421" si="115">E419-E422</f>
        <v>0</v>
      </c>
      <c r="F421" s="55">
        <f t="shared" si="115"/>
        <v>0</v>
      </c>
      <c r="G421" s="55">
        <f t="shared" si="115"/>
        <v>0</v>
      </c>
      <c r="H421" s="55">
        <f t="shared" si="115"/>
        <v>0</v>
      </c>
      <c r="I421" s="55">
        <f t="shared" si="115"/>
        <v>0</v>
      </c>
      <c r="J421" s="55">
        <f t="shared" si="115"/>
        <v>0</v>
      </c>
      <c r="K421" s="56"/>
      <c r="L421" s="30"/>
      <c r="M421" s="57" t="s">
        <v>28</v>
      </c>
      <c r="N421" s="58" t="b">
        <v>0</v>
      </c>
    </row>
    <row r="422" ht="13.5" customHeight="1">
      <c r="A422" s="87"/>
      <c r="B422" s="59"/>
      <c r="C422" s="53" t="s">
        <v>30</v>
      </c>
      <c r="D422" s="54"/>
      <c r="E422" s="60"/>
      <c r="F422" s="60"/>
      <c r="G422" s="60"/>
      <c r="H422" s="60"/>
      <c r="I422" s="60"/>
      <c r="J422" s="60"/>
      <c r="K422" s="61" t="s">
        <v>30</v>
      </c>
      <c r="L422" s="62">
        <f>(E422*E407)+(F422*F407)+(G422*G407)+(H422*H407)+(I422*I407)+(J422*J407)</f>
        <v>0</v>
      </c>
      <c r="M422" s="57" t="s">
        <v>31</v>
      </c>
      <c r="N422" s="63" t="b">
        <v>0</v>
      </c>
    </row>
    <row r="423" ht="13.5" customHeight="1">
      <c r="A423" s="68"/>
      <c r="B423" s="65" t="s">
        <v>49</v>
      </c>
      <c r="C423" s="53" t="s">
        <v>34</v>
      </c>
      <c r="D423" s="54"/>
      <c r="E423" s="66"/>
      <c r="F423" s="66"/>
      <c r="G423" s="66"/>
      <c r="H423" s="66"/>
      <c r="I423" s="66"/>
      <c r="J423" s="66"/>
      <c r="K423" s="67" t="s">
        <v>35</v>
      </c>
      <c r="L423" s="62">
        <f>(E423*E407)+(F423*F407)+(G423*G407)+(H423*H407)+(I423*I407)+(J423*J407)</f>
        <v>0</v>
      </c>
      <c r="M423" s="57" t="s">
        <v>36</v>
      </c>
      <c r="N423" s="63" t="b">
        <v>0</v>
      </c>
    </row>
    <row r="424" ht="13.5" customHeight="1">
      <c r="A424" s="80"/>
      <c r="B424" s="69" t="str">
        <f>IFS(L424=0,"",B424&lt;&gt;"",B424,TRUE,NOW())</f>
        <v/>
      </c>
      <c r="C424" s="53" t="s">
        <v>37</v>
      </c>
      <c r="D424" s="54"/>
      <c r="E424" s="81"/>
      <c r="F424" s="81"/>
      <c r="G424" s="81"/>
      <c r="H424" s="82"/>
      <c r="I424" s="81"/>
      <c r="J424" s="81"/>
      <c r="K424" s="72" t="s">
        <v>38</v>
      </c>
      <c r="L424" s="73">
        <f>L423-L422</f>
        <v>0</v>
      </c>
      <c r="M424" s="74" t="s">
        <v>39</v>
      </c>
      <c r="N424" s="75" t="b">
        <v>0</v>
      </c>
    </row>
    <row r="425" ht="13.5" customHeight="1">
      <c r="A425" s="83" t="s">
        <v>113</v>
      </c>
      <c r="B425" s="42" t="s">
        <v>20</v>
      </c>
      <c r="C425" s="24"/>
      <c r="D425" s="33"/>
      <c r="E425" s="43">
        <f t="shared" ref="E425:J425" si="116">E6</f>
        <v>17</v>
      </c>
      <c r="F425" s="43">
        <f t="shared" si="116"/>
        <v>27</v>
      </c>
      <c r="G425" s="43">
        <f t="shared" si="116"/>
        <v>27</v>
      </c>
      <c r="H425" s="43">
        <f t="shared" si="116"/>
        <v>27</v>
      </c>
      <c r="I425" s="43">
        <f t="shared" si="116"/>
        <v>32</v>
      </c>
      <c r="J425" s="44">
        <f t="shared" si="116"/>
        <v>37</v>
      </c>
      <c r="K425" s="42" t="s">
        <v>21</v>
      </c>
      <c r="L425" s="25"/>
      <c r="M425" s="45" t="s">
        <v>22</v>
      </c>
      <c r="N425" s="25"/>
    </row>
    <row r="426" ht="13.5" customHeight="1">
      <c r="A426" s="46" t="s">
        <v>23</v>
      </c>
      <c r="B426" s="47" t="s">
        <v>24</v>
      </c>
      <c r="C426" s="32" t="s">
        <v>25</v>
      </c>
      <c r="D426" s="33"/>
      <c r="E426" s="48"/>
      <c r="F426" s="48"/>
      <c r="G426" s="48"/>
      <c r="H426" s="48"/>
      <c r="I426" s="48"/>
      <c r="J426" s="48"/>
      <c r="K426" s="49"/>
      <c r="L426" s="25"/>
      <c r="M426" s="50"/>
      <c r="N426" s="10"/>
    </row>
    <row r="427" ht="15.0" customHeight="1">
      <c r="A427" s="92"/>
      <c r="B427" s="52" t="s">
        <v>114</v>
      </c>
      <c r="C427" s="53" t="s">
        <v>27</v>
      </c>
      <c r="D427" s="54"/>
      <c r="E427" s="55">
        <f t="shared" ref="E427:J427" si="117">E426-E428</f>
        <v>0</v>
      </c>
      <c r="F427" s="55">
        <f t="shared" si="117"/>
        <v>0</v>
      </c>
      <c r="G427" s="55">
        <f t="shared" si="117"/>
        <v>0</v>
      </c>
      <c r="H427" s="55">
        <f t="shared" si="117"/>
        <v>0</v>
      </c>
      <c r="I427" s="55">
        <f t="shared" si="117"/>
        <v>0</v>
      </c>
      <c r="J427" s="55">
        <f t="shared" si="117"/>
        <v>0</v>
      </c>
      <c r="K427" s="56"/>
      <c r="L427" s="30"/>
      <c r="M427" s="57" t="s">
        <v>28</v>
      </c>
      <c r="N427" s="58" t="b">
        <v>0</v>
      </c>
    </row>
    <row r="428" ht="13.5" customHeight="1">
      <c r="A428" s="46" t="s">
        <v>29</v>
      </c>
      <c r="B428" s="59"/>
      <c r="C428" s="53" t="s">
        <v>30</v>
      </c>
      <c r="D428" s="54"/>
      <c r="E428" s="60"/>
      <c r="F428" s="60"/>
      <c r="G428" s="60"/>
      <c r="H428" s="60"/>
      <c r="I428" s="60"/>
      <c r="J428" s="60"/>
      <c r="K428" s="61" t="s">
        <v>30</v>
      </c>
      <c r="L428" s="62">
        <f>(E428*E425)+(F428*F425)+(G428*G425)+(H428*H425)+(I428*I425)+(J428*J425)</f>
        <v>0</v>
      </c>
      <c r="M428" s="57" t="s">
        <v>31</v>
      </c>
      <c r="N428" s="63" t="b">
        <v>0</v>
      </c>
    </row>
    <row r="429" ht="13.5" customHeight="1">
      <c r="A429" s="64"/>
      <c r="B429" s="65" t="s">
        <v>33</v>
      </c>
      <c r="C429" s="53" t="s">
        <v>34</v>
      </c>
      <c r="D429" s="54"/>
      <c r="E429" s="66"/>
      <c r="F429" s="66"/>
      <c r="G429" s="66"/>
      <c r="H429" s="66"/>
      <c r="I429" s="66"/>
      <c r="J429" s="66"/>
      <c r="K429" s="67" t="s">
        <v>35</v>
      </c>
      <c r="L429" s="62">
        <f>(E429*E425)+(F429*F425)+(G429*G425)+(H429*H425)+(I429*I425)+(J429*J425)</f>
        <v>0</v>
      </c>
      <c r="M429" s="57" t="s">
        <v>36</v>
      </c>
      <c r="N429" s="63" t="b">
        <v>0</v>
      </c>
    </row>
    <row r="430" ht="13.5" customHeight="1">
      <c r="A430" s="68"/>
      <c r="B430" s="69" t="str">
        <f>IFS(L430=0,"",B430&lt;&gt;"",B430,TRUE,NOW())</f>
        <v/>
      </c>
      <c r="C430" s="70" t="s">
        <v>37</v>
      </c>
      <c r="D430" s="33"/>
      <c r="E430" s="71"/>
      <c r="F430" s="71"/>
      <c r="G430" s="71"/>
      <c r="H430" s="71"/>
      <c r="I430" s="71"/>
      <c r="J430" s="71"/>
      <c r="K430" s="72" t="s">
        <v>38</v>
      </c>
      <c r="L430" s="73">
        <f>L429-L428</f>
        <v>0</v>
      </c>
      <c r="M430" s="74" t="s">
        <v>39</v>
      </c>
      <c r="N430" s="75" t="b">
        <v>0</v>
      </c>
    </row>
    <row r="431" ht="13.5" customHeight="1">
      <c r="A431" s="46" t="s">
        <v>40</v>
      </c>
      <c r="B431" s="52" t="s">
        <v>114</v>
      </c>
      <c r="C431" s="53" t="s">
        <v>27</v>
      </c>
      <c r="D431" s="54"/>
      <c r="E431" s="55">
        <f t="shared" ref="E431:J431" si="118">E429-E432</f>
        <v>0</v>
      </c>
      <c r="F431" s="55">
        <f t="shared" si="118"/>
        <v>0</v>
      </c>
      <c r="G431" s="55">
        <f t="shared" si="118"/>
        <v>0</v>
      </c>
      <c r="H431" s="55">
        <f t="shared" si="118"/>
        <v>0</v>
      </c>
      <c r="I431" s="55">
        <f t="shared" si="118"/>
        <v>0</v>
      </c>
      <c r="J431" s="55">
        <f t="shared" si="118"/>
        <v>0</v>
      </c>
      <c r="K431" s="56"/>
      <c r="L431" s="30"/>
      <c r="M431" s="57" t="s">
        <v>28</v>
      </c>
      <c r="N431" s="58" t="b">
        <v>0</v>
      </c>
    </row>
    <row r="432" ht="15.0" customHeight="1">
      <c r="A432" s="64"/>
      <c r="B432" s="59"/>
      <c r="C432" s="53" t="s">
        <v>30</v>
      </c>
      <c r="D432" s="54"/>
      <c r="E432" s="60"/>
      <c r="F432" s="60"/>
      <c r="G432" s="60"/>
      <c r="H432" s="60"/>
      <c r="I432" s="60"/>
      <c r="J432" s="60"/>
      <c r="K432" s="61" t="s">
        <v>30</v>
      </c>
      <c r="L432" s="62">
        <f>(E432*E425)+(F432*F425)+(G432*G425)+(H432*H425)+(I432*I425)+(J432*J425)</f>
        <v>0</v>
      </c>
      <c r="M432" s="57" t="s">
        <v>31</v>
      </c>
      <c r="N432" s="63" t="b">
        <v>0</v>
      </c>
    </row>
    <row r="433" ht="13.5" customHeight="1">
      <c r="A433" s="68"/>
      <c r="B433" s="65" t="s">
        <v>42</v>
      </c>
      <c r="C433" s="53" t="s">
        <v>34</v>
      </c>
      <c r="D433" s="54"/>
      <c r="E433" s="66"/>
      <c r="F433" s="66"/>
      <c r="G433" s="66"/>
      <c r="H433" s="66"/>
      <c r="I433" s="66"/>
      <c r="J433" s="66"/>
      <c r="K433" s="67" t="s">
        <v>35</v>
      </c>
      <c r="L433" s="62">
        <f>(E433*E425)+(F433*F425)+(G433*G425)+(H433*H425)+(I433*I425)+(J433*J425)</f>
        <v>0</v>
      </c>
      <c r="M433" s="57" t="s">
        <v>36</v>
      </c>
      <c r="N433" s="63" t="b">
        <v>0</v>
      </c>
    </row>
    <row r="434" ht="13.5" customHeight="1">
      <c r="A434" s="46" t="s">
        <v>43</v>
      </c>
      <c r="B434" s="69" t="str">
        <f>IFS(L434=0,"",B434&lt;&gt;"",B434,TRUE,NOW())</f>
        <v/>
      </c>
      <c r="C434" s="70" t="s">
        <v>37</v>
      </c>
      <c r="D434" s="33"/>
      <c r="E434" s="71"/>
      <c r="F434" s="71"/>
      <c r="G434" s="71"/>
      <c r="H434" s="71"/>
      <c r="I434" s="71"/>
      <c r="J434" s="71"/>
      <c r="K434" s="72" t="s">
        <v>38</v>
      </c>
      <c r="L434" s="73">
        <f>L433-L432</f>
        <v>0</v>
      </c>
      <c r="M434" s="74" t="s">
        <v>39</v>
      </c>
      <c r="N434" s="75" t="b">
        <v>0</v>
      </c>
    </row>
    <row r="435" ht="13.5" customHeight="1">
      <c r="A435" s="64"/>
      <c r="B435" s="52" t="s">
        <v>114</v>
      </c>
      <c r="C435" s="53" t="s">
        <v>27</v>
      </c>
      <c r="D435" s="54"/>
      <c r="E435" s="55">
        <f t="shared" ref="E435:J435" si="119">E433-E436</f>
        <v>0</v>
      </c>
      <c r="F435" s="55">
        <f t="shared" si="119"/>
        <v>0</v>
      </c>
      <c r="G435" s="55">
        <f t="shared" si="119"/>
        <v>0</v>
      </c>
      <c r="H435" s="55">
        <f t="shared" si="119"/>
        <v>0</v>
      </c>
      <c r="I435" s="55">
        <f t="shared" si="119"/>
        <v>0</v>
      </c>
      <c r="J435" s="55">
        <f t="shared" si="119"/>
        <v>0</v>
      </c>
      <c r="K435" s="56"/>
      <c r="L435" s="30"/>
      <c r="M435" s="57" t="s">
        <v>28</v>
      </c>
      <c r="N435" s="58" t="b">
        <v>0</v>
      </c>
    </row>
    <row r="436" ht="13.5" customHeight="1">
      <c r="A436" s="46" t="s">
        <v>45</v>
      </c>
      <c r="B436" s="59"/>
      <c r="C436" s="53" t="s">
        <v>30</v>
      </c>
      <c r="D436" s="54"/>
      <c r="E436" s="60"/>
      <c r="F436" s="60"/>
      <c r="G436" s="60"/>
      <c r="H436" s="60"/>
      <c r="I436" s="60"/>
      <c r="J436" s="60"/>
      <c r="K436" s="61" t="s">
        <v>30</v>
      </c>
      <c r="L436" s="62">
        <f>(E436*E425)+(F436*F425)+(G436*G425)+(H436*H425)+(I436*I425)+(J436*J425)</f>
        <v>0</v>
      </c>
      <c r="M436" s="57" t="s">
        <v>31</v>
      </c>
      <c r="N436" s="63" t="b">
        <v>0</v>
      </c>
    </row>
    <row r="437" ht="15.0" customHeight="1">
      <c r="A437" s="77"/>
      <c r="B437" s="65" t="s">
        <v>47</v>
      </c>
      <c r="C437" s="53" t="s">
        <v>34</v>
      </c>
      <c r="D437" s="54"/>
      <c r="E437" s="66"/>
      <c r="F437" s="66"/>
      <c r="G437" s="66"/>
      <c r="H437" s="66"/>
      <c r="I437" s="66"/>
      <c r="J437" s="66"/>
      <c r="K437" s="67" t="s">
        <v>35</v>
      </c>
      <c r="L437" s="62">
        <f>(E437*E425)+(F437*F425)+(G437*G425)+(H437*H425)+(I437*I425)+(J437*J425)</f>
        <v>0</v>
      </c>
      <c r="M437" s="57" t="s">
        <v>36</v>
      </c>
      <c r="N437" s="63" t="b">
        <v>0</v>
      </c>
    </row>
    <row r="438" ht="13.5" customHeight="1">
      <c r="A438" s="68"/>
      <c r="B438" s="69" t="str">
        <f>IFS(L438=0,"",B438&lt;&gt;"",B438,TRUE,NOW())</f>
        <v/>
      </c>
      <c r="C438" s="70" t="s">
        <v>37</v>
      </c>
      <c r="D438" s="33"/>
      <c r="E438" s="71"/>
      <c r="F438" s="71"/>
      <c r="G438" s="71"/>
      <c r="H438" s="71"/>
      <c r="I438" s="71"/>
      <c r="J438" s="71"/>
      <c r="K438" s="72" t="s">
        <v>38</v>
      </c>
      <c r="L438" s="73">
        <f>L437-L436</f>
        <v>0</v>
      </c>
      <c r="M438" s="74" t="s">
        <v>39</v>
      </c>
      <c r="N438" s="75" t="b">
        <v>0</v>
      </c>
    </row>
    <row r="439" ht="13.5" customHeight="1">
      <c r="A439" s="78" t="s">
        <v>48</v>
      </c>
      <c r="B439" s="52" t="s">
        <v>114</v>
      </c>
      <c r="C439" s="53" t="s">
        <v>27</v>
      </c>
      <c r="D439" s="54"/>
      <c r="E439" s="55">
        <f t="shared" ref="E439:J439" si="120">E437-E440</f>
        <v>0</v>
      </c>
      <c r="F439" s="55">
        <f t="shared" si="120"/>
        <v>0</v>
      </c>
      <c r="G439" s="55">
        <f t="shared" si="120"/>
        <v>0</v>
      </c>
      <c r="H439" s="55">
        <f t="shared" si="120"/>
        <v>0</v>
      </c>
      <c r="I439" s="55">
        <f t="shared" si="120"/>
        <v>0</v>
      </c>
      <c r="J439" s="55">
        <f t="shared" si="120"/>
        <v>0</v>
      </c>
      <c r="K439" s="56"/>
      <c r="L439" s="30"/>
      <c r="M439" s="57" t="s">
        <v>28</v>
      </c>
      <c r="N439" s="58" t="b">
        <v>0</v>
      </c>
    </row>
    <row r="440" ht="13.5" customHeight="1">
      <c r="A440" s="87"/>
      <c r="B440" s="59"/>
      <c r="C440" s="53" t="s">
        <v>30</v>
      </c>
      <c r="D440" s="54"/>
      <c r="E440" s="60"/>
      <c r="F440" s="60"/>
      <c r="G440" s="60"/>
      <c r="H440" s="60"/>
      <c r="I440" s="60"/>
      <c r="J440" s="60"/>
      <c r="K440" s="61" t="s">
        <v>30</v>
      </c>
      <c r="L440" s="62">
        <f>(E440*E425)+(F440*F425)+(G440*G425)+(H440*H425)+(I440*I425)+(J440*J425)</f>
        <v>0</v>
      </c>
      <c r="M440" s="57" t="s">
        <v>31</v>
      </c>
      <c r="N440" s="63" t="b">
        <v>0</v>
      </c>
    </row>
    <row r="441" ht="13.5" customHeight="1">
      <c r="A441" s="68"/>
      <c r="B441" s="65" t="s">
        <v>49</v>
      </c>
      <c r="C441" s="53" t="s">
        <v>34</v>
      </c>
      <c r="D441" s="54"/>
      <c r="E441" s="66"/>
      <c r="F441" s="66"/>
      <c r="G441" s="66"/>
      <c r="H441" s="66"/>
      <c r="I441" s="66"/>
      <c r="J441" s="66"/>
      <c r="K441" s="67" t="s">
        <v>35</v>
      </c>
      <c r="L441" s="62">
        <f>(E441*E425)+(F441*F425)+(G441*G425)+(H441*H425)+(I441*I425)+(J441*J425)</f>
        <v>0</v>
      </c>
      <c r="M441" s="57" t="s">
        <v>36</v>
      </c>
      <c r="N441" s="63" t="b">
        <v>0</v>
      </c>
    </row>
    <row r="442" ht="15.0" customHeight="1">
      <c r="A442" s="80"/>
      <c r="B442" s="69" t="str">
        <f>IFS(L442=0,"",B442&lt;&gt;"",B442,TRUE,NOW())</f>
        <v/>
      </c>
      <c r="C442" s="86" t="s">
        <v>37</v>
      </c>
      <c r="D442" s="59"/>
      <c r="E442" s="81"/>
      <c r="F442" s="81"/>
      <c r="G442" s="81"/>
      <c r="H442" s="82"/>
      <c r="I442" s="81"/>
      <c r="J442" s="81"/>
      <c r="K442" s="72" t="s">
        <v>38</v>
      </c>
      <c r="L442" s="73">
        <f>L441-L440</f>
        <v>0</v>
      </c>
      <c r="M442" s="74" t="s">
        <v>39</v>
      </c>
      <c r="N442" s="75" t="b">
        <v>0</v>
      </c>
    </row>
    <row r="443" ht="13.5" customHeight="1">
      <c r="A443" s="83" t="s">
        <v>115</v>
      </c>
      <c r="B443" s="42" t="s">
        <v>20</v>
      </c>
      <c r="C443" s="24"/>
      <c r="D443" s="33"/>
      <c r="E443" s="43">
        <f t="shared" ref="E443:J443" si="121">E6</f>
        <v>17</v>
      </c>
      <c r="F443" s="43">
        <f t="shared" si="121"/>
        <v>27</v>
      </c>
      <c r="G443" s="43">
        <f t="shared" si="121"/>
        <v>27</v>
      </c>
      <c r="H443" s="43">
        <f t="shared" si="121"/>
        <v>27</v>
      </c>
      <c r="I443" s="43">
        <f t="shared" si="121"/>
        <v>32</v>
      </c>
      <c r="J443" s="44">
        <f t="shared" si="121"/>
        <v>37</v>
      </c>
      <c r="K443" s="42" t="s">
        <v>21</v>
      </c>
      <c r="L443" s="25"/>
      <c r="M443" s="45" t="s">
        <v>22</v>
      </c>
      <c r="N443" s="25"/>
    </row>
    <row r="444" ht="13.5" customHeight="1">
      <c r="A444" s="46" t="s">
        <v>23</v>
      </c>
      <c r="B444" s="47" t="s">
        <v>24</v>
      </c>
      <c r="C444" s="32" t="s">
        <v>25</v>
      </c>
      <c r="D444" s="33"/>
      <c r="E444" s="48"/>
      <c r="F444" s="48"/>
      <c r="G444" s="48"/>
      <c r="H444" s="48"/>
      <c r="I444" s="48"/>
      <c r="J444" s="48"/>
      <c r="K444" s="49"/>
      <c r="L444" s="25"/>
      <c r="M444" s="50"/>
      <c r="N444" s="10"/>
    </row>
    <row r="445" ht="13.5" customHeight="1">
      <c r="A445" s="92"/>
      <c r="B445" s="52" t="s">
        <v>116</v>
      </c>
      <c r="C445" s="53" t="s">
        <v>27</v>
      </c>
      <c r="D445" s="54"/>
      <c r="E445" s="55">
        <f t="shared" ref="E445:J445" si="122">E444-E446</f>
        <v>0</v>
      </c>
      <c r="F445" s="55">
        <f t="shared" si="122"/>
        <v>0</v>
      </c>
      <c r="G445" s="55">
        <f t="shared" si="122"/>
        <v>0</v>
      </c>
      <c r="H445" s="55">
        <f t="shared" si="122"/>
        <v>0</v>
      </c>
      <c r="I445" s="55">
        <f t="shared" si="122"/>
        <v>0</v>
      </c>
      <c r="J445" s="55">
        <f t="shared" si="122"/>
        <v>0</v>
      </c>
      <c r="K445" s="56"/>
      <c r="L445" s="30"/>
      <c r="M445" s="57" t="s">
        <v>28</v>
      </c>
      <c r="N445" s="58" t="b">
        <v>0</v>
      </c>
    </row>
    <row r="446" ht="13.5" customHeight="1">
      <c r="A446" s="46" t="s">
        <v>29</v>
      </c>
      <c r="B446" s="59"/>
      <c r="C446" s="53" t="s">
        <v>30</v>
      </c>
      <c r="D446" s="54"/>
      <c r="E446" s="60"/>
      <c r="F446" s="60"/>
      <c r="G446" s="60"/>
      <c r="H446" s="60"/>
      <c r="I446" s="60"/>
      <c r="J446" s="60"/>
      <c r="K446" s="61" t="s">
        <v>30</v>
      </c>
      <c r="L446" s="62">
        <f>(E446*E443)+(F446*F443)+(G446*G443)+(H446*H443)+(I446*I443)+(J446*J443)</f>
        <v>0</v>
      </c>
      <c r="M446" s="57" t="s">
        <v>31</v>
      </c>
      <c r="N446" s="63" t="b">
        <v>0</v>
      </c>
    </row>
    <row r="447" ht="13.5" customHeight="1">
      <c r="A447" s="64"/>
      <c r="B447" s="65" t="s">
        <v>33</v>
      </c>
      <c r="C447" s="53" t="s">
        <v>34</v>
      </c>
      <c r="D447" s="54"/>
      <c r="E447" s="66"/>
      <c r="F447" s="66"/>
      <c r="G447" s="66"/>
      <c r="H447" s="66"/>
      <c r="I447" s="66"/>
      <c r="J447" s="66"/>
      <c r="K447" s="67" t="s">
        <v>35</v>
      </c>
      <c r="L447" s="62">
        <f>(E447*E443)+(F447*F443)+(G447*G443)+(H447*H443)+(I447*I443)+(J447*J443)</f>
        <v>0</v>
      </c>
      <c r="M447" s="57" t="s">
        <v>36</v>
      </c>
      <c r="N447" s="63" t="b">
        <v>0</v>
      </c>
    </row>
    <row r="448" ht="13.5" customHeight="1">
      <c r="A448" s="68"/>
      <c r="B448" s="69" t="str">
        <f>IFS(L448=0,"",B448&lt;&gt;"",B448,TRUE,NOW())</f>
        <v/>
      </c>
      <c r="C448" s="70" t="s">
        <v>37</v>
      </c>
      <c r="D448" s="33"/>
      <c r="E448" s="71"/>
      <c r="F448" s="71"/>
      <c r="G448" s="71"/>
      <c r="H448" s="71"/>
      <c r="I448" s="71"/>
      <c r="J448" s="71"/>
      <c r="K448" s="72" t="s">
        <v>38</v>
      </c>
      <c r="L448" s="73">
        <f>L447-L446</f>
        <v>0</v>
      </c>
      <c r="M448" s="74" t="s">
        <v>39</v>
      </c>
      <c r="N448" s="75" t="b">
        <v>0</v>
      </c>
    </row>
    <row r="449" ht="17.25" customHeight="1">
      <c r="A449" s="46" t="s">
        <v>40</v>
      </c>
      <c r="B449" s="52" t="s">
        <v>116</v>
      </c>
      <c r="C449" s="53" t="s">
        <v>27</v>
      </c>
      <c r="D449" s="54"/>
      <c r="E449" s="55">
        <f t="shared" ref="E449:J449" si="123">E447-E450</f>
        <v>0</v>
      </c>
      <c r="F449" s="55">
        <f t="shared" si="123"/>
        <v>0</v>
      </c>
      <c r="G449" s="55">
        <f t="shared" si="123"/>
        <v>0</v>
      </c>
      <c r="H449" s="55">
        <f t="shared" si="123"/>
        <v>0</v>
      </c>
      <c r="I449" s="55">
        <f t="shared" si="123"/>
        <v>0</v>
      </c>
      <c r="J449" s="55">
        <f t="shared" si="123"/>
        <v>0</v>
      </c>
      <c r="K449" s="56"/>
      <c r="L449" s="30"/>
      <c r="M449" s="57" t="s">
        <v>28</v>
      </c>
      <c r="N449" s="58" t="b">
        <v>0</v>
      </c>
    </row>
    <row r="450" ht="13.5" customHeight="1">
      <c r="A450" s="64"/>
      <c r="B450" s="59"/>
      <c r="C450" s="53" t="s">
        <v>30</v>
      </c>
      <c r="D450" s="54"/>
      <c r="E450" s="60"/>
      <c r="F450" s="60"/>
      <c r="G450" s="60"/>
      <c r="H450" s="60"/>
      <c r="I450" s="60"/>
      <c r="J450" s="60"/>
      <c r="K450" s="61" t="s">
        <v>30</v>
      </c>
      <c r="L450" s="62">
        <f>(E450*E443)+(F450*F443)+(G450*G443)+(H450*H443)+(I450*I443)+(J450*J443)</f>
        <v>0</v>
      </c>
      <c r="M450" s="57" t="s">
        <v>31</v>
      </c>
      <c r="N450" s="63" t="b">
        <v>0</v>
      </c>
    </row>
    <row r="451" ht="13.5" customHeight="1">
      <c r="A451" s="68"/>
      <c r="B451" s="65" t="s">
        <v>42</v>
      </c>
      <c r="C451" s="53" t="s">
        <v>34</v>
      </c>
      <c r="D451" s="54"/>
      <c r="E451" s="66"/>
      <c r="F451" s="66"/>
      <c r="G451" s="66"/>
      <c r="H451" s="66"/>
      <c r="I451" s="66"/>
      <c r="J451" s="66"/>
      <c r="K451" s="67" t="s">
        <v>35</v>
      </c>
      <c r="L451" s="62">
        <f>(E451*E443)+(F451*F443)+(G451*G443)+(H451*H443)+(I451*I443)+(J451*J443)</f>
        <v>0</v>
      </c>
      <c r="M451" s="57" t="s">
        <v>36</v>
      </c>
      <c r="N451" s="63" t="b">
        <v>0</v>
      </c>
    </row>
    <row r="452" ht="13.5" customHeight="1">
      <c r="A452" s="46" t="s">
        <v>43</v>
      </c>
      <c r="B452" s="69" t="str">
        <f>IFS(L452=0,"",B452&lt;&gt;"",B452,TRUE,NOW())</f>
        <v/>
      </c>
      <c r="C452" s="70" t="s">
        <v>37</v>
      </c>
      <c r="D452" s="33"/>
      <c r="E452" s="71"/>
      <c r="F452" s="71"/>
      <c r="G452" s="71"/>
      <c r="H452" s="71"/>
      <c r="I452" s="71"/>
      <c r="J452" s="71"/>
      <c r="K452" s="72" t="s">
        <v>38</v>
      </c>
      <c r="L452" s="73">
        <f>L451-L450</f>
        <v>0</v>
      </c>
      <c r="M452" s="74" t="s">
        <v>39</v>
      </c>
      <c r="N452" s="75" t="b">
        <v>0</v>
      </c>
    </row>
    <row r="453" ht="13.5" customHeight="1">
      <c r="A453" s="64"/>
      <c r="B453" s="52" t="s">
        <v>116</v>
      </c>
      <c r="C453" s="53" t="s">
        <v>27</v>
      </c>
      <c r="D453" s="54"/>
      <c r="E453" s="55">
        <f t="shared" ref="E453:J453" si="124">E451-E454</f>
        <v>0</v>
      </c>
      <c r="F453" s="55">
        <f t="shared" si="124"/>
        <v>0</v>
      </c>
      <c r="G453" s="55">
        <f t="shared" si="124"/>
        <v>0</v>
      </c>
      <c r="H453" s="55">
        <f t="shared" si="124"/>
        <v>0</v>
      </c>
      <c r="I453" s="55">
        <f t="shared" si="124"/>
        <v>0</v>
      </c>
      <c r="J453" s="55">
        <f t="shared" si="124"/>
        <v>0</v>
      </c>
      <c r="K453" s="56"/>
      <c r="L453" s="30"/>
      <c r="M453" s="57" t="s">
        <v>28</v>
      </c>
      <c r="N453" s="58" t="b">
        <v>0</v>
      </c>
    </row>
    <row r="454" ht="15.0" customHeight="1">
      <c r="A454" s="46" t="s">
        <v>45</v>
      </c>
      <c r="B454" s="59"/>
      <c r="C454" s="53" t="s">
        <v>30</v>
      </c>
      <c r="D454" s="54"/>
      <c r="E454" s="60"/>
      <c r="F454" s="60"/>
      <c r="G454" s="60"/>
      <c r="H454" s="60"/>
      <c r="I454" s="60"/>
      <c r="J454" s="60"/>
      <c r="K454" s="61" t="s">
        <v>30</v>
      </c>
      <c r="L454" s="62">
        <f>(E454*E443)+(F454*F443)+(G454*G443)+(H454*H443)+(I454*I443)+(J454*J443)</f>
        <v>0</v>
      </c>
      <c r="M454" s="57" t="s">
        <v>31</v>
      </c>
      <c r="N454" s="63" t="b">
        <v>0</v>
      </c>
    </row>
    <row r="455" ht="13.5" customHeight="1">
      <c r="A455" s="77"/>
      <c r="B455" s="65" t="s">
        <v>47</v>
      </c>
      <c r="C455" s="53" t="s">
        <v>34</v>
      </c>
      <c r="D455" s="54"/>
      <c r="E455" s="66"/>
      <c r="F455" s="66"/>
      <c r="G455" s="66"/>
      <c r="H455" s="66"/>
      <c r="I455" s="66"/>
      <c r="J455" s="66"/>
      <c r="K455" s="67" t="s">
        <v>35</v>
      </c>
      <c r="L455" s="62">
        <f>(E455*E443)+(F455*F443)+(G455*G443)+(H455*H443)+(I455*I443)+(J455*J443)</f>
        <v>0</v>
      </c>
      <c r="M455" s="57" t="s">
        <v>36</v>
      </c>
      <c r="N455" s="63" t="b">
        <v>0</v>
      </c>
    </row>
    <row r="456" ht="13.5" customHeight="1">
      <c r="A456" s="68"/>
      <c r="B456" s="69" t="str">
        <f>IFS(L456=0,"",B456&lt;&gt;"",B456,TRUE,NOW())</f>
        <v/>
      </c>
      <c r="C456" s="70" t="s">
        <v>37</v>
      </c>
      <c r="D456" s="33"/>
      <c r="E456" s="71"/>
      <c r="F456" s="71"/>
      <c r="G456" s="71"/>
      <c r="H456" s="71"/>
      <c r="I456" s="71"/>
      <c r="J456" s="71"/>
      <c r="K456" s="72" t="s">
        <v>38</v>
      </c>
      <c r="L456" s="73">
        <f>L455-L454</f>
        <v>0</v>
      </c>
      <c r="M456" s="74" t="s">
        <v>39</v>
      </c>
      <c r="N456" s="75" t="b">
        <v>0</v>
      </c>
    </row>
    <row r="457" ht="13.5" customHeight="1">
      <c r="A457" s="78" t="s">
        <v>48</v>
      </c>
      <c r="B457" s="52" t="s">
        <v>116</v>
      </c>
      <c r="C457" s="53" t="s">
        <v>27</v>
      </c>
      <c r="D457" s="54"/>
      <c r="E457" s="55">
        <f t="shared" ref="E457:J457" si="125">E455-E458</f>
        <v>0</v>
      </c>
      <c r="F457" s="55">
        <f t="shared" si="125"/>
        <v>0</v>
      </c>
      <c r="G457" s="55">
        <f t="shared" si="125"/>
        <v>0</v>
      </c>
      <c r="H457" s="55">
        <f t="shared" si="125"/>
        <v>0</v>
      </c>
      <c r="I457" s="55">
        <f t="shared" si="125"/>
        <v>0</v>
      </c>
      <c r="J457" s="55">
        <f t="shared" si="125"/>
        <v>0</v>
      </c>
      <c r="K457" s="56"/>
      <c r="L457" s="30"/>
      <c r="M457" s="57" t="s">
        <v>28</v>
      </c>
      <c r="N457" s="58" t="b">
        <v>0</v>
      </c>
    </row>
    <row r="458" ht="13.5" customHeight="1">
      <c r="A458" s="87"/>
      <c r="B458" s="59"/>
      <c r="C458" s="53" t="s">
        <v>30</v>
      </c>
      <c r="D458" s="54"/>
      <c r="E458" s="60"/>
      <c r="F458" s="60"/>
      <c r="G458" s="60"/>
      <c r="H458" s="60"/>
      <c r="I458" s="60"/>
      <c r="J458" s="60"/>
      <c r="K458" s="61" t="s">
        <v>30</v>
      </c>
      <c r="L458" s="62">
        <f>(E458*E443)+(F458*F443)+(G458*G443)+(H458*H443)+(I458*I443)+(J458*J443)</f>
        <v>0</v>
      </c>
      <c r="M458" s="57" t="s">
        <v>31</v>
      </c>
      <c r="N458" s="63" t="b">
        <v>0</v>
      </c>
    </row>
    <row r="459" ht="15.0" customHeight="1">
      <c r="A459" s="68"/>
      <c r="B459" s="65" t="s">
        <v>49</v>
      </c>
      <c r="C459" s="53" t="s">
        <v>34</v>
      </c>
      <c r="D459" s="54"/>
      <c r="E459" s="66"/>
      <c r="F459" s="66"/>
      <c r="G459" s="66"/>
      <c r="H459" s="66"/>
      <c r="I459" s="66"/>
      <c r="J459" s="66"/>
      <c r="K459" s="67" t="s">
        <v>35</v>
      </c>
      <c r="L459" s="62">
        <f>(E459*E443)+(F459*F443)+(G459*G443)+(H459*H443)+(I459*I443)+(J459*J443)</f>
        <v>0</v>
      </c>
      <c r="M459" s="57" t="s">
        <v>36</v>
      </c>
      <c r="N459" s="63" t="b">
        <v>0</v>
      </c>
    </row>
    <row r="460" ht="13.5" customHeight="1">
      <c r="A460" s="80"/>
      <c r="B460" s="69" t="str">
        <f>IFS(L460=0,"",B460&lt;&gt;"",B460,TRUE,NOW())</f>
        <v/>
      </c>
      <c r="C460" s="86" t="s">
        <v>37</v>
      </c>
      <c r="D460" s="59"/>
      <c r="E460" s="93"/>
      <c r="F460" s="93"/>
      <c r="G460" s="93"/>
      <c r="H460" s="93"/>
      <c r="I460" s="93"/>
      <c r="J460" s="93"/>
      <c r="K460" s="72" t="s">
        <v>38</v>
      </c>
      <c r="L460" s="73">
        <f>L459-L458</f>
        <v>0</v>
      </c>
      <c r="M460" s="74" t="s">
        <v>39</v>
      </c>
      <c r="N460" s="75" t="b">
        <v>0</v>
      </c>
    </row>
    <row r="461" ht="13.5" customHeight="1">
      <c r="A461" s="94" t="s">
        <v>117</v>
      </c>
      <c r="B461" s="95" t="s">
        <v>20</v>
      </c>
      <c r="C461" s="96"/>
      <c r="D461" s="10"/>
      <c r="E461" s="97">
        <f t="shared" ref="E461:J461" si="126">E6</f>
        <v>17</v>
      </c>
      <c r="F461" s="97">
        <f t="shared" si="126"/>
        <v>27</v>
      </c>
      <c r="G461" s="97">
        <f t="shared" si="126"/>
        <v>27</v>
      </c>
      <c r="H461" s="97">
        <f t="shared" si="126"/>
        <v>27</v>
      </c>
      <c r="I461" s="97">
        <f t="shared" si="126"/>
        <v>32</v>
      </c>
      <c r="J461" s="97">
        <f t="shared" si="126"/>
        <v>37</v>
      </c>
      <c r="K461" s="95" t="s">
        <v>21</v>
      </c>
      <c r="L461" s="10"/>
      <c r="M461" s="98" t="s">
        <v>118</v>
      </c>
      <c r="N461" s="10"/>
    </row>
    <row r="462" ht="20.25" customHeight="1">
      <c r="A462" s="99" t="s">
        <v>23</v>
      </c>
      <c r="B462" s="100" t="s">
        <v>117</v>
      </c>
      <c r="C462" s="53" t="s">
        <v>30</v>
      </c>
      <c r="D462" s="54"/>
      <c r="E462" s="60"/>
      <c r="F462" s="60"/>
      <c r="G462" s="60"/>
      <c r="H462" s="60"/>
      <c r="I462" s="60"/>
      <c r="J462" s="60"/>
      <c r="K462" s="61" t="s">
        <v>30</v>
      </c>
      <c r="L462" s="62">
        <f>(E462*E461)+(F462*F461)+(G462*G461)+(H462*H461)+(I462*I461)+(J462*J461)</f>
        <v>0</v>
      </c>
      <c r="M462" s="57" t="s">
        <v>119</v>
      </c>
      <c r="N462" s="63" t="b">
        <v>0</v>
      </c>
    </row>
    <row r="463" ht="13.5" customHeight="1">
      <c r="A463" s="103"/>
      <c r="B463" s="59"/>
      <c r="C463" s="53" t="s">
        <v>34</v>
      </c>
      <c r="D463" s="54"/>
      <c r="E463" s="66"/>
      <c r="F463" s="66"/>
      <c r="G463" s="66"/>
      <c r="H463" s="66"/>
      <c r="I463" s="66"/>
      <c r="J463" s="66"/>
      <c r="K463" s="67" t="s">
        <v>35</v>
      </c>
      <c r="L463" s="62">
        <f>(E463*E461)+(F463*F461)+(G463*G461)+(H463*H461)+(I463*I461)+(J463*J461)</f>
        <v>0</v>
      </c>
      <c r="M463" s="57" t="s">
        <v>121</v>
      </c>
      <c r="N463" s="63" t="b">
        <v>0</v>
      </c>
    </row>
    <row r="464" ht="13.5" customHeight="1">
      <c r="A464" s="80"/>
      <c r="B464" s="102" t="s">
        <v>33</v>
      </c>
      <c r="C464" s="70" t="s">
        <v>37</v>
      </c>
      <c r="D464" s="33"/>
      <c r="E464" s="71"/>
      <c r="F464" s="71"/>
      <c r="G464" s="71"/>
      <c r="H464" s="71"/>
      <c r="I464" s="71"/>
      <c r="J464" s="71"/>
      <c r="K464" s="72" t="s">
        <v>38</v>
      </c>
      <c r="L464" s="73">
        <f>L463-L462</f>
        <v>0</v>
      </c>
      <c r="M464" s="74" t="s">
        <v>122</v>
      </c>
      <c r="N464" s="75" t="b">
        <v>0</v>
      </c>
    </row>
    <row r="465" ht="13.5" customHeight="1">
      <c r="A465" s="99" t="s">
        <v>23</v>
      </c>
      <c r="B465" s="100" t="s">
        <v>117</v>
      </c>
      <c r="C465" s="53" t="s">
        <v>30</v>
      </c>
      <c r="D465" s="54"/>
      <c r="E465" s="60"/>
      <c r="F465" s="60"/>
      <c r="G465" s="60"/>
      <c r="H465" s="60"/>
      <c r="I465" s="60"/>
      <c r="J465" s="60"/>
      <c r="K465" s="61" t="s">
        <v>30</v>
      </c>
      <c r="L465" s="62">
        <f>(E465*E461)+(F465*F461)+(G465*G461)+(H465*H461)+(I465*I461)+(J465*J461)</f>
        <v>0</v>
      </c>
      <c r="M465" s="57" t="s">
        <v>119</v>
      </c>
      <c r="N465" s="63" t="b">
        <v>0</v>
      </c>
    </row>
    <row r="466" ht="13.5" customHeight="1">
      <c r="A466" s="103"/>
      <c r="B466" s="59"/>
      <c r="C466" s="53" t="s">
        <v>34</v>
      </c>
      <c r="D466" s="54"/>
      <c r="E466" s="66"/>
      <c r="F466" s="66"/>
      <c r="G466" s="66"/>
      <c r="H466" s="66"/>
      <c r="I466" s="66"/>
      <c r="J466" s="66"/>
      <c r="K466" s="67" t="s">
        <v>35</v>
      </c>
      <c r="L466" s="62">
        <f>(E466*E461)+(F466*F461)+(G466*G461)+(H466*H461)+(I466*I461)+(J466*J461)</f>
        <v>0</v>
      </c>
      <c r="M466" s="57" t="s">
        <v>121</v>
      </c>
      <c r="N466" s="63" t="b">
        <v>0</v>
      </c>
    </row>
    <row r="467" ht="13.5" customHeight="1">
      <c r="A467" s="80"/>
      <c r="B467" s="102" t="s">
        <v>42</v>
      </c>
      <c r="C467" s="70" t="s">
        <v>37</v>
      </c>
      <c r="D467" s="33"/>
      <c r="E467" s="71"/>
      <c r="F467" s="71"/>
      <c r="G467" s="71"/>
      <c r="H467" s="71"/>
      <c r="I467" s="71"/>
      <c r="J467" s="71"/>
      <c r="K467" s="72" t="s">
        <v>38</v>
      </c>
      <c r="L467" s="73">
        <f>L466-L465</f>
        <v>0</v>
      </c>
      <c r="M467" s="74" t="s">
        <v>122</v>
      </c>
      <c r="N467" s="75" t="b">
        <v>0</v>
      </c>
    </row>
    <row r="468" ht="13.5" customHeight="1">
      <c r="A468" s="99" t="s">
        <v>23</v>
      </c>
      <c r="B468" s="100" t="s">
        <v>117</v>
      </c>
      <c r="C468" s="53" t="s">
        <v>30</v>
      </c>
      <c r="D468" s="54"/>
      <c r="E468" s="60"/>
      <c r="F468" s="60"/>
      <c r="G468" s="60"/>
      <c r="H468" s="60"/>
      <c r="I468" s="60"/>
      <c r="J468" s="60"/>
      <c r="K468" s="61" t="s">
        <v>30</v>
      </c>
      <c r="L468" s="62">
        <f>(E468*E461)+(F468*F461)+(G468*G461)+(H468*H461)+(I468*I461)+(J468*J461)</f>
        <v>0</v>
      </c>
      <c r="M468" s="57" t="s">
        <v>119</v>
      </c>
      <c r="N468" s="63" t="b">
        <v>0</v>
      </c>
    </row>
    <row r="469" ht="13.5" customHeight="1">
      <c r="A469" s="103"/>
      <c r="B469" s="59"/>
      <c r="C469" s="53" t="s">
        <v>34</v>
      </c>
      <c r="D469" s="54"/>
      <c r="E469" s="66"/>
      <c r="F469" s="66"/>
      <c r="G469" s="66"/>
      <c r="H469" s="66"/>
      <c r="I469" s="66"/>
      <c r="J469" s="66"/>
      <c r="K469" s="67" t="s">
        <v>35</v>
      </c>
      <c r="L469" s="62">
        <f>(E469*E461)+(F469*F461)+(G469*G461)+(H469*H461)+(I469*I461)+(J469*J461)</f>
        <v>0</v>
      </c>
      <c r="M469" s="57" t="s">
        <v>121</v>
      </c>
      <c r="N469" s="63" t="b">
        <v>0</v>
      </c>
    </row>
    <row r="470" ht="13.5" customHeight="1">
      <c r="A470" s="80"/>
      <c r="B470" s="102" t="s">
        <v>47</v>
      </c>
      <c r="C470" s="70" t="s">
        <v>37</v>
      </c>
      <c r="D470" s="33"/>
      <c r="E470" s="71"/>
      <c r="F470" s="71"/>
      <c r="G470" s="71"/>
      <c r="H470" s="71"/>
      <c r="I470" s="71"/>
      <c r="J470" s="71"/>
      <c r="K470" s="72" t="s">
        <v>38</v>
      </c>
      <c r="L470" s="73">
        <f>L469-L468</f>
        <v>0</v>
      </c>
      <c r="M470" s="74" t="s">
        <v>122</v>
      </c>
      <c r="N470" s="75" t="b">
        <v>0</v>
      </c>
    </row>
    <row r="471" ht="18.75" customHeight="1">
      <c r="A471" s="99" t="s">
        <v>23</v>
      </c>
      <c r="B471" s="100" t="s">
        <v>117</v>
      </c>
      <c r="C471" s="53" t="s">
        <v>30</v>
      </c>
      <c r="D471" s="54"/>
      <c r="E471" s="60"/>
      <c r="F471" s="60"/>
      <c r="G471" s="60"/>
      <c r="H471" s="60"/>
      <c r="I471" s="60"/>
      <c r="J471" s="60"/>
      <c r="K471" s="61" t="s">
        <v>30</v>
      </c>
      <c r="L471" s="62">
        <f>(E471*E461)+(F471*F461)+(G471*G461)+(H471*H461)+(I471*I461)+(J471*J461)</f>
        <v>0</v>
      </c>
      <c r="M471" s="57" t="s">
        <v>119</v>
      </c>
      <c r="N471" s="63" t="b">
        <v>0</v>
      </c>
    </row>
    <row r="472" ht="13.5" customHeight="1">
      <c r="A472" s="103"/>
      <c r="B472" s="59"/>
      <c r="C472" s="53" t="s">
        <v>34</v>
      </c>
      <c r="D472" s="54"/>
      <c r="E472" s="66"/>
      <c r="F472" s="66"/>
      <c r="G472" s="66"/>
      <c r="H472" s="66"/>
      <c r="I472" s="66"/>
      <c r="J472" s="66"/>
      <c r="K472" s="67" t="s">
        <v>35</v>
      </c>
      <c r="L472" s="62">
        <f>(E472*E461)+(F472*F461)+(G472*G461)+(H472*H461)+(I472*I461)+(J472*J461)</f>
        <v>0</v>
      </c>
      <c r="M472" s="57" t="s">
        <v>121</v>
      </c>
      <c r="N472" s="63" t="b">
        <v>0</v>
      </c>
    </row>
    <row r="473" ht="13.5" customHeight="1">
      <c r="A473" s="80"/>
      <c r="B473" s="102" t="s">
        <v>49</v>
      </c>
      <c r="C473" s="70" t="s">
        <v>37</v>
      </c>
      <c r="D473" s="33"/>
      <c r="E473" s="71"/>
      <c r="F473" s="71"/>
      <c r="G473" s="71"/>
      <c r="H473" s="71"/>
      <c r="I473" s="71"/>
      <c r="J473" s="71"/>
      <c r="K473" s="72" t="s">
        <v>38</v>
      </c>
      <c r="L473" s="73">
        <f>L472-L471</f>
        <v>0</v>
      </c>
      <c r="M473" s="74" t="s">
        <v>122</v>
      </c>
      <c r="N473" s="75" t="b">
        <v>0</v>
      </c>
    </row>
    <row r="474" ht="13.5" customHeight="1">
      <c r="A474" s="94" t="s">
        <v>123</v>
      </c>
      <c r="B474" s="95" t="s">
        <v>20</v>
      </c>
      <c r="C474" s="96"/>
      <c r="D474" s="10"/>
      <c r="E474" s="97">
        <f t="shared" ref="E474:J474" si="127">E6</f>
        <v>17</v>
      </c>
      <c r="F474" s="97">
        <f t="shared" si="127"/>
        <v>27</v>
      </c>
      <c r="G474" s="97">
        <f t="shared" si="127"/>
        <v>27</v>
      </c>
      <c r="H474" s="97">
        <f t="shared" si="127"/>
        <v>27</v>
      </c>
      <c r="I474" s="97">
        <f t="shared" si="127"/>
        <v>32</v>
      </c>
      <c r="J474" s="97">
        <f t="shared" si="127"/>
        <v>37</v>
      </c>
      <c r="K474" s="95" t="s">
        <v>21</v>
      </c>
      <c r="L474" s="10"/>
      <c r="M474" s="98" t="s">
        <v>118</v>
      </c>
      <c r="N474" s="10"/>
    </row>
    <row r="475" ht="13.5" customHeight="1">
      <c r="A475" s="99" t="s">
        <v>23</v>
      </c>
      <c r="B475" s="100" t="s">
        <v>123</v>
      </c>
      <c r="C475" s="53" t="s">
        <v>30</v>
      </c>
      <c r="D475" s="54"/>
      <c r="E475" s="60"/>
      <c r="F475" s="60"/>
      <c r="G475" s="60"/>
      <c r="H475" s="60"/>
      <c r="I475" s="60"/>
      <c r="J475" s="60"/>
      <c r="K475" s="61" t="s">
        <v>30</v>
      </c>
      <c r="L475" s="62">
        <f>(E475*E474)+(F475*F474)+(G475*G474)+(H475*H474)+(I475*I474)+(J475*J474)</f>
        <v>0</v>
      </c>
      <c r="M475" s="57" t="s">
        <v>119</v>
      </c>
      <c r="N475" s="63" t="b">
        <v>0</v>
      </c>
    </row>
    <row r="476" ht="13.5" customHeight="1">
      <c r="A476" s="103"/>
      <c r="B476" s="59"/>
      <c r="C476" s="53" t="s">
        <v>34</v>
      </c>
      <c r="D476" s="54"/>
      <c r="E476" s="66"/>
      <c r="F476" s="66"/>
      <c r="G476" s="66"/>
      <c r="H476" s="66"/>
      <c r="I476" s="66"/>
      <c r="J476" s="66"/>
      <c r="K476" s="67" t="s">
        <v>35</v>
      </c>
      <c r="L476" s="62">
        <f>(E476*E474)+(F476*F474)+(G476*G474)+(H476*H474)+(I476*I474)+(J476*J474)</f>
        <v>0</v>
      </c>
      <c r="M476" s="57" t="s">
        <v>121</v>
      </c>
      <c r="N476" s="63" t="b">
        <v>0</v>
      </c>
    </row>
    <row r="477" ht="13.5" customHeight="1">
      <c r="A477" s="80"/>
      <c r="B477" s="102" t="s">
        <v>33</v>
      </c>
      <c r="C477" s="70" t="s">
        <v>37</v>
      </c>
      <c r="D477" s="33"/>
      <c r="E477" s="71"/>
      <c r="F477" s="71"/>
      <c r="G477" s="71"/>
      <c r="H477" s="71"/>
      <c r="I477" s="71"/>
      <c r="J477" s="71"/>
      <c r="K477" s="72" t="s">
        <v>38</v>
      </c>
      <c r="L477" s="73">
        <f>L476-L475</f>
        <v>0</v>
      </c>
      <c r="M477" s="74" t="s">
        <v>122</v>
      </c>
      <c r="N477" s="75" t="b">
        <v>0</v>
      </c>
    </row>
    <row r="478" ht="15.0" customHeight="1">
      <c r="A478" s="99" t="s">
        <v>23</v>
      </c>
      <c r="B478" s="100" t="s">
        <v>123</v>
      </c>
      <c r="C478" s="53" t="s">
        <v>30</v>
      </c>
      <c r="D478" s="54"/>
      <c r="E478" s="60"/>
      <c r="F478" s="60"/>
      <c r="G478" s="60"/>
      <c r="H478" s="60"/>
      <c r="I478" s="60"/>
      <c r="J478" s="60"/>
      <c r="K478" s="61" t="s">
        <v>30</v>
      </c>
      <c r="L478" s="62">
        <f>(E478*E474)+(F478*F474)+(G478*G474)+(H478*H474)+(I478*I474)+(J478*J474)</f>
        <v>0</v>
      </c>
      <c r="M478" s="57" t="s">
        <v>119</v>
      </c>
      <c r="N478" s="63" t="b">
        <v>0</v>
      </c>
    </row>
    <row r="479" ht="13.5" customHeight="1">
      <c r="A479" s="103"/>
      <c r="B479" s="59"/>
      <c r="C479" s="53" t="s">
        <v>34</v>
      </c>
      <c r="D479" s="54"/>
      <c r="E479" s="66"/>
      <c r="F479" s="66"/>
      <c r="G479" s="66"/>
      <c r="H479" s="66"/>
      <c r="I479" s="66"/>
      <c r="J479" s="66"/>
      <c r="K479" s="67" t="s">
        <v>35</v>
      </c>
      <c r="L479" s="62">
        <f>(E479*E474)+(F479*F474)+(G479*G474)+(H479*H474)+(I479*I474)+(J479*J474)</f>
        <v>0</v>
      </c>
      <c r="M479" s="57" t="s">
        <v>121</v>
      </c>
      <c r="N479" s="63" t="b">
        <v>0</v>
      </c>
    </row>
    <row r="480" ht="13.5" customHeight="1">
      <c r="A480" s="80"/>
      <c r="B480" s="102" t="s">
        <v>42</v>
      </c>
      <c r="C480" s="70" t="s">
        <v>37</v>
      </c>
      <c r="D480" s="33"/>
      <c r="E480" s="71"/>
      <c r="F480" s="71"/>
      <c r="G480" s="71"/>
      <c r="H480" s="71"/>
      <c r="I480" s="71"/>
      <c r="J480" s="71"/>
      <c r="K480" s="72" t="s">
        <v>38</v>
      </c>
      <c r="L480" s="73">
        <f>L479-L478</f>
        <v>0</v>
      </c>
      <c r="M480" s="74" t="s">
        <v>122</v>
      </c>
      <c r="N480" s="75" t="b">
        <v>0</v>
      </c>
    </row>
    <row r="481" ht="13.5" customHeight="1">
      <c r="A481" s="99" t="s">
        <v>23</v>
      </c>
      <c r="B481" s="100" t="s">
        <v>123</v>
      </c>
      <c r="C481" s="53" t="s">
        <v>30</v>
      </c>
      <c r="D481" s="54"/>
      <c r="E481" s="60"/>
      <c r="F481" s="60"/>
      <c r="G481" s="60"/>
      <c r="H481" s="60"/>
      <c r="I481" s="60"/>
      <c r="J481" s="60"/>
      <c r="K481" s="61" t="s">
        <v>30</v>
      </c>
      <c r="L481" s="62">
        <f>(E481*E474)+(F481*F474)+(G481*G474)+(H481*H474)+(I481*I474)+(J481*J474)</f>
        <v>0</v>
      </c>
      <c r="M481" s="57" t="s">
        <v>119</v>
      </c>
      <c r="N481" s="63" t="b">
        <v>0</v>
      </c>
    </row>
    <row r="482" ht="13.5" customHeight="1">
      <c r="A482" s="103"/>
      <c r="B482" s="59"/>
      <c r="C482" s="53" t="s">
        <v>34</v>
      </c>
      <c r="D482" s="54"/>
      <c r="E482" s="66"/>
      <c r="F482" s="66"/>
      <c r="G482" s="66"/>
      <c r="H482" s="66"/>
      <c r="I482" s="66"/>
      <c r="J482" s="66"/>
      <c r="K482" s="67" t="s">
        <v>35</v>
      </c>
      <c r="L482" s="62">
        <f>(E482*E474)+(F482*F474)+(G482*G474)+(H482*H474)+(I482*I474)+(J482*J474)</f>
        <v>0</v>
      </c>
      <c r="M482" s="57" t="s">
        <v>121</v>
      </c>
      <c r="N482" s="63" t="b">
        <v>0</v>
      </c>
    </row>
    <row r="483" ht="13.5" customHeight="1">
      <c r="A483" s="80"/>
      <c r="B483" s="102" t="s">
        <v>47</v>
      </c>
      <c r="C483" s="70" t="s">
        <v>37</v>
      </c>
      <c r="D483" s="33"/>
      <c r="E483" s="71"/>
      <c r="F483" s="71"/>
      <c r="G483" s="71"/>
      <c r="H483" s="71"/>
      <c r="I483" s="71"/>
      <c r="J483" s="71"/>
      <c r="K483" s="72" t="s">
        <v>38</v>
      </c>
      <c r="L483" s="73">
        <f>L482-L481</f>
        <v>0</v>
      </c>
      <c r="M483" s="74" t="s">
        <v>122</v>
      </c>
      <c r="N483" s="75" t="b">
        <v>0</v>
      </c>
    </row>
    <row r="484" ht="13.5" customHeight="1">
      <c r="A484" s="99" t="s">
        <v>23</v>
      </c>
      <c r="B484" s="100" t="s">
        <v>123</v>
      </c>
      <c r="C484" s="53" t="s">
        <v>30</v>
      </c>
      <c r="D484" s="54"/>
      <c r="E484" s="60"/>
      <c r="F484" s="60"/>
      <c r="G484" s="60"/>
      <c r="H484" s="60"/>
      <c r="I484" s="60"/>
      <c r="J484" s="60"/>
      <c r="K484" s="61" t="s">
        <v>30</v>
      </c>
      <c r="L484" s="62">
        <f>(E484*E474)+(F484*F474)+(G484*G474)+(H484*H474)+(I484*I474)+(J484*J474)</f>
        <v>0</v>
      </c>
      <c r="M484" s="57" t="s">
        <v>119</v>
      </c>
      <c r="N484" s="63" t="b">
        <v>0</v>
      </c>
    </row>
    <row r="485" ht="13.5" customHeight="1">
      <c r="A485" s="103"/>
      <c r="B485" s="59"/>
      <c r="C485" s="53" t="s">
        <v>34</v>
      </c>
      <c r="D485" s="54"/>
      <c r="E485" s="66"/>
      <c r="F485" s="66"/>
      <c r="G485" s="66"/>
      <c r="H485" s="66"/>
      <c r="I485" s="66"/>
      <c r="J485" s="66"/>
      <c r="K485" s="67" t="s">
        <v>35</v>
      </c>
      <c r="L485" s="62">
        <f>(E485*E474)+(F485*F474)+(G485*G474)+(H485*H474)+(I485*I474)+(J485*J474)</f>
        <v>0</v>
      </c>
      <c r="M485" s="57" t="s">
        <v>121</v>
      </c>
      <c r="N485" s="63" t="b">
        <v>0</v>
      </c>
    </row>
    <row r="486" ht="13.5" customHeight="1">
      <c r="A486" s="80"/>
      <c r="B486" s="102" t="s">
        <v>49</v>
      </c>
      <c r="C486" s="70" t="s">
        <v>37</v>
      </c>
      <c r="D486" s="33"/>
      <c r="E486" s="71"/>
      <c r="F486" s="71"/>
      <c r="G486" s="71"/>
      <c r="H486" s="71"/>
      <c r="I486" s="71"/>
      <c r="J486" s="71"/>
      <c r="K486" s="72" t="s">
        <v>38</v>
      </c>
      <c r="L486" s="73">
        <f>L485-L484</f>
        <v>0</v>
      </c>
      <c r="M486" s="74" t="s">
        <v>122</v>
      </c>
      <c r="N486" s="75" t="b">
        <v>0</v>
      </c>
    </row>
    <row r="487" ht="13.5" customHeight="1">
      <c r="A487" s="94" t="s">
        <v>124</v>
      </c>
      <c r="B487" s="95" t="s">
        <v>20</v>
      </c>
      <c r="C487" s="96"/>
      <c r="D487" s="10"/>
      <c r="E487" s="97">
        <f t="shared" ref="E487:J487" si="128">E6</f>
        <v>17</v>
      </c>
      <c r="F487" s="97">
        <f t="shared" si="128"/>
        <v>27</v>
      </c>
      <c r="G487" s="97">
        <f t="shared" si="128"/>
        <v>27</v>
      </c>
      <c r="H487" s="97">
        <f t="shared" si="128"/>
        <v>27</v>
      </c>
      <c r="I487" s="97">
        <f t="shared" si="128"/>
        <v>32</v>
      </c>
      <c r="J487" s="97">
        <f t="shared" si="128"/>
        <v>37</v>
      </c>
      <c r="K487" s="95" t="s">
        <v>21</v>
      </c>
      <c r="L487" s="10"/>
      <c r="M487" s="98" t="s">
        <v>118</v>
      </c>
      <c r="N487" s="10"/>
    </row>
    <row r="488" ht="13.5" customHeight="1">
      <c r="A488" s="99" t="s">
        <v>23</v>
      </c>
      <c r="B488" s="100" t="s">
        <v>124</v>
      </c>
      <c r="C488" s="53" t="s">
        <v>30</v>
      </c>
      <c r="D488" s="54"/>
      <c r="E488" s="60"/>
      <c r="F488" s="60"/>
      <c r="G488" s="60"/>
      <c r="H488" s="60"/>
      <c r="I488" s="60"/>
      <c r="J488" s="60"/>
      <c r="K488" s="61" t="s">
        <v>30</v>
      </c>
      <c r="L488" s="62">
        <f>(E488*E487)+(F488*F487)+(G488*G487)+(H488*H487)+(I488*I487)+(J488*J487)</f>
        <v>0</v>
      </c>
      <c r="M488" s="57" t="s">
        <v>119</v>
      </c>
      <c r="N488" s="63" t="b">
        <v>0</v>
      </c>
    </row>
    <row r="489" ht="13.5" customHeight="1">
      <c r="A489" s="103"/>
      <c r="B489" s="59"/>
      <c r="C489" s="53" t="s">
        <v>34</v>
      </c>
      <c r="D489" s="54"/>
      <c r="E489" s="66"/>
      <c r="F489" s="66"/>
      <c r="G489" s="66"/>
      <c r="H489" s="66"/>
      <c r="I489" s="66"/>
      <c r="J489" s="66"/>
      <c r="K489" s="67" t="s">
        <v>35</v>
      </c>
      <c r="L489" s="62">
        <f>(E489*E487)+(F489*F487)+(G489*G487)+(H489*H487)+(I489*I487)+(J489*J487)</f>
        <v>0</v>
      </c>
      <c r="M489" s="57" t="s">
        <v>121</v>
      </c>
      <c r="N489" s="63" t="b">
        <v>0</v>
      </c>
    </row>
    <row r="490" ht="13.5" customHeight="1">
      <c r="A490" s="80"/>
      <c r="B490" s="102" t="s">
        <v>33</v>
      </c>
      <c r="C490" s="70" t="s">
        <v>37</v>
      </c>
      <c r="D490" s="33"/>
      <c r="E490" s="71"/>
      <c r="F490" s="71"/>
      <c r="G490" s="71"/>
      <c r="H490" s="71"/>
      <c r="I490" s="71"/>
      <c r="J490" s="71"/>
      <c r="K490" s="72" t="s">
        <v>38</v>
      </c>
      <c r="L490" s="73">
        <f>L489-L488</f>
        <v>0</v>
      </c>
      <c r="M490" s="74" t="s">
        <v>122</v>
      </c>
      <c r="N490" s="75" t="b">
        <v>0</v>
      </c>
    </row>
    <row r="491" ht="13.5" customHeight="1">
      <c r="A491" s="99" t="s">
        <v>23</v>
      </c>
      <c r="B491" s="100" t="s">
        <v>124</v>
      </c>
      <c r="C491" s="53" t="s">
        <v>30</v>
      </c>
      <c r="D491" s="54"/>
      <c r="E491" s="60"/>
      <c r="F491" s="60"/>
      <c r="G491" s="60"/>
      <c r="H491" s="60"/>
      <c r="I491" s="60"/>
      <c r="J491" s="60"/>
      <c r="K491" s="61" t="s">
        <v>30</v>
      </c>
      <c r="L491" s="62">
        <f>(E491*E487)+(F491*F487)+(G491*G487)+(H491*H487)+(I491*I487)+(J491*J487)</f>
        <v>0</v>
      </c>
      <c r="M491" s="57" t="s">
        <v>119</v>
      </c>
      <c r="N491" s="63" t="b">
        <v>0</v>
      </c>
    </row>
    <row r="492" ht="13.5" customHeight="1">
      <c r="A492" s="103"/>
      <c r="B492" s="59"/>
      <c r="C492" s="53" t="s">
        <v>34</v>
      </c>
      <c r="D492" s="54"/>
      <c r="E492" s="66"/>
      <c r="F492" s="66"/>
      <c r="G492" s="66"/>
      <c r="H492" s="66"/>
      <c r="I492" s="66"/>
      <c r="J492" s="66"/>
      <c r="K492" s="67" t="s">
        <v>35</v>
      </c>
      <c r="L492" s="62">
        <f>(E492*E487)+(F492*F487)+(G492*G487)+(H492*H487)+(I492*I487)+(J492*J487)</f>
        <v>0</v>
      </c>
      <c r="M492" s="57" t="s">
        <v>121</v>
      </c>
      <c r="N492" s="63" t="b">
        <v>0</v>
      </c>
    </row>
    <row r="493" ht="13.5" customHeight="1">
      <c r="A493" s="80"/>
      <c r="B493" s="102" t="s">
        <v>42</v>
      </c>
      <c r="C493" s="70" t="s">
        <v>37</v>
      </c>
      <c r="D493" s="33"/>
      <c r="E493" s="71"/>
      <c r="F493" s="71"/>
      <c r="G493" s="71"/>
      <c r="H493" s="71"/>
      <c r="I493" s="71"/>
      <c r="J493" s="71"/>
      <c r="K493" s="72" t="s">
        <v>38</v>
      </c>
      <c r="L493" s="73">
        <f>L492-L491</f>
        <v>0</v>
      </c>
      <c r="M493" s="74" t="s">
        <v>122</v>
      </c>
      <c r="N493" s="75" t="b">
        <v>0</v>
      </c>
    </row>
    <row r="494" ht="15.0" customHeight="1">
      <c r="A494" s="99" t="s">
        <v>23</v>
      </c>
      <c r="B494" s="100" t="s">
        <v>124</v>
      </c>
      <c r="C494" s="53" t="s">
        <v>30</v>
      </c>
      <c r="D494" s="54"/>
      <c r="E494" s="60"/>
      <c r="F494" s="60"/>
      <c r="G494" s="60"/>
      <c r="H494" s="60"/>
      <c r="I494" s="60"/>
      <c r="J494" s="60"/>
      <c r="K494" s="61" t="s">
        <v>30</v>
      </c>
      <c r="L494" s="62">
        <f>(E494*E487)+(F494*F487)+(G494*G487)+(H494*H487)+(I494*I487)+(J494*J487)</f>
        <v>0</v>
      </c>
      <c r="M494" s="57" t="s">
        <v>119</v>
      </c>
      <c r="N494" s="63" t="b">
        <v>0</v>
      </c>
    </row>
    <row r="495" ht="13.5" customHeight="1">
      <c r="A495" s="103"/>
      <c r="B495" s="59"/>
      <c r="C495" s="53" t="s">
        <v>34</v>
      </c>
      <c r="D495" s="54"/>
      <c r="E495" s="66"/>
      <c r="F495" s="66"/>
      <c r="G495" s="66"/>
      <c r="H495" s="66"/>
      <c r="I495" s="66"/>
      <c r="J495" s="66"/>
      <c r="K495" s="67" t="s">
        <v>35</v>
      </c>
      <c r="L495" s="62">
        <f>(E495*E487)+(F495*F487)+(G495*G487)+(H495*H487)+(I495*I487)+(J495*J487)</f>
        <v>0</v>
      </c>
      <c r="M495" s="57" t="s">
        <v>121</v>
      </c>
      <c r="N495" s="63" t="b">
        <v>0</v>
      </c>
    </row>
    <row r="496" ht="13.5" customHeight="1">
      <c r="A496" s="80"/>
      <c r="B496" s="102" t="s">
        <v>47</v>
      </c>
      <c r="C496" s="70" t="s">
        <v>37</v>
      </c>
      <c r="D496" s="33"/>
      <c r="E496" s="71"/>
      <c r="F496" s="71"/>
      <c r="G496" s="71"/>
      <c r="H496" s="71"/>
      <c r="I496" s="71"/>
      <c r="J496" s="71"/>
      <c r="K496" s="72" t="s">
        <v>38</v>
      </c>
      <c r="L496" s="73">
        <f>L495-L494</f>
        <v>0</v>
      </c>
      <c r="M496" s="74" t="s">
        <v>122</v>
      </c>
      <c r="N496" s="75" t="b">
        <v>0</v>
      </c>
    </row>
    <row r="497" ht="13.5" customHeight="1">
      <c r="A497" s="99" t="s">
        <v>23</v>
      </c>
      <c r="B497" s="100" t="s">
        <v>124</v>
      </c>
      <c r="C497" s="53" t="s">
        <v>30</v>
      </c>
      <c r="D497" s="54"/>
      <c r="E497" s="60"/>
      <c r="F497" s="60"/>
      <c r="G497" s="60"/>
      <c r="H497" s="60"/>
      <c r="I497" s="60"/>
      <c r="J497" s="60"/>
      <c r="K497" s="61" t="s">
        <v>30</v>
      </c>
      <c r="L497" s="62">
        <f>(E497*E487)+(F497*F487)+(G497*G487)+(H497*H487)+(I497*I487)+(J497*J487)</f>
        <v>0</v>
      </c>
      <c r="M497" s="57" t="s">
        <v>119</v>
      </c>
      <c r="N497" s="63" t="b">
        <v>0</v>
      </c>
    </row>
    <row r="498" ht="13.5" customHeight="1">
      <c r="A498" s="103"/>
      <c r="B498" s="59"/>
      <c r="C498" s="53" t="s">
        <v>34</v>
      </c>
      <c r="D498" s="54"/>
      <c r="E498" s="66"/>
      <c r="F498" s="66"/>
      <c r="G498" s="66"/>
      <c r="H498" s="66"/>
      <c r="I498" s="66"/>
      <c r="J498" s="66"/>
      <c r="K498" s="67" t="s">
        <v>35</v>
      </c>
      <c r="L498" s="62">
        <f>(E498*E487)+(F498*F487)+(G498*G487)+(H498*H487)+(I498*I487)+(J498*J487)</f>
        <v>0</v>
      </c>
      <c r="M498" s="57" t="s">
        <v>121</v>
      </c>
      <c r="N498" s="63" t="b">
        <v>0</v>
      </c>
    </row>
    <row r="499" ht="13.5" customHeight="1">
      <c r="A499" s="80"/>
      <c r="B499" s="102" t="s">
        <v>49</v>
      </c>
      <c r="C499" s="70" t="s">
        <v>37</v>
      </c>
      <c r="D499" s="33"/>
      <c r="E499" s="71"/>
      <c r="F499" s="71"/>
      <c r="G499" s="71"/>
      <c r="H499" s="71"/>
      <c r="I499" s="71"/>
      <c r="J499" s="71"/>
      <c r="K499" s="72" t="s">
        <v>38</v>
      </c>
      <c r="L499" s="73">
        <f>L498-L497</f>
        <v>0</v>
      </c>
      <c r="M499" s="74" t="s">
        <v>122</v>
      </c>
      <c r="N499" s="75" t="b">
        <v>0</v>
      </c>
    </row>
    <row r="500" ht="18.75" customHeight="1">
      <c r="A500" s="94" t="s">
        <v>125</v>
      </c>
      <c r="B500" s="95" t="s">
        <v>20</v>
      </c>
      <c r="C500" s="96"/>
      <c r="D500" s="10"/>
      <c r="E500" s="97">
        <f t="shared" ref="E500:J500" si="129">E6</f>
        <v>17</v>
      </c>
      <c r="F500" s="97">
        <f t="shared" si="129"/>
        <v>27</v>
      </c>
      <c r="G500" s="97">
        <f t="shared" si="129"/>
        <v>27</v>
      </c>
      <c r="H500" s="97">
        <f t="shared" si="129"/>
        <v>27</v>
      </c>
      <c r="I500" s="97">
        <f t="shared" si="129"/>
        <v>32</v>
      </c>
      <c r="J500" s="97">
        <f t="shared" si="129"/>
        <v>37</v>
      </c>
      <c r="K500" s="95" t="s">
        <v>21</v>
      </c>
      <c r="L500" s="10"/>
      <c r="M500" s="98" t="s">
        <v>118</v>
      </c>
      <c r="N500" s="10"/>
    </row>
    <row r="501" ht="13.5" customHeight="1">
      <c r="A501" s="99" t="s">
        <v>23</v>
      </c>
      <c r="B501" s="100" t="s">
        <v>125</v>
      </c>
      <c r="C501" s="53" t="s">
        <v>30</v>
      </c>
      <c r="D501" s="54"/>
      <c r="E501" s="60"/>
      <c r="F501" s="60"/>
      <c r="G501" s="60"/>
      <c r="H501" s="60"/>
      <c r="I501" s="60"/>
      <c r="J501" s="60"/>
      <c r="K501" s="61" t="s">
        <v>30</v>
      </c>
      <c r="L501" s="62">
        <f>(E501*E500)+(F501*F500)+(G501*G500)+(H501*H500)+(I501*I500)+(J501*J500)</f>
        <v>0</v>
      </c>
      <c r="M501" s="57" t="s">
        <v>119</v>
      </c>
      <c r="N501" s="63" t="b">
        <v>0</v>
      </c>
    </row>
    <row r="502" ht="13.5" customHeight="1">
      <c r="A502" s="103"/>
      <c r="B502" s="59"/>
      <c r="C502" s="53" t="s">
        <v>34</v>
      </c>
      <c r="D502" s="54"/>
      <c r="E502" s="66"/>
      <c r="F502" s="66"/>
      <c r="G502" s="66"/>
      <c r="H502" s="66"/>
      <c r="I502" s="66"/>
      <c r="J502" s="66"/>
      <c r="K502" s="67" t="s">
        <v>35</v>
      </c>
      <c r="L502" s="62">
        <f>(E502*E500)+(F502*F500)+(G502*G500)+(H502*H500)+(I502*I500)+(J502*J500)</f>
        <v>0</v>
      </c>
      <c r="M502" s="57" t="s">
        <v>121</v>
      </c>
      <c r="N502" s="63" t="b">
        <v>0</v>
      </c>
    </row>
    <row r="503" ht="17.25" customHeight="1">
      <c r="A503" s="80"/>
      <c r="B503" s="102" t="s">
        <v>33</v>
      </c>
      <c r="C503" s="70" t="s">
        <v>37</v>
      </c>
      <c r="D503" s="33"/>
      <c r="E503" s="71"/>
      <c r="F503" s="71"/>
      <c r="G503" s="71"/>
      <c r="H503" s="71"/>
      <c r="I503" s="71"/>
      <c r="J503" s="71"/>
      <c r="K503" s="72" t="s">
        <v>38</v>
      </c>
      <c r="L503" s="73">
        <f>L502-L501</f>
        <v>0</v>
      </c>
      <c r="M503" s="74" t="s">
        <v>122</v>
      </c>
      <c r="N503" s="75" t="b">
        <v>0</v>
      </c>
    </row>
    <row r="504" ht="13.5" customHeight="1">
      <c r="A504" s="99" t="s">
        <v>23</v>
      </c>
      <c r="B504" s="100" t="s">
        <v>125</v>
      </c>
      <c r="C504" s="53" t="s">
        <v>30</v>
      </c>
      <c r="D504" s="54"/>
      <c r="E504" s="60"/>
      <c r="F504" s="60"/>
      <c r="G504" s="60"/>
      <c r="H504" s="60"/>
      <c r="I504" s="60"/>
      <c r="J504" s="60"/>
      <c r="K504" s="61" t="s">
        <v>30</v>
      </c>
      <c r="L504" s="62">
        <f>(E504*E500)+(F504*F500)+(G504*G500)+(H504*H500)+(I504*I500)+(J504*J500)</f>
        <v>0</v>
      </c>
      <c r="M504" s="57" t="s">
        <v>119</v>
      </c>
      <c r="N504" s="63" t="b">
        <v>0</v>
      </c>
    </row>
    <row r="505" ht="13.5" customHeight="1">
      <c r="A505" s="103"/>
      <c r="B505" s="59"/>
      <c r="C505" s="53" t="s">
        <v>34</v>
      </c>
      <c r="D505" s="54"/>
      <c r="E505" s="66"/>
      <c r="F505" s="66"/>
      <c r="G505" s="66"/>
      <c r="H505" s="66"/>
      <c r="I505" s="66"/>
      <c r="J505" s="66"/>
      <c r="K505" s="67" t="s">
        <v>35</v>
      </c>
      <c r="L505" s="62">
        <f>(E505*E500)+(F505*F500)+(G505*G500)+(H505*H500)+(I505*I500)+(J505*J500)</f>
        <v>0</v>
      </c>
      <c r="M505" s="57" t="s">
        <v>121</v>
      </c>
      <c r="N505" s="63" t="b">
        <v>0</v>
      </c>
    </row>
    <row r="506" ht="13.5" customHeight="1">
      <c r="A506" s="80"/>
      <c r="B506" s="102" t="s">
        <v>42</v>
      </c>
      <c r="C506" s="70" t="s">
        <v>37</v>
      </c>
      <c r="D506" s="33"/>
      <c r="E506" s="71"/>
      <c r="F506" s="71"/>
      <c r="G506" s="71"/>
      <c r="H506" s="71"/>
      <c r="I506" s="71"/>
      <c r="J506" s="71"/>
      <c r="K506" s="72" t="s">
        <v>38</v>
      </c>
      <c r="L506" s="73">
        <f>L505-L504</f>
        <v>0</v>
      </c>
      <c r="M506" s="74" t="s">
        <v>122</v>
      </c>
      <c r="N506" s="75" t="b">
        <v>0</v>
      </c>
    </row>
    <row r="507" ht="13.5" customHeight="1">
      <c r="A507" s="99" t="s">
        <v>23</v>
      </c>
      <c r="B507" s="100" t="s">
        <v>125</v>
      </c>
      <c r="C507" s="53" t="s">
        <v>30</v>
      </c>
      <c r="D507" s="54"/>
      <c r="E507" s="60"/>
      <c r="F507" s="60"/>
      <c r="G507" s="60"/>
      <c r="H507" s="60"/>
      <c r="I507" s="60"/>
      <c r="J507" s="60"/>
      <c r="K507" s="61" t="s">
        <v>30</v>
      </c>
      <c r="L507" s="62">
        <f>(E507*E500)+(F507*F500)+(G507*G500)+(H507*H500)+(I507*I500)+(J507*J500)</f>
        <v>0</v>
      </c>
      <c r="M507" s="57" t="s">
        <v>119</v>
      </c>
      <c r="N507" s="63" t="b">
        <v>0</v>
      </c>
    </row>
    <row r="508" ht="13.5" customHeight="1">
      <c r="A508" s="103"/>
      <c r="B508" s="59"/>
      <c r="C508" s="53" t="s">
        <v>34</v>
      </c>
      <c r="D508" s="54"/>
      <c r="E508" s="66"/>
      <c r="F508" s="66"/>
      <c r="G508" s="66"/>
      <c r="H508" s="66"/>
      <c r="I508" s="66"/>
      <c r="J508" s="66"/>
      <c r="K508" s="67" t="s">
        <v>35</v>
      </c>
      <c r="L508" s="62">
        <f>(E508*E500)+(F508*F500)+(G508*G500)+(H508*H500)+(I508*I500)+(J508*J500)</f>
        <v>0</v>
      </c>
      <c r="M508" s="57" t="s">
        <v>121</v>
      </c>
      <c r="N508" s="63" t="b">
        <v>0</v>
      </c>
    </row>
    <row r="509" ht="13.5" customHeight="1">
      <c r="A509" s="80"/>
      <c r="B509" s="102" t="s">
        <v>47</v>
      </c>
      <c r="C509" s="70" t="s">
        <v>37</v>
      </c>
      <c r="D509" s="33"/>
      <c r="E509" s="71"/>
      <c r="F509" s="71"/>
      <c r="G509" s="71"/>
      <c r="H509" s="71"/>
      <c r="I509" s="71"/>
      <c r="J509" s="71"/>
      <c r="K509" s="72" t="s">
        <v>38</v>
      </c>
      <c r="L509" s="73">
        <f>L508-L507</f>
        <v>0</v>
      </c>
      <c r="M509" s="74" t="s">
        <v>122</v>
      </c>
      <c r="N509" s="75" t="b">
        <v>0</v>
      </c>
    </row>
    <row r="510" ht="18.75" customHeight="1">
      <c r="A510" s="99" t="s">
        <v>23</v>
      </c>
      <c r="B510" s="100" t="s">
        <v>125</v>
      </c>
      <c r="C510" s="53" t="s">
        <v>30</v>
      </c>
      <c r="D510" s="54"/>
      <c r="E510" s="60"/>
      <c r="F510" s="60"/>
      <c r="G510" s="60"/>
      <c r="H510" s="60"/>
      <c r="I510" s="60"/>
      <c r="J510" s="60"/>
      <c r="K510" s="61" t="s">
        <v>30</v>
      </c>
      <c r="L510" s="62">
        <f>(E510*E500)+(F510*F500)+(G510*G500)+(H510*H500)+(I510*I500)+(J510*J500)</f>
        <v>0</v>
      </c>
      <c r="M510" s="57" t="s">
        <v>119</v>
      </c>
      <c r="N510" s="63" t="b">
        <v>0</v>
      </c>
    </row>
    <row r="511" ht="13.5" customHeight="1">
      <c r="A511" s="103"/>
      <c r="B511" s="59"/>
      <c r="C511" s="53" t="s">
        <v>34</v>
      </c>
      <c r="D511" s="54"/>
      <c r="E511" s="66"/>
      <c r="F511" s="66"/>
      <c r="G511" s="66"/>
      <c r="H511" s="66"/>
      <c r="I511" s="66"/>
      <c r="J511" s="66"/>
      <c r="K511" s="67" t="s">
        <v>35</v>
      </c>
      <c r="L511" s="62">
        <f>(E511*E500)+(F511*F500)+(G511*G500)+(H511*H500)+(I511*I500)+(J511*J500)</f>
        <v>0</v>
      </c>
      <c r="M511" s="57" t="s">
        <v>121</v>
      </c>
      <c r="N511" s="63" t="b">
        <v>0</v>
      </c>
    </row>
    <row r="512" ht="13.5" customHeight="1">
      <c r="A512" s="80"/>
      <c r="B512" s="102" t="s">
        <v>49</v>
      </c>
      <c r="C512" s="70" t="s">
        <v>37</v>
      </c>
      <c r="D512" s="33"/>
      <c r="E512" s="71"/>
      <c r="F512" s="71"/>
      <c r="G512" s="71"/>
      <c r="H512" s="71"/>
      <c r="I512" s="71"/>
      <c r="J512" s="71"/>
      <c r="K512" s="72" t="s">
        <v>38</v>
      </c>
      <c r="L512" s="73">
        <f>L511-L510</f>
        <v>0</v>
      </c>
      <c r="M512" s="74" t="s">
        <v>122</v>
      </c>
      <c r="N512" s="75" t="b">
        <v>0</v>
      </c>
    </row>
    <row r="513" ht="13.5" customHeight="1">
      <c r="A513" s="94" t="s">
        <v>126</v>
      </c>
      <c r="B513" s="95" t="s">
        <v>20</v>
      </c>
      <c r="C513" s="96"/>
      <c r="D513" s="10"/>
      <c r="E513" s="97">
        <f t="shared" ref="E513:J513" si="130">E6</f>
        <v>17</v>
      </c>
      <c r="F513" s="97">
        <f t="shared" si="130"/>
        <v>27</v>
      </c>
      <c r="G513" s="97">
        <f t="shared" si="130"/>
        <v>27</v>
      </c>
      <c r="H513" s="97">
        <f t="shared" si="130"/>
        <v>27</v>
      </c>
      <c r="I513" s="97">
        <f t="shared" si="130"/>
        <v>32</v>
      </c>
      <c r="J513" s="97">
        <f t="shared" si="130"/>
        <v>37</v>
      </c>
      <c r="K513" s="95" t="s">
        <v>21</v>
      </c>
      <c r="L513" s="10"/>
      <c r="M513" s="98" t="s">
        <v>118</v>
      </c>
      <c r="N513" s="10"/>
    </row>
    <row r="514" ht="13.5" customHeight="1">
      <c r="A514" s="99" t="s">
        <v>23</v>
      </c>
      <c r="B514" s="100" t="s">
        <v>126</v>
      </c>
      <c r="C514" s="53" t="s">
        <v>30</v>
      </c>
      <c r="D514" s="54"/>
      <c r="E514" s="60"/>
      <c r="F514" s="60"/>
      <c r="G514" s="60"/>
      <c r="H514" s="60"/>
      <c r="I514" s="60"/>
      <c r="J514" s="60"/>
      <c r="K514" s="61" t="s">
        <v>30</v>
      </c>
      <c r="L514" s="62">
        <f>(E514*E513)+(F514*F513)+(G514*G513)+(H514*H513)+(I514*I513)+(J514*J513)</f>
        <v>0</v>
      </c>
      <c r="M514" s="57" t="s">
        <v>119</v>
      </c>
      <c r="N514" s="63" t="b">
        <v>0</v>
      </c>
    </row>
    <row r="515" ht="15.0" customHeight="1">
      <c r="A515" s="103"/>
      <c r="B515" s="59"/>
      <c r="C515" s="53" t="s">
        <v>34</v>
      </c>
      <c r="D515" s="54"/>
      <c r="E515" s="66"/>
      <c r="F515" s="66"/>
      <c r="G515" s="66"/>
      <c r="H515" s="66"/>
      <c r="I515" s="66"/>
      <c r="J515" s="66"/>
      <c r="K515" s="67" t="s">
        <v>35</v>
      </c>
      <c r="L515" s="62">
        <f>(E515*E513)+(F515*F513)+(G515*G513)+(H515*H513)+(I515*I513)+(J515*J513)</f>
        <v>0</v>
      </c>
      <c r="M515" s="57" t="s">
        <v>121</v>
      </c>
      <c r="N515" s="63" t="b">
        <v>0</v>
      </c>
    </row>
    <row r="516" ht="13.5" customHeight="1">
      <c r="A516" s="80"/>
      <c r="B516" s="102" t="s">
        <v>33</v>
      </c>
      <c r="C516" s="70" t="s">
        <v>37</v>
      </c>
      <c r="D516" s="33"/>
      <c r="E516" s="71"/>
      <c r="F516" s="71"/>
      <c r="G516" s="71"/>
      <c r="H516" s="71"/>
      <c r="I516" s="71"/>
      <c r="J516" s="71"/>
      <c r="K516" s="72" t="s">
        <v>38</v>
      </c>
      <c r="L516" s="73">
        <f>L515-L514</f>
        <v>0</v>
      </c>
      <c r="M516" s="74" t="s">
        <v>122</v>
      </c>
      <c r="N516" s="75" t="b">
        <v>0</v>
      </c>
    </row>
    <row r="517" ht="13.5" customHeight="1">
      <c r="A517" s="99" t="s">
        <v>23</v>
      </c>
      <c r="B517" s="100" t="s">
        <v>126</v>
      </c>
      <c r="C517" s="53" t="s">
        <v>30</v>
      </c>
      <c r="D517" s="54"/>
      <c r="E517" s="60"/>
      <c r="F517" s="60"/>
      <c r="G517" s="60"/>
      <c r="H517" s="60"/>
      <c r="I517" s="60"/>
      <c r="J517" s="60"/>
      <c r="K517" s="61" t="s">
        <v>30</v>
      </c>
      <c r="L517" s="62">
        <f>(E517*E513)+(F517*F513)+(G517*G513)+(H517*H513)+(I517*I513)+(J517*J513)</f>
        <v>0</v>
      </c>
      <c r="M517" s="57" t="s">
        <v>119</v>
      </c>
      <c r="N517" s="63" t="b">
        <v>0</v>
      </c>
    </row>
    <row r="518" ht="13.5" customHeight="1">
      <c r="A518" s="103"/>
      <c r="B518" s="59"/>
      <c r="C518" s="53" t="s">
        <v>34</v>
      </c>
      <c r="D518" s="54"/>
      <c r="E518" s="66"/>
      <c r="F518" s="66"/>
      <c r="G518" s="66"/>
      <c r="H518" s="66"/>
      <c r="I518" s="66"/>
      <c r="J518" s="66"/>
      <c r="K518" s="67" t="s">
        <v>35</v>
      </c>
      <c r="L518" s="62">
        <f>(E518*E513)+(F518*F513)+(G518*G513)+(H518*H513)+(I518*I513)+(J518*J513)</f>
        <v>0</v>
      </c>
      <c r="M518" s="57" t="s">
        <v>121</v>
      </c>
      <c r="N518" s="63" t="b">
        <v>0</v>
      </c>
    </row>
    <row r="519" ht="20.25" customHeight="1">
      <c r="A519" s="80"/>
      <c r="B519" s="102" t="s">
        <v>42</v>
      </c>
      <c r="C519" s="70" t="s">
        <v>37</v>
      </c>
      <c r="D519" s="33"/>
      <c r="E519" s="71"/>
      <c r="F519" s="71"/>
      <c r="G519" s="71"/>
      <c r="H519" s="71"/>
      <c r="I519" s="71"/>
      <c r="J519" s="71"/>
      <c r="K519" s="72" t="s">
        <v>38</v>
      </c>
      <c r="L519" s="73">
        <f>L518-L517</f>
        <v>0</v>
      </c>
      <c r="M519" s="74" t="s">
        <v>122</v>
      </c>
      <c r="N519" s="75" t="b">
        <v>0</v>
      </c>
    </row>
    <row r="520" ht="13.5" customHeight="1">
      <c r="A520" s="99" t="s">
        <v>23</v>
      </c>
      <c r="B520" s="100" t="s">
        <v>126</v>
      </c>
      <c r="C520" s="53" t="s">
        <v>30</v>
      </c>
      <c r="D520" s="54"/>
      <c r="E520" s="60"/>
      <c r="F520" s="60"/>
      <c r="G520" s="60"/>
      <c r="H520" s="60"/>
      <c r="I520" s="60"/>
      <c r="J520" s="60"/>
      <c r="K520" s="61" t="s">
        <v>30</v>
      </c>
      <c r="L520" s="62">
        <f>(E520*E513)+(F520*F513)+(G520*G513)+(H520*H513)+(I520*I513)+(J520*J513)</f>
        <v>0</v>
      </c>
      <c r="M520" s="57" t="s">
        <v>119</v>
      </c>
      <c r="N520" s="63" t="b">
        <v>0</v>
      </c>
    </row>
    <row r="521" ht="13.5" customHeight="1">
      <c r="A521" s="103"/>
      <c r="B521" s="59"/>
      <c r="C521" s="53" t="s">
        <v>34</v>
      </c>
      <c r="D521" s="54"/>
      <c r="E521" s="66"/>
      <c r="F521" s="66"/>
      <c r="G521" s="66"/>
      <c r="H521" s="66"/>
      <c r="I521" s="66"/>
      <c r="J521" s="66"/>
      <c r="K521" s="67" t="s">
        <v>35</v>
      </c>
      <c r="L521" s="62">
        <f>(E521*E513)+(F521*F513)+(G521*G513)+(H521*H513)+(I521*I513)+(J521*J513)</f>
        <v>0</v>
      </c>
      <c r="M521" s="57" t="s">
        <v>121</v>
      </c>
      <c r="N521" s="63" t="b">
        <v>0</v>
      </c>
    </row>
    <row r="522" ht="13.5" customHeight="1">
      <c r="A522" s="80"/>
      <c r="B522" s="102" t="s">
        <v>47</v>
      </c>
      <c r="C522" s="70" t="s">
        <v>37</v>
      </c>
      <c r="D522" s="33"/>
      <c r="E522" s="71"/>
      <c r="F522" s="71"/>
      <c r="G522" s="71"/>
      <c r="H522" s="71"/>
      <c r="I522" s="71"/>
      <c r="J522" s="71"/>
      <c r="K522" s="72" t="s">
        <v>38</v>
      </c>
      <c r="L522" s="73">
        <f>L521-L520</f>
        <v>0</v>
      </c>
      <c r="M522" s="74" t="s">
        <v>122</v>
      </c>
      <c r="N522" s="75" t="b">
        <v>0</v>
      </c>
    </row>
    <row r="523" ht="13.5" customHeight="1">
      <c r="A523" s="99" t="s">
        <v>23</v>
      </c>
      <c r="B523" s="100" t="s">
        <v>126</v>
      </c>
      <c r="C523" s="53" t="s">
        <v>30</v>
      </c>
      <c r="D523" s="54"/>
      <c r="E523" s="60"/>
      <c r="F523" s="60"/>
      <c r="G523" s="60"/>
      <c r="H523" s="60"/>
      <c r="I523" s="60"/>
      <c r="J523" s="60"/>
      <c r="K523" s="61" t="s">
        <v>30</v>
      </c>
      <c r="L523" s="62">
        <f>(E523*E513)+(F523*F513)+(G523*G513)+(H523*H513)+(I523*I513)+(J523*J513)</f>
        <v>0</v>
      </c>
      <c r="M523" s="57" t="s">
        <v>119</v>
      </c>
      <c r="N523" s="63" t="b">
        <v>0</v>
      </c>
    </row>
    <row r="524" ht="13.5" customHeight="1">
      <c r="A524" s="103"/>
      <c r="B524" s="59"/>
      <c r="C524" s="53" t="s">
        <v>34</v>
      </c>
      <c r="D524" s="54"/>
      <c r="E524" s="66"/>
      <c r="F524" s="66"/>
      <c r="G524" s="66"/>
      <c r="H524" s="66"/>
      <c r="I524" s="66"/>
      <c r="J524" s="66"/>
      <c r="K524" s="67" t="s">
        <v>35</v>
      </c>
      <c r="L524" s="62">
        <f>(E524*E513)+(F524*F513)+(G524*G513)+(H524*H513)+(I524*I513)+(J524*J513)</f>
        <v>0</v>
      </c>
      <c r="M524" s="57" t="s">
        <v>121</v>
      </c>
      <c r="N524" s="63" t="b">
        <v>0</v>
      </c>
    </row>
    <row r="525" ht="13.5" customHeight="1">
      <c r="A525" s="80"/>
      <c r="B525" s="102" t="s">
        <v>49</v>
      </c>
      <c r="C525" s="70" t="s">
        <v>37</v>
      </c>
      <c r="D525" s="33"/>
      <c r="E525" s="71"/>
      <c r="F525" s="71"/>
      <c r="G525" s="71"/>
      <c r="H525" s="71"/>
      <c r="I525" s="71"/>
      <c r="J525" s="71"/>
      <c r="K525" s="72" t="s">
        <v>38</v>
      </c>
      <c r="L525" s="73">
        <f>L524-L523</f>
        <v>0</v>
      </c>
      <c r="M525" s="74" t="s">
        <v>122</v>
      </c>
      <c r="N525" s="75" t="b">
        <v>0</v>
      </c>
    </row>
    <row r="526" ht="13.5" customHeight="1">
      <c r="A526" s="94" t="s">
        <v>127</v>
      </c>
      <c r="B526" s="95" t="s">
        <v>20</v>
      </c>
      <c r="C526" s="96"/>
      <c r="D526" s="10"/>
      <c r="E526" s="97">
        <f t="shared" ref="E526:J526" si="131">E6</f>
        <v>17</v>
      </c>
      <c r="F526" s="97">
        <f t="shared" si="131"/>
        <v>27</v>
      </c>
      <c r="G526" s="97">
        <f t="shared" si="131"/>
        <v>27</v>
      </c>
      <c r="H526" s="97">
        <f t="shared" si="131"/>
        <v>27</v>
      </c>
      <c r="I526" s="97">
        <f t="shared" si="131"/>
        <v>32</v>
      </c>
      <c r="J526" s="97">
        <f t="shared" si="131"/>
        <v>37</v>
      </c>
      <c r="K526" s="95" t="s">
        <v>21</v>
      </c>
      <c r="L526" s="10"/>
      <c r="M526" s="98" t="s">
        <v>118</v>
      </c>
      <c r="N526" s="10"/>
    </row>
    <row r="527" ht="13.5" customHeight="1">
      <c r="A527" s="99" t="s">
        <v>23</v>
      </c>
      <c r="B527" s="100" t="s">
        <v>127</v>
      </c>
      <c r="C527" s="53" t="s">
        <v>30</v>
      </c>
      <c r="D527" s="54"/>
      <c r="E527" s="60"/>
      <c r="F527" s="60"/>
      <c r="G527" s="60"/>
      <c r="H527" s="60"/>
      <c r="I527" s="60"/>
      <c r="J527" s="60"/>
      <c r="K527" s="61" t="s">
        <v>30</v>
      </c>
      <c r="L527" s="62">
        <f>(E527*E526)+(F527*F526)+(G527*G526)+(H527*H526)+(I527*I526)+(J527*J526)</f>
        <v>0</v>
      </c>
      <c r="M527" s="57" t="s">
        <v>119</v>
      </c>
      <c r="N527" s="63" t="b">
        <v>0</v>
      </c>
    </row>
    <row r="528" ht="13.5" customHeight="1">
      <c r="A528" s="103"/>
      <c r="B528" s="59"/>
      <c r="C528" s="53" t="s">
        <v>34</v>
      </c>
      <c r="D528" s="54"/>
      <c r="E528" s="66"/>
      <c r="F528" s="66"/>
      <c r="G528" s="66"/>
      <c r="H528" s="66"/>
      <c r="I528" s="66"/>
      <c r="J528" s="66"/>
      <c r="K528" s="67" t="s">
        <v>35</v>
      </c>
      <c r="L528" s="62">
        <f>(E528*E526)+(F528*F526)+(G528*G526)+(H528*H526)+(I528*I526)+(J528*J526)</f>
        <v>0</v>
      </c>
      <c r="M528" s="57" t="s">
        <v>121</v>
      </c>
      <c r="N528" s="63" t="b">
        <v>0</v>
      </c>
    </row>
    <row r="529" ht="13.5" customHeight="1">
      <c r="A529" s="80"/>
      <c r="B529" s="102" t="s">
        <v>33</v>
      </c>
      <c r="C529" s="70" t="s">
        <v>37</v>
      </c>
      <c r="D529" s="33"/>
      <c r="E529" s="71"/>
      <c r="F529" s="71"/>
      <c r="G529" s="71"/>
      <c r="H529" s="71"/>
      <c r="I529" s="71"/>
      <c r="J529" s="71"/>
      <c r="K529" s="72" t="s">
        <v>38</v>
      </c>
      <c r="L529" s="73">
        <f>L528-L527</f>
        <v>0</v>
      </c>
      <c r="M529" s="74" t="s">
        <v>122</v>
      </c>
      <c r="N529" s="75" t="b">
        <v>0</v>
      </c>
    </row>
    <row r="530" ht="13.5" customHeight="1">
      <c r="A530" s="99" t="s">
        <v>23</v>
      </c>
      <c r="B530" s="100" t="s">
        <v>127</v>
      </c>
      <c r="C530" s="53" t="s">
        <v>30</v>
      </c>
      <c r="D530" s="54"/>
      <c r="E530" s="60"/>
      <c r="F530" s="60"/>
      <c r="G530" s="60"/>
      <c r="H530" s="60"/>
      <c r="I530" s="60"/>
      <c r="J530" s="60"/>
      <c r="K530" s="61" t="s">
        <v>30</v>
      </c>
      <c r="L530" s="62">
        <f>(E530*E526)+(F530*F526)+(G530*G526)+(H530*H526)+(I530*I526)+(J530*J526)</f>
        <v>0</v>
      </c>
      <c r="M530" s="57" t="s">
        <v>119</v>
      </c>
      <c r="N530" s="63" t="b">
        <v>0</v>
      </c>
    </row>
    <row r="531" ht="19.5" customHeight="1">
      <c r="A531" s="103"/>
      <c r="B531" s="59"/>
      <c r="C531" s="53" t="s">
        <v>34</v>
      </c>
      <c r="D531" s="54"/>
      <c r="E531" s="66"/>
      <c r="F531" s="66"/>
      <c r="G531" s="66"/>
      <c r="H531" s="66"/>
      <c r="I531" s="66"/>
      <c r="J531" s="66"/>
      <c r="K531" s="67" t="s">
        <v>35</v>
      </c>
      <c r="L531" s="62">
        <f>(E531*E526)+(F531*F526)+(G531*G526)+(H531*H526)+(I531*I526)+(J531*J526)</f>
        <v>0</v>
      </c>
      <c r="M531" s="57" t="s">
        <v>121</v>
      </c>
      <c r="N531" s="63" t="b">
        <v>0</v>
      </c>
    </row>
    <row r="532" ht="13.5" customHeight="1">
      <c r="A532" s="80"/>
      <c r="B532" s="102" t="s">
        <v>42</v>
      </c>
      <c r="C532" s="70" t="s">
        <v>37</v>
      </c>
      <c r="D532" s="33"/>
      <c r="E532" s="71"/>
      <c r="F532" s="71"/>
      <c r="G532" s="71"/>
      <c r="H532" s="71"/>
      <c r="I532" s="71"/>
      <c r="J532" s="71"/>
      <c r="K532" s="72" t="s">
        <v>38</v>
      </c>
      <c r="L532" s="73">
        <f>L531-L530</f>
        <v>0</v>
      </c>
      <c r="M532" s="74" t="s">
        <v>122</v>
      </c>
      <c r="N532" s="75" t="b">
        <v>0</v>
      </c>
    </row>
    <row r="533" ht="13.5" customHeight="1">
      <c r="A533" s="99" t="s">
        <v>23</v>
      </c>
      <c r="B533" s="100" t="s">
        <v>127</v>
      </c>
      <c r="C533" s="53" t="s">
        <v>30</v>
      </c>
      <c r="D533" s="54"/>
      <c r="E533" s="60"/>
      <c r="F533" s="60"/>
      <c r="G533" s="60"/>
      <c r="H533" s="60"/>
      <c r="I533" s="60"/>
      <c r="J533" s="60"/>
      <c r="K533" s="61" t="s">
        <v>30</v>
      </c>
      <c r="L533" s="62">
        <f>(E533*E526)+(F533*F526)+(G533*G526)+(H533*H526)+(I533*I526)+(J533*J526)</f>
        <v>0</v>
      </c>
      <c r="M533" s="57" t="s">
        <v>119</v>
      </c>
      <c r="N533" s="63" t="b">
        <v>0</v>
      </c>
    </row>
    <row r="534" ht="13.5" customHeight="1">
      <c r="A534" s="103"/>
      <c r="B534" s="59"/>
      <c r="C534" s="53" t="s">
        <v>34</v>
      </c>
      <c r="D534" s="54"/>
      <c r="E534" s="66"/>
      <c r="F534" s="66"/>
      <c r="G534" s="66"/>
      <c r="H534" s="66"/>
      <c r="I534" s="66"/>
      <c r="J534" s="66"/>
      <c r="K534" s="67" t="s">
        <v>35</v>
      </c>
      <c r="L534" s="62">
        <f>(E534*E526)+(F534*F526)+(G534*G526)+(H534*H526)+(I534*I526)+(J534*J526)</f>
        <v>0</v>
      </c>
      <c r="M534" s="57" t="s">
        <v>121</v>
      </c>
      <c r="N534" s="63" t="b">
        <v>0</v>
      </c>
    </row>
    <row r="535" ht="15.0" customHeight="1">
      <c r="A535" s="80"/>
      <c r="B535" s="102" t="s">
        <v>47</v>
      </c>
      <c r="C535" s="70" t="s">
        <v>37</v>
      </c>
      <c r="D535" s="33"/>
      <c r="E535" s="71"/>
      <c r="F535" s="71"/>
      <c r="G535" s="71"/>
      <c r="H535" s="71"/>
      <c r="I535" s="71"/>
      <c r="J535" s="71"/>
      <c r="K535" s="72" t="s">
        <v>38</v>
      </c>
      <c r="L535" s="73">
        <f>L534-L533</f>
        <v>0</v>
      </c>
      <c r="M535" s="74" t="s">
        <v>122</v>
      </c>
      <c r="N535" s="75" t="b">
        <v>0</v>
      </c>
    </row>
    <row r="536" ht="13.5" customHeight="1">
      <c r="A536" s="99" t="s">
        <v>23</v>
      </c>
      <c r="B536" s="100" t="s">
        <v>127</v>
      </c>
      <c r="C536" s="53" t="s">
        <v>30</v>
      </c>
      <c r="D536" s="54"/>
      <c r="E536" s="60"/>
      <c r="F536" s="60"/>
      <c r="G536" s="60"/>
      <c r="H536" s="60"/>
      <c r="I536" s="60"/>
      <c r="J536" s="60"/>
      <c r="K536" s="61" t="s">
        <v>30</v>
      </c>
      <c r="L536" s="62">
        <f>(E536*E526)+(F536*F526)+(G536*G526)+(H536*H526)+(I536*I526)+(J536*J526)</f>
        <v>0</v>
      </c>
      <c r="M536" s="57" t="s">
        <v>119</v>
      </c>
      <c r="N536" s="63" t="b">
        <v>0</v>
      </c>
    </row>
    <row r="537" ht="13.5" customHeight="1">
      <c r="A537" s="103"/>
      <c r="B537" s="59"/>
      <c r="C537" s="53" t="s">
        <v>34</v>
      </c>
      <c r="D537" s="54"/>
      <c r="E537" s="66"/>
      <c r="F537" s="66"/>
      <c r="G537" s="66"/>
      <c r="H537" s="66"/>
      <c r="I537" s="66"/>
      <c r="J537" s="66"/>
      <c r="K537" s="67" t="s">
        <v>35</v>
      </c>
      <c r="L537" s="62">
        <f>(E537*E526)+(F537*F526)+(G537*G526)+(H537*H526)+(I537*I526)+(J537*J526)</f>
        <v>0</v>
      </c>
      <c r="M537" s="57" t="s">
        <v>121</v>
      </c>
      <c r="N537" s="63" t="b">
        <v>0</v>
      </c>
    </row>
    <row r="538" ht="13.5" customHeight="1">
      <c r="A538" s="80"/>
      <c r="B538" s="102" t="s">
        <v>49</v>
      </c>
      <c r="C538" s="70" t="s">
        <v>37</v>
      </c>
      <c r="D538" s="33"/>
      <c r="E538" s="71"/>
      <c r="F538" s="71"/>
      <c r="G538" s="71"/>
      <c r="H538" s="71"/>
      <c r="I538" s="71"/>
      <c r="J538" s="71"/>
      <c r="K538" s="72" t="s">
        <v>38</v>
      </c>
      <c r="L538" s="73">
        <f>L537-L536</f>
        <v>0</v>
      </c>
      <c r="M538" s="74" t="s">
        <v>122</v>
      </c>
      <c r="N538" s="75" t="b">
        <v>0</v>
      </c>
    </row>
    <row r="539" ht="18.75" customHeight="1">
      <c r="A539" s="94" t="s">
        <v>128</v>
      </c>
      <c r="B539" s="95" t="s">
        <v>20</v>
      </c>
      <c r="C539" s="96"/>
      <c r="D539" s="10"/>
      <c r="E539" s="97">
        <f t="shared" ref="E539:J539" si="132">E6</f>
        <v>17</v>
      </c>
      <c r="F539" s="97">
        <f t="shared" si="132"/>
        <v>27</v>
      </c>
      <c r="G539" s="97">
        <f t="shared" si="132"/>
        <v>27</v>
      </c>
      <c r="H539" s="97">
        <f t="shared" si="132"/>
        <v>27</v>
      </c>
      <c r="I539" s="97">
        <f t="shared" si="132"/>
        <v>32</v>
      </c>
      <c r="J539" s="97">
        <f t="shared" si="132"/>
        <v>37</v>
      </c>
      <c r="K539" s="95" t="s">
        <v>21</v>
      </c>
      <c r="L539" s="10"/>
      <c r="M539" s="98" t="s">
        <v>118</v>
      </c>
      <c r="N539" s="10"/>
    </row>
    <row r="540" ht="13.5" customHeight="1">
      <c r="A540" s="99" t="s">
        <v>23</v>
      </c>
      <c r="B540" s="100" t="s">
        <v>128</v>
      </c>
      <c r="C540" s="53" t="s">
        <v>30</v>
      </c>
      <c r="D540" s="54"/>
      <c r="E540" s="60"/>
      <c r="F540" s="60"/>
      <c r="G540" s="60"/>
      <c r="H540" s="60"/>
      <c r="I540" s="60"/>
      <c r="J540" s="60"/>
      <c r="K540" s="61" t="s">
        <v>30</v>
      </c>
      <c r="L540" s="62">
        <f>(E540*E539)+(F540*F539)+(G540*G539)+(H540*H539)+(I540*I539)+(J540*J539)</f>
        <v>0</v>
      </c>
      <c r="M540" s="57" t="s">
        <v>119</v>
      </c>
      <c r="N540" s="63" t="b">
        <v>0</v>
      </c>
    </row>
    <row r="541" ht="13.5" customHeight="1">
      <c r="A541" s="103"/>
      <c r="B541" s="59"/>
      <c r="C541" s="53" t="s">
        <v>34</v>
      </c>
      <c r="D541" s="54"/>
      <c r="E541" s="66"/>
      <c r="F541" s="66"/>
      <c r="G541" s="66"/>
      <c r="H541" s="66"/>
      <c r="I541" s="66"/>
      <c r="J541" s="66"/>
      <c r="K541" s="67" t="s">
        <v>35</v>
      </c>
      <c r="L541" s="62">
        <f>(E541*E539)+(F541*F539)+(G541*G539)+(H541*H539)+(I541*I539)+(J541*J539)</f>
        <v>0</v>
      </c>
      <c r="M541" s="57" t="s">
        <v>121</v>
      </c>
      <c r="N541" s="63" t="b">
        <v>0</v>
      </c>
    </row>
    <row r="542" ht="20.25" customHeight="1">
      <c r="A542" s="80"/>
      <c r="B542" s="102" t="s">
        <v>33</v>
      </c>
      <c r="C542" s="70" t="s">
        <v>37</v>
      </c>
      <c r="D542" s="33"/>
      <c r="E542" s="71"/>
      <c r="F542" s="71"/>
      <c r="G542" s="71"/>
      <c r="H542" s="71"/>
      <c r="I542" s="71"/>
      <c r="J542" s="71"/>
      <c r="K542" s="72" t="s">
        <v>38</v>
      </c>
      <c r="L542" s="73">
        <f>L541-L540</f>
        <v>0</v>
      </c>
      <c r="M542" s="74" t="s">
        <v>122</v>
      </c>
      <c r="N542" s="75" t="b">
        <v>0</v>
      </c>
    </row>
    <row r="543" ht="13.5" customHeight="1">
      <c r="A543" s="99" t="s">
        <v>23</v>
      </c>
      <c r="B543" s="100" t="s">
        <v>128</v>
      </c>
      <c r="C543" s="53" t="s">
        <v>30</v>
      </c>
      <c r="D543" s="54"/>
      <c r="E543" s="60"/>
      <c r="F543" s="60"/>
      <c r="G543" s="60"/>
      <c r="H543" s="60"/>
      <c r="I543" s="60"/>
      <c r="J543" s="60"/>
      <c r="K543" s="61" t="s">
        <v>30</v>
      </c>
      <c r="L543" s="62">
        <f>(E543*E539)+(F543*F539)+(G543*G539)+(H543*H539)+(I543*I539)+(J543*J539)</f>
        <v>0</v>
      </c>
      <c r="M543" s="57" t="s">
        <v>119</v>
      </c>
      <c r="N543" s="63" t="b">
        <v>0</v>
      </c>
    </row>
    <row r="544" ht="13.5" customHeight="1">
      <c r="A544" s="103"/>
      <c r="B544" s="59"/>
      <c r="C544" s="53" t="s">
        <v>34</v>
      </c>
      <c r="D544" s="54"/>
      <c r="E544" s="66"/>
      <c r="F544" s="66"/>
      <c r="G544" s="66"/>
      <c r="H544" s="66"/>
      <c r="I544" s="66"/>
      <c r="J544" s="66"/>
      <c r="K544" s="67" t="s">
        <v>35</v>
      </c>
      <c r="L544" s="62">
        <f>(E544*E539)+(F544*F539)+(G544*G539)+(H544*H539)+(I544*I539)+(J544*J539)</f>
        <v>0</v>
      </c>
      <c r="M544" s="57" t="s">
        <v>121</v>
      </c>
      <c r="N544" s="63" t="b">
        <v>0</v>
      </c>
    </row>
    <row r="545" ht="13.5" customHeight="1">
      <c r="A545" s="80"/>
      <c r="B545" s="102" t="s">
        <v>42</v>
      </c>
      <c r="C545" s="70" t="s">
        <v>37</v>
      </c>
      <c r="D545" s="33"/>
      <c r="E545" s="71"/>
      <c r="F545" s="71"/>
      <c r="G545" s="71"/>
      <c r="H545" s="71"/>
      <c r="I545" s="71"/>
      <c r="J545" s="71"/>
      <c r="K545" s="72" t="s">
        <v>38</v>
      </c>
      <c r="L545" s="73">
        <f>L544-L543</f>
        <v>0</v>
      </c>
      <c r="M545" s="74" t="s">
        <v>122</v>
      </c>
      <c r="N545" s="75" t="b">
        <v>0</v>
      </c>
    </row>
    <row r="546" ht="13.5" customHeight="1">
      <c r="A546" s="99" t="s">
        <v>23</v>
      </c>
      <c r="B546" s="100" t="s">
        <v>128</v>
      </c>
      <c r="C546" s="53" t="s">
        <v>30</v>
      </c>
      <c r="D546" s="54"/>
      <c r="E546" s="60"/>
      <c r="F546" s="60"/>
      <c r="G546" s="60"/>
      <c r="H546" s="60"/>
      <c r="I546" s="60"/>
      <c r="J546" s="60"/>
      <c r="K546" s="61" t="s">
        <v>30</v>
      </c>
      <c r="L546" s="62">
        <f>(E546*E539)+(F546*F539)+(G546*G539)+(H546*H539)+(I546*I539)+(J546*J539)</f>
        <v>0</v>
      </c>
      <c r="M546" s="57" t="s">
        <v>119</v>
      </c>
      <c r="N546" s="63" t="b">
        <v>0</v>
      </c>
    </row>
    <row r="547" ht="15.0" customHeight="1">
      <c r="A547" s="103"/>
      <c r="B547" s="59"/>
      <c r="C547" s="53" t="s">
        <v>34</v>
      </c>
      <c r="D547" s="54"/>
      <c r="E547" s="66"/>
      <c r="F547" s="66"/>
      <c r="G547" s="66"/>
      <c r="H547" s="66"/>
      <c r="I547" s="66"/>
      <c r="J547" s="66"/>
      <c r="K547" s="67" t="s">
        <v>35</v>
      </c>
      <c r="L547" s="62">
        <f>(E547*E539)+(F547*F539)+(G547*G539)+(H547*H539)+(I547*I539)+(J547*J539)</f>
        <v>0</v>
      </c>
      <c r="M547" s="57" t="s">
        <v>121</v>
      </c>
      <c r="N547" s="63" t="b">
        <v>0</v>
      </c>
    </row>
    <row r="548" ht="13.5" customHeight="1">
      <c r="A548" s="80"/>
      <c r="B548" s="102" t="s">
        <v>47</v>
      </c>
      <c r="C548" s="70" t="s">
        <v>37</v>
      </c>
      <c r="D548" s="33"/>
      <c r="E548" s="71"/>
      <c r="F548" s="71"/>
      <c r="G548" s="71"/>
      <c r="H548" s="71"/>
      <c r="I548" s="71"/>
      <c r="J548" s="71"/>
      <c r="K548" s="72" t="s">
        <v>38</v>
      </c>
      <c r="L548" s="73">
        <f>L547-L546</f>
        <v>0</v>
      </c>
      <c r="M548" s="74" t="s">
        <v>122</v>
      </c>
      <c r="N548" s="75" t="b">
        <v>0</v>
      </c>
    </row>
    <row r="549" ht="13.5" customHeight="1">
      <c r="A549" s="99" t="s">
        <v>23</v>
      </c>
      <c r="B549" s="100" t="s">
        <v>128</v>
      </c>
      <c r="C549" s="53" t="s">
        <v>30</v>
      </c>
      <c r="D549" s="54"/>
      <c r="E549" s="60"/>
      <c r="F549" s="60"/>
      <c r="G549" s="60"/>
      <c r="H549" s="60"/>
      <c r="I549" s="60"/>
      <c r="J549" s="60"/>
      <c r="K549" s="61" t="s">
        <v>30</v>
      </c>
      <c r="L549" s="62">
        <f>(E549*E539)+(F549*F539)+(G549*G539)+(H549*H539)+(I549*I539)+(J549*J539)</f>
        <v>0</v>
      </c>
      <c r="M549" s="57" t="s">
        <v>119</v>
      </c>
      <c r="N549" s="63" t="b">
        <v>0</v>
      </c>
    </row>
    <row r="550" ht="13.5" customHeight="1">
      <c r="A550" s="103"/>
      <c r="B550" s="59"/>
      <c r="C550" s="53" t="s">
        <v>34</v>
      </c>
      <c r="D550" s="54"/>
      <c r="E550" s="66"/>
      <c r="F550" s="66"/>
      <c r="G550" s="66"/>
      <c r="H550" s="66"/>
      <c r="I550" s="66"/>
      <c r="J550" s="66"/>
      <c r="K550" s="67" t="s">
        <v>35</v>
      </c>
      <c r="L550" s="62">
        <f>(E550*E539)+(F550*F539)+(G550*G539)+(H550*H539)+(I550*I539)+(J550*J539)</f>
        <v>0</v>
      </c>
      <c r="M550" s="57" t="s">
        <v>121</v>
      </c>
      <c r="N550" s="63" t="b">
        <v>0</v>
      </c>
    </row>
    <row r="551" ht="18.0" customHeight="1">
      <c r="A551" s="80"/>
      <c r="B551" s="102" t="s">
        <v>49</v>
      </c>
      <c r="C551" s="70" t="s">
        <v>37</v>
      </c>
      <c r="D551" s="33"/>
      <c r="E551" s="71"/>
      <c r="F551" s="71"/>
      <c r="G551" s="71"/>
      <c r="H551" s="71"/>
      <c r="I551" s="71"/>
      <c r="J551" s="71"/>
      <c r="K551" s="72" t="s">
        <v>38</v>
      </c>
      <c r="L551" s="73">
        <f>L550-L549</f>
        <v>0</v>
      </c>
      <c r="M551" s="74" t="s">
        <v>122</v>
      </c>
      <c r="N551" s="75" t="b">
        <v>0</v>
      </c>
    </row>
    <row r="552" ht="13.5" customHeight="1">
      <c r="A552" s="94" t="s">
        <v>129</v>
      </c>
      <c r="B552" s="95" t="s">
        <v>20</v>
      </c>
      <c r="C552" s="96"/>
      <c r="D552" s="10"/>
      <c r="E552" s="97">
        <f t="shared" ref="E552:J552" si="133">E6</f>
        <v>17</v>
      </c>
      <c r="F552" s="97">
        <f t="shared" si="133"/>
        <v>27</v>
      </c>
      <c r="G552" s="97">
        <f t="shared" si="133"/>
        <v>27</v>
      </c>
      <c r="H552" s="97">
        <f t="shared" si="133"/>
        <v>27</v>
      </c>
      <c r="I552" s="97">
        <f t="shared" si="133"/>
        <v>32</v>
      </c>
      <c r="J552" s="97">
        <f t="shared" si="133"/>
        <v>37</v>
      </c>
      <c r="K552" s="95" t="s">
        <v>21</v>
      </c>
      <c r="L552" s="10"/>
      <c r="M552" s="98" t="s">
        <v>118</v>
      </c>
      <c r="N552" s="10"/>
    </row>
    <row r="553" ht="13.5" customHeight="1">
      <c r="A553" s="99" t="s">
        <v>23</v>
      </c>
      <c r="B553" s="100" t="s">
        <v>129</v>
      </c>
      <c r="C553" s="53" t="s">
        <v>30</v>
      </c>
      <c r="D553" s="54"/>
      <c r="E553" s="60"/>
      <c r="F553" s="60"/>
      <c r="G553" s="60"/>
      <c r="H553" s="60"/>
      <c r="I553" s="60"/>
      <c r="J553" s="60"/>
      <c r="K553" s="61" t="s">
        <v>30</v>
      </c>
      <c r="L553" s="62">
        <f>(E553*E552)+(F553*F552)+(G553*G552)+(H553*H552)+(I553*I552)+(J553*J552)</f>
        <v>0</v>
      </c>
      <c r="M553" s="57" t="s">
        <v>119</v>
      </c>
      <c r="N553" s="63" t="b">
        <v>0</v>
      </c>
    </row>
    <row r="554" ht="18.0" customHeight="1">
      <c r="A554" s="103"/>
      <c r="B554" s="59"/>
      <c r="C554" s="53" t="s">
        <v>34</v>
      </c>
      <c r="D554" s="54"/>
      <c r="E554" s="66"/>
      <c r="F554" s="66"/>
      <c r="G554" s="66"/>
      <c r="H554" s="66"/>
      <c r="I554" s="66"/>
      <c r="J554" s="66"/>
      <c r="K554" s="67" t="s">
        <v>35</v>
      </c>
      <c r="L554" s="62">
        <f>(E554*E552)+(F554*F552)+(G554*G552)+(H554*H552)+(I554*I552)+(J554*J552)</f>
        <v>0</v>
      </c>
      <c r="M554" s="57" t="s">
        <v>121</v>
      </c>
      <c r="N554" s="63" t="b">
        <v>0</v>
      </c>
    </row>
    <row r="555" ht="13.5" customHeight="1">
      <c r="A555" s="80"/>
      <c r="B555" s="102" t="s">
        <v>33</v>
      </c>
      <c r="C555" s="70" t="s">
        <v>37</v>
      </c>
      <c r="D555" s="33"/>
      <c r="E555" s="71"/>
      <c r="F555" s="71"/>
      <c r="G555" s="71"/>
      <c r="H555" s="71"/>
      <c r="I555" s="71"/>
      <c r="J555" s="71"/>
      <c r="K555" s="72" t="s">
        <v>38</v>
      </c>
      <c r="L555" s="73">
        <f>L554-L553</f>
        <v>0</v>
      </c>
      <c r="M555" s="74" t="s">
        <v>122</v>
      </c>
      <c r="N555" s="75" t="b">
        <v>0</v>
      </c>
    </row>
    <row r="556" ht="13.5" customHeight="1">
      <c r="A556" s="99" t="s">
        <v>23</v>
      </c>
      <c r="B556" s="100" t="s">
        <v>129</v>
      </c>
      <c r="C556" s="53" t="s">
        <v>30</v>
      </c>
      <c r="D556" s="54"/>
      <c r="E556" s="60"/>
      <c r="F556" s="60"/>
      <c r="G556" s="60"/>
      <c r="H556" s="60"/>
      <c r="I556" s="60"/>
      <c r="J556" s="60"/>
      <c r="K556" s="61" t="s">
        <v>30</v>
      </c>
      <c r="L556" s="62">
        <f>(E556*E552)+(F556*F552)+(G556*G552)+(H556*H552)+(I556*I552)+(J556*J552)</f>
        <v>0</v>
      </c>
      <c r="M556" s="57" t="s">
        <v>119</v>
      </c>
      <c r="N556" s="63" t="b">
        <v>0</v>
      </c>
    </row>
    <row r="557" ht="13.5" customHeight="1">
      <c r="A557" s="103"/>
      <c r="B557" s="59"/>
      <c r="C557" s="53" t="s">
        <v>34</v>
      </c>
      <c r="D557" s="54"/>
      <c r="E557" s="66"/>
      <c r="F557" s="66"/>
      <c r="G557" s="66"/>
      <c r="H557" s="66"/>
      <c r="I557" s="66"/>
      <c r="J557" s="66"/>
      <c r="K557" s="67" t="s">
        <v>35</v>
      </c>
      <c r="L557" s="62">
        <f>(E557*E552)+(F557*F552)+(G557*G552)+(H557*H552)+(I557*I552)+(J557*J552)</f>
        <v>0</v>
      </c>
      <c r="M557" s="57" t="s">
        <v>121</v>
      </c>
      <c r="N557" s="63" t="b">
        <v>0</v>
      </c>
    </row>
    <row r="558" ht="18.75" customHeight="1">
      <c r="A558" s="80"/>
      <c r="B558" s="102" t="s">
        <v>42</v>
      </c>
      <c r="C558" s="70" t="s">
        <v>37</v>
      </c>
      <c r="D558" s="33"/>
      <c r="E558" s="71"/>
      <c r="F558" s="71"/>
      <c r="G558" s="71"/>
      <c r="H558" s="71"/>
      <c r="I558" s="71"/>
      <c r="J558" s="71"/>
      <c r="K558" s="72" t="s">
        <v>38</v>
      </c>
      <c r="L558" s="73">
        <f>L557-L556</f>
        <v>0</v>
      </c>
      <c r="M558" s="74" t="s">
        <v>122</v>
      </c>
      <c r="N558" s="75" t="b">
        <v>0</v>
      </c>
    </row>
    <row r="559" ht="13.5" customHeight="1">
      <c r="A559" s="99" t="s">
        <v>23</v>
      </c>
      <c r="B559" s="100" t="s">
        <v>129</v>
      </c>
      <c r="C559" s="53" t="s">
        <v>30</v>
      </c>
      <c r="D559" s="54"/>
      <c r="E559" s="60"/>
      <c r="F559" s="60"/>
      <c r="G559" s="60"/>
      <c r="H559" s="60"/>
      <c r="I559" s="60"/>
      <c r="J559" s="60"/>
      <c r="K559" s="61" t="s">
        <v>30</v>
      </c>
      <c r="L559" s="62">
        <f>(E559*E552)+(F559*F552)+(G559*G552)+(H559*H552)+(I559*I552)+(J559*J552)</f>
        <v>0</v>
      </c>
      <c r="M559" s="57" t="s">
        <v>119</v>
      </c>
      <c r="N559" s="63" t="b">
        <v>0</v>
      </c>
    </row>
    <row r="560" ht="13.5" customHeight="1">
      <c r="A560" s="103"/>
      <c r="B560" s="59"/>
      <c r="C560" s="53" t="s">
        <v>34</v>
      </c>
      <c r="D560" s="54"/>
      <c r="E560" s="66"/>
      <c r="F560" s="66"/>
      <c r="G560" s="66"/>
      <c r="H560" s="66"/>
      <c r="I560" s="66"/>
      <c r="J560" s="66"/>
      <c r="K560" s="67" t="s">
        <v>35</v>
      </c>
      <c r="L560" s="62">
        <f>(E560*E552)+(F560*F552)+(G560*G552)+(H560*H552)+(I560*I552)+(J560*J552)</f>
        <v>0</v>
      </c>
      <c r="M560" s="57" t="s">
        <v>121</v>
      </c>
      <c r="N560" s="63" t="b">
        <v>0</v>
      </c>
    </row>
    <row r="561" ht="13.5" customHeight="1">
      <c r="A561" s="80"/>
      <c r="B561" s="102" t="s">
        <v>47</v>
      </c>
      <c r="C561" s="70" t="s">
        <v>37</v>
      </c>
      <c r="D561" s="33"/>
      <c r="E561" s="71"/>
      <c r="F561" s="71"/>
      <c r="G561" s="71"/>
      <c r="H561" s="71"/>
      <c r="I561" s="71"/>
      <c r="J561" s="71"/>
      <c r="K561" s="72" t="s">
        <v>38</v>
      </c>
      <c r="L561" s="73">
        <f>L560-L559</f>
        <v>0</v>
      </c>
      <c r="M561" s="74" t="s">
        <v>122</v>
      </c>
      <c r="N561" s="75" t="b">
        <v>0</v>
      </c>
    </row>
    <row r="562" ht="13.5" customHeight="1">
      <c r="A562" s="99" t="s">
        <v>23</v>
      </c>
      <c r="B562" s="100" t="s">
        <v>129</v>
      </c>
      <c r="C562" s="53" t="s">
        <v>30</v>
      </c>
      <c r="D562" s="54"/>
      <c r="E562" s="60"/>
      <c r="F562" s="60"/>
      <c r="G562" s="60"/>
      <c r="H562" s="60"/>
      <c r="I562" s="60"/>
      <c r="J562" s="60"/>
      <c r="K562" s="61" t="s">
        <v>30</v>
      </c>
      <c r="L562" s="62">
        <f>(E562*E552)+(F562*F552)+(G562*G552)+(H562*H552)+(I562*I552)+(J562*J552)</f>
        <v>0</v>
      </c>
      <c r="M562" s="57" t="s">
        <v>119</v>
      </c>
      <c r="N562" s="63" t="b">
        <v>0</v>
      </c>
    </row>
    <row r="563" ht="15.0" customHeight="1">
      <c r="A563" s="103"/>
      <c r="B563" s="59"/>
      <c r="C563" s="53" t="s">
        <v>34</v>
      </c>
      <c r="D563" s="54"/>
      <c r="E563" s="66"/>
      <c r="F563" s="66"/>
      <c r="G563" s="66"/>
      <c r="H563" s="66"/>
      <c r="I563" s="66"/>
      <c r="J563" s="66"/>
      <c r="K563" s="67" t="s">
        <v>35</v>
      </c>
      <c r="L563" s="62">
        <f>(E563*E552)+(F563*F552)+(G563*G552)+(H563*H552)+(I563*I552)+(J563*J552)</f>
        <v>0</v>
      </c>
      <c r="M563" s="57" t="s">
        <v>121</v>
      </c>
      <c r="N563" s="63" t="b">
        <v>0</v>
      </c>
    </row>
    <row r="564" ht="13.5" customHeight="1">
      <c r="A564" s="80"/>
      <c r="B564" s="102" t="s">
        <v>49</v>
      </c>
      <c r="C564" s="70" t="s">
        <v>37</v>
      </c>
      <c r="D564" s="33"/>
      <c r="E564" s="71"/>
      <c r="F564" s="71"/>
      <c r="G564" s="71"/>
      <c r="H564" s="71"/>
      <c r="I564" s="71"/>
      <c r="J564" s="71"/>
      <c r="K564" s="72" t="s">
        <v>38</v>
      </c>
      <c r="L564" s="73">
        <f>L563-L562</f>
        <v>0</v>
      </c>
      <c r="M564" s="74" t="s">
        <v>122</v>
      </c>
      <c r="N564" s="75" t="b">
        <v>0</v>
      </c>
    </row>
    <row r="565" ht="13.5" customHeight="1">
      <c r="A565" s="94" t="s">
        <v>130</v>
      </c>
      <c r="B565" s="95" t="s">
        <v>20</v>
      </c>
      <c r="C565" s="96"/>
      <c r="D565" s="10"/>
      <c r="E565" s="97">
        <f t="shared" ref="E565:J565" si="134">E6</f>
        <v>17</v>
      </c>
      <c r="F565" s="97">
        <f t="shared" si="134"/>
        <v>27</v>
      </c>
      <c r="G565" s="97">
        <f t="shared" si="134"/>
        <v>27</v>
      </c>
      <c r="H565" s="97">
        <f t="shared" si="134"/>
        <v>27</v>
      </c>
      <c r="I565" s="97">
        <f t="shared" si="134"/>
        <v>32</v>
      </c>
      <c r="J565" s="97">
        <f t="shared" si="134"/>
        <v>37</v>
      </c>
      <c r="K565" s="95" t="s">
        <v>21</v>
      </c>
      <c r="L565" s="10"/>
      <c r="M565" s="98" t="s">
        <v>118</v>
      </c>
      <c r="N565" s="10"/>
    </row>
    <row r="566" ht="20.25" customHeight="1">
      <c r="A566" s="99" t="s">
        <v>23</v>
      </c>
      <c r="B566" s="100" t="s">
        <v>130</v>
      </c>
      <c r="C566" s="53" t="s">
        <v>30</v>
      </c>
      <c r="D566" s="54"/>
      <c r="E566" s="60"/>
      <c r="F566" s="60"/>
      <c r="G566" s="60"/>
      <c r="H566" s="60"/>
      <c r="I566" s="60"/>
      <c r="J566" s="60"/>
      <c r="K566" s="61" t="s">
        <v>30</v>
      </c>
      <c r="L566" s="62">
        <f>(E566*E565)+(F566*F565)+(G566*G565)+(H566*H565)+(I566*I565)+(J566*J565)</f>
        <v>0</v>
      </c>
      <c r="M566" s="57" t="s">
        <v>119</v>
      </c>
      <c r="N566" s="63" t="b">
        <v>0</v>
      </c>
    </row>
    <row r="567" ht="13.5" customHeight="1">
      <c r="A567" s="103"/>
      <c r="B567" s="59"/>
      <c r="C567" s="53" t="s">
        <v>34</v>
      </c>
      <c r="D567" s="54"/>
      <c r="E567" s="66"/>
      <c r="F567" s="66"/>
      <c r="G567" s="66"/>
      <c r="H567" s="66"/>
      <c r="I567" s="66"/>
      <c r="J567" s="66"/>
      <c r="K567" s="67" t="s">
        <v>35</v>
      </c>
      <c r="L567" s="62">
        <f>(E567*E565)+(F567*F565)+(G567*G565)+(H567*H565)+(I567*I565)+(J567*J565)</f>
        <v>0</v>
      </c>
      <c r="M567" s="57" t="s">
        <v>121</v>
      </c>
      <c r="N567" s="63" t="b">
        <v>0</v>
      </c>
    </row>
    <row r="568" ht="13.5" customHeight="1">
      <c r="A568" s="80"/>
      <c r="B568" s="102" t="s">
        <v>33</v>
      </c>
      <c r="C568" s="70" t="s">
        <v>37</v>
      </c>
      <c r="D568" s="33"/>
      <c r="E568" s="71"/>
      <c r="F568" s="71"/>
      <c r="G568" s="71"/>
      <c r="H568" s="71"/>
      <c r="I568" s="71"/>
      <c r="J568" s="71"/>
      <c r="K568" s="72" t="s">
        <v>38</v>
      </c>
      <c r="L568" s="73">
        <f>L567-L566</f>
        <v>0</v>
      </c>
      <c r="M568" s="74" t="s">
        <v>122</v>
      </c>
      <c r="N568" s="75" t="b">
        <v>0</v>
      </c>
    </row>
    <row r="569" ht="13.5" customHeight="1">
      <c r="A569" s="99" t="s">
        <v>23</v>
      </c>
      <c r="B569" s="100" t="s">
        <v>130</v>
      </c>
      <c r="C569" s="53" t="s">
        <v>30</v>
      </c>
      <c r="D569" s="54"/>
      <c r="E569" s="60"/>
      <c r="F569" s="60"/>
      <c r="G569" s="60"/>
      <c r="H569" s="60"/>
      <c r="I569" s="60"/>
      <c r="J569" s="60"/>
      <c r="K569" s="61" t="s">
        <v>30</v>
      </c>
      <c r="L569" s="62">
        <f>(E569*E565)+(F569*F565)+(G569*G565)+(H569*H565)+(I569*I565)+(J569*J565)</f>
        <v>0</v>
      </c>
      <c r="M569" s="57" t="s">
        <v>119</v>
      </c>
      <c r="N569" s="63" t="b">
        <v>0</v>
      </c>
    </row>
    <row r="570" ht="15.0" customHeight="1">
      <c r="A570" s="103"/>
      <c r="B570" s="59"/>
      <c r="C570" s="53" t="s">
        <v>34</v>
      </c>
      <c r="D570" s="54"/>
      <c r="E570" s="66"/>
      <c r="F570" s="66"/>
      <c r="G570" s="66"/>
      <c r="H570" s="66"/>
      <c r="I570" s="66"/>
      <c r="J570" s="66"/>
      <c r="K570" s="67" t="s">
        <v>35</v>
      </c>
      <c r="L570" s="62">
        <f>(E570*E565)+(F570*F565)+(G570*G565)+(H570*H565)+(I570*I565)+(J570*J565)</f>
        <v>0</v>
      </c>
      <c r="M570" s="57" t="s">
        <v>121</v>
      </c>
      <c r="N570" s="63" t="b">
        <v>0</v>
      </c>
    </row>
    <row r="571" ht="22.5" customHeight="1">
      <c r="A571" s="80"/>
      <c r="B571" s="102" t="s">
        <v>42</v>
      </c>
      <c r="C571" s="70" t="s">
        <v>37</v>
      </c>
      <c r="D571" s="33"/>
      <c r="E571" s="71"/>
      <c r="F571" s="71"/>
      <c r="G571" s="71"/>
      <c r="H571" s="71"/>
      <c r="I571" s="71"/>
      <c r="J571" s="71"/>
      <c r="K571" s="72" t="s">
        <v>38</v>
      </c>
      <c r="L571" s="73">
        <f>L570-L569</f>
        <v>0</v>
      </c>
      <c r="M571" s="74" t="s">
        <v>122</v>
      </c>
      <c r="N571" s="75" t="b">
        <v>0</v>
      </c>
    </row>
    <row r="572" ht="13.5" customHeight="1">
      <c r="A572" s="99" t="s">
        <v>23</v>
      </c>
      <c r="B572" s="100" t="s">
        <v>130</v>
      </c>
      <c r="C572" s="53" t="s">
        <v>30</v>
      </c>
      <c r="D572" s="54"/>
      <c r="E572" s="60"/>
      <c r="F572" s="60"/>
      <c r="G572" s="60"/>
      <c r="H572" s="60"/>
      <c r="I572" s="60"/>
      <c r="J572" s="60"/>
      <c r="K572" s="61" t="s">
        <v>30</v>
      </c>
      <c r="L572" s="62">
        <f>(E572*E565)+(F572*F565)+(G572*G565)+(H572*H565)+(I572*I565)+(J572*J565)</f>
        <v>0</v>
      </c>
      <c r="M572" s="57" t="s">
        <v>119</v>
      </c>
      <c r="N572" s="63" t="b">
        <v>0</v>
      </c>
    </row>
    <row r="573" ht="13.5" customHeight="1">
      <c r="A573" s="103"/>
      <c r="B573" s="59"/>
      <c r="C573" s="53" t="s">
        <v>34</v>
      </c>
      <c r="D573" s="54"/>
      <c r="E573" s="66"/>
      <c r="F573" s="66"/>
      <c r="G573" s="66"/>
      <c r="H573" s="66"/>
      <c r="I573" s="66"/>
      <c r="J573" s="66"/>
      <c r="K573" s="67" t="s">
        <v>35</v>
      </c>
      <c r="L573" s="62">
        <f>(E573*E565)+(F573*F565)+(G573*G565)+(H573*H565)+(I573*I565)+(J573*J565)</f>
        <v>0</v>
      </c>
      <c r="M573" s="57" t="s">
        <v>121</v>
      </c>
      <c r="N573" s="63" t="b">
        <v>0</v>
      </c>
    </row>
    <row r="574" ht="19.5" customHeight="1">
      <c r="A574" s="80"/>
      <c r="B574" s="102" t="s">
        <v>47</v>
      </c>
      <c r="C574" s="70" t="s">
        <v>37</v>
      </c>
      <c r="D574" s="33"/>
      <c r="E574" s="71"/>
      <c r="F574" s="71"/>
      <c r="G574" s="71"/>
      <c r="H574" s="71"/>
      <c r="I574" s="71"/>
      <c r="J574" s="71"/>
      <c r="K574" s="72" t="s">
        <v>38</v>
      </c>
      <c r="L574" s="73">
        <f>L573-L572</f>
        <v>0</v>
      </c>
      <c r="M574" s="74" t="s">
        <v>122</v>
      </c>
      <c r="N574" s="75" t="b">
        <v>0</v>
      </c>
    </row>
    <row r="575" ht="13.5" customHeight="1">
      <c r="A575" s="99" t="s">
        <v>23</v>
      </c>
      <c r="B575" s="100" t="s">
        <v>130</v>
      </c>
      <c r="C575" s="53" t="s">
        <v>30</v>
      </c>
      <c r="D575" s="54"/>
      <c r="E575" s="60"/>
      <c r="F575" s="60"/>
      <c r="G575" s="60"/>
      <c r="H575" s="60"/>
      <c r="I575" s="60"/>
      <c r="J575" s="60"/>
      <c r="K575" s="61" t="s">
        <v>30</v>
      </c>
      <c r="L575" s="62">
        <f>(E575*E565)+(F575*F565)+(G575*G565)+(H575*H565)+(I575*I565)+(J575*J565)</f>
        <v>0</v>
      </c>
      <c r="M575" s="57" t="s">
        <v>119</v>
      </c>
      <c r="N575" s="63" t="b">
        <v>0</v>
      </c>
    </row>
    <row r="576" ht="13.5" customHeight="1">
      <c r="A576" s="103"/>
      <c r="B576" s="59"/>
      <c r="C576" s="53" t="s">
        <v>34</v>
      </c>
      <c r="D576" s="54"/>
      <c r="E576" s="66"/>
      <c r="F576" s="66"/>
      <c r="G576" s="66"/>
      <c r="H576" s="66"/>
      <c r="I576" s="66"/>
      <c r="J576" s="66"/>
      <c r="K576" s="67" t="s">
        <v>35</v>
      </c>
      <c r="L576" s="62">
        <f>(E576*E565)+(F576*F565)+(G576*G565)+(H576*H565)+(I576*I565)+(J576*J565)</f>
        <v>0</v>
      </c>
      <c r="M576" s="57" t="s">
        <v>121</v>
      </c>
      <c r="N576" s="63" t="b">
        <v>0</v>
      </c>
    </row>
    <row r="577" ht="13.5" customHeight="1">
      <c r="A577" s="80"/>
      <c r="B577" s="102" t="s">
        <v>49</v>
      </c>
      <c r="C577" s="70" t="s">
        <v>37</v>
      </c>
      <c r="D577" s="33"/>
      <c r="E577" s="71"/>
      <c r="F577" s="71"/>
      <c r="G577" s="71"/>
      <c r="H577" s="71"/>
      <c r="I577" s="71"/>
      <c r="J577" s="71"/>
      <c r="K577" s="72" t="s">
        <v>38</v>
      </c>
      <c r="L577" s="73">
        <f>L576-L575</f>
        <v>0</v>
      </c>
      <c r="M577" s="74" t="s">
        <v>122</v>
      </c>
      <c r="N577" s="75" t="b">
        <v>0</v>
      </c>
    </row>
    <row r="578" ht="13.5" customHeight="1">
      <c r="A578" s="94" t="s">
        <v>131</v>
      </c>
      <c r="B578" s="95" t="s">
        <v>20</v>
      </c>
      <c r="C578" s="96"/>
      <c r="D578" s="10"/>
      <c r="E578" s="97">
        <f t="shared" ref="E578:J578" si="135">E6</f>
        <v>17</v>
      </c>
      <c r="F578" s="97">
        <f t="shared" si="135"/>
        <v>27</v>
      </c>
      <c r="G578" s="97">
        <f t="shared" si="135"/>
        <v>27</v>
      </c>
      <c r="H578" s="97">
        <f t="shared" si="135"/>
        <v>27</v>
      </c>
      <c r="I578" s="97">
        <f t="shared" si="135"/>
        <v>32</v>
      </c>
      <c r="J578" s="97">
        <f t="shared" si="135"/>
        <v>37</v>
      </c>
      <c r="K578" s="95" t="s">
        <v>21</v>
      </c>
      <c r="L578" s="10"/>
      <c r="M578" s="98" t="s">
        <v>118</v>
      </c>
      <c r="N578" s="10"/>
    </row>
    <row r="579" ht="13.5" customHeight="1">
      <c r="A579" s="99" t="s">
        <v>23</v>
      </c>
      <c r="B579" s="100" t="s">
        <v>131</v>
      </c>
      <c r="C579" s="53" t="s">
        <v>30</v>
      </c>
      <c r="D579" s="54"/>
      <c r="E579" s="60"/>
      <c r="F579" s="60"/>
      <c r="G579" s="60"/>
      <c r="H579" s="60"/>
      <c r="I579" s="60"/>
      <c r="J579" s="60"/>
      <c r="K579" s="61" t="s">
        <v>30</v>
      </c>
      <c r="L579" s="62">
        <f>(E579*E578)+(F579*F578)+(G579*G578)+(H579*H578)+(I579*I578)+(J579*J578)</f>
        <v>0</v>
      </c>
      <c r="M579" s="57" t="s">
        <v>119</v>
      </c>
      <c r="N579" s="63" t="b">
        <v>0</v>
      </c>
    </row>
    <row r="580" ht="13.5" customHeight="1">
      <c r="A580" s="103"/>
      <c r="B580" s="59"/>
      <c r="C580" s="53" t="s">
        <v>34</v>
      </c>
      <c r="D580" s="54"/>
      <c r="E580" s="66"/>
      <c r="F580" s="66"/>
      <c r="G580" s="66"/>
      <c r="H580" s="66"/>
      <c r="I580" s="66"/>
      <c r="J580" s="66"/>
      <c r="K580" s="67" t="s">
        <v>35</v>
      </c>
      <c r="L580" s="62">
        <f>(E580*E578)+(F580*F578)+(G580*G578)+(H580*H578)+(I580*I578)+(J580*J578)</f>
        <v>0</v>
      </c>
      <c r="M580" s="57" t="s">
        <v>121</v>
      </c>
      <c r="N580" s="63" t="b">
        <v>0</v>
      </c>
    </row>
    <row r="581" ht="13.5" customHeight="1">
      <c r="A581" s="80"/>
      <c r="B581" s="102" t="s">
        <v>33</v>
      </c>
      <c r="C581" s="70" t="s">
        <v>37</v>
      </c>
      <c r="D581" s="33"/>
      <c r="E581" s="71"/>
      <c r="F581" s="71"/>
      <c r="G581" s="71"/>
      <c r="H581" s="71"/>
      <c r="I581" s="71"/>
      <c r="J581" s="71"/>
      <c r="K581" s="72" t="s">
        <v>38</v>
      </c>
      <c r="L581" s="73">
        <f>L580-L579</f>
        <v>0</v>
      </c>
      <c r="M581" s="74" t="s">
        <v>122</v>
      </c>
      <c r="N581" s="75" t="b">
        <v>0</v>
      </c>
    </row>
    <row r="582" ht="19.5" customHeight="1">
      <c r="A582" s="99" t="s">
        <v>23</v>
      </c>
      <c r="B582" s="100" t="s">
        <v>131</v>
      </c>
      <c r="C582" s="53" t="s">
        <v>30</v>
      </c>
      <c r="D582" s="54"/>
      <c r="E582" s="60"/>
      <c r="F582" s="60"/>
      <c r="G582" s="60"/>
      <c r="H582" s="60"/>
      <c r="I582" s="60"/>
      <c r="J582" s="60"/>
      <c r="K582" s="61" t="s">
        <v>30</v>
      </c>
      <c r="L582" s="62">
        <f>(E582*E578)+(F582*F578)+(G582*G578)+(H582*H578)+(I582*I578)+(J582*J578)</f>
        <v>0</v>
      </c>
      <c r="M582" s="57" t="s">
        <v>119</v>
      </c>
      <c r="N582" s="63" t="b">
        <v>0</v>
      </c>
    </row>
    <row r="583" ht="13.5" customHeight="1">
      <c r="A583" s="103"/>
      <c r="B583" s="59"/>
      <c r="C583" s="53" t="s">
        <v>34</v>
      </c>
      <c r="D583" s="54"/>
      <c r="E583" s="66"/>
      <c r="F583" s="66"/>
      <c r="G583" s="66"/>
      <c r="H583" s="66"/>
      <c r="I583" s="66"/>
      <c r="J583" s="66"/>
      <c r="K583" s="67" t="s">
        <v>35</v>
      </c>
      <c r="L583" s="62">
        <f>(E583*E578)+(F583*F578)+(G583*G578)+(H583*H578)+(I583*I578)+(J583*J578)</f>
        <v>0</v>
      </c>
      <c r="M583" s="57" t="s">
        <v>121</v>
      </c>
      <c r="N583" s="63" t="b">
        <v>0</v>
      </c>
    </row>
    <row r="584" ht="13.5" customHeight="1">
      <c r="A584" s="80"/>
      <c r="B584" s="102" t="s">
        <v>42</v>
      </c>
      <c r="C584" s="70" t="s">
        <v>37</v>
      </c>
      <c r="D584" s="33"/>
      <c r="E584" s="71"/>
      <c r="F584" s="71"/>
      <c r="G584" s="71"/>
      <c r="H584" s="71"/>
      <c r="I584" s="71"/>
      <c r="J584" s="71"/>
      <c r="K584" s="72" t="s">
        <v>38</v>
      </c>
      <c r="L584" s="73">
        <f>L583-L582</f>
        <v>0</v>
      </c>
      <c r="M584" s="74" t="s">
        <v>122</v>
      </c>
      <c r="N584" s="75" t="b">
        <v>0</v>
      </c>
    </row>
    <row r="585" ht="13.5" customHeight="1">
      <c r="A585" s="99" t="s">
        <v>23</v>
      </c>
      <c r="B585" s="100" t="s">
        <v>131</v>
      </c>
      <c r="C585" s="53" t="s">
        <v>30</v>
      </c>
      <c r="D585" s="54"/>
      <c r="E585" s="60"/>
      <c r="F585" s="60"/>
      <c r="G585" s="60"/>
      <c r="H585" s="60"/>
      <c r="I585" s="60"/>
      <c r="J585" s="60"/>
      <c r="K585" s="61" t="s">
        <v>30</v>
      </c>
      <c r="L585" s="62">
        <f>(E585*E578)+(F585*F578)+(G585*G578)+(H585*H578)+(I585*I578)+(J585*J578)</f>
        <v>0</v>
      </c>
      <c r="M585" s="57" t="s">
        <v>119</v>
      </c>
      <c r="N585" s="63" t="b">
        <v>0</v>
      </c>
    </row>
    <row r="586" ht="15.0" customHeight="1">
      <c r="A586" s="103"/>
      <c r="B586" s="59"/>
      <c r="C586" s="53" t="s">
        <v>34</v>
      </c>
      <c r="D586" s="54"/>
      <c r="E586" s="66"/>
      <c r="F586" s="66"/>
      <c r="G586" s="66"/>
      <c r="H586" s="66"/>
      <c r="I586" s="66"/>
      <c r="J586" s="66"/>
      <c r="K586" s="67" t="s">
        <v>35</v>
      </c>
      <c r="L586" s="62">
        <f>(E586*E578)+(F586*F578)+(G586*G578)+(H586*H578)+(I586*I578)+(J586*J578)</f>
        <v>0</v>
      </c>
      <c r="M586" s="57" t="s">
        <v>121</v>
      </c>
      <c r="N586" s="63" t="b">
        <v>0</v>
      </c>
    </row>
    <row r="587" ht="13.5" customHeight="1">
      <c r="A587" s="80"/>
      <c r="B587" s="102" t="s">
        <v>47</v>
      </c>
      <c r="C587" s="70" t="s">
        <v>37</v>
      </c>
      <c r="D587" s="33"/>
      <c r="E587" s="71"/>
      <c r="F587" s="71"/>
      <c r="G587" s="71"/>
      <c r="H587" s="71"/>
      <c r="I587" s="71"/>
      <c r="J587" s="71"/>
      <c r="K587" s="72" t="s">
        <v>38</v>
      </c>
      <c r="L587" s="73">
        <f>L586-L585</f>
        <v>0</v>
      </c>
      <c r="M587" s="74" t="s">
        <v>122</v>
      </c>
      <c r="N587" s="75" t="b">
        <v>0</v>
      </c>
    </row>
    <row r="588" ht="13.5" customHeight="1">
      <c r="A588" s="99" t="s">
        <v>23</v>
      </c>
      <c r="B588" s="100" t="s">
        <v>131</v>
      </c>
      <c r="C588" s="53" t="s">
        <v>30</v>
      </c>
      <c r="D588" s="54"/>
      <c r="E588" s="60"/>
      <c r="F588" s="60"/>
      <c r="G588" s="60"/>
      <c r="H588" s="60"/>
      <c r="I588" s="60"/>
      <c r="J588" s="60"/>
      <c r="K588" s="61" t="s">
        <v>30</v>
      </c>
      <c r="L588" s="62">
        <f>(E588*E578)+(F588*F578)+(G588*G578)+(H588*H578)+(I588*I578)+(J588*J578)</f>
        <v>0</v>
      </c>
      <c r="M588" s="57" t="s">
        <v>119</v>
      </c>
      <c r="N588" s="63" t="b">
        <v>0</v>
      </c>
    </row>
    <row r="589" ht="13.5" customHeight="1">
      <c r="A589" s="103"/>
      <c r="B589" s="59"/>
      <c r="C589" s="53" t="s">
        <v>34</v>
      </c>
      <c r="D589" s="54"/>
      <c r="E589" s="66"/>
      <c r="F589" s="66"/>
      <c r="G589" s="66"/>
      <c r="H589" s="66"/>
      <c r="I589" s="66"/>
      <c r="J589" s="66"/>
      <c r="K589" s="67" t="s">
        <v>35</v>
      </c>
      <c r="L589" s="62">
        <f>(E589*E578)+(F589*F578)+(G589*G578)+(H589*H578)+(I589*I578)+(J589*J578)</f>
        <v>0</v>
      </c>
      <c r="M589" s="57" t="s">
        <v>121</v>
      </c>
      <c r="N589" s="63" t="b">
        <v>0</v>
      </c>
    </row>
    <row r="590" ht="18.75" customHeight="1">
      <c r="A590" s="80"/>
      <c r="B590" s="102" t="s">
        <v>49</v>
      </c>
      <c r="C590" s="70" t="s">
        <v>37</v>
      </c>
      <c r="D590" s="33"/>
      <c r="E590" s="71"/>
      <c r="F590" s="71"/>
      <c r="G590" s="71"/>
      <c r="H590" s="71"/>
      <c r="I590" s="71"/>
      <c r="J590" s="71"/>
      <c r="K590" s="72" t="s">
        <v>38</v>
      </c>
      <c r="L590" s="73">
        <f>L589-L588</f>
        <v>0</v>
      </c>
      <c r="M590" s="74" t="s">
        <v>122</v>
      </c>
      <c r="N590" s="75" t="b">
        <v>0</v>
      </c>
    </row>
    <row r="591" ht="13.5" customHeight="1">
      <c r="A591" s="104" t="s">
        <v>132</v>
      </c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5"/>
    </row>
    <row r="592" ht="13.5" customHeight="1">
      <c r="A592" s="105"/>
      <c r="B592" s="10"/>
      <c r="C592" s="106" t="s">
        <v>133</v>
      </c>
      <c r="D592" s="24"/>
      <c r="E592" s="24"/>
      <c r="F592" s="24"/>
      <c r="G592" s="24"/>
      <c r="H592" s="24"/>
      <c r="I592" s="24"/>
      <c r="J592" s="24"/>
      <c r="K592" s="24"/>
      <c r="L592" s="25"/>
      <c r="M592" s="107"/>
      <c r="N592" s="108"/>
    </row>
    <row r="593" ht="13.5" customHeight="1">
      <c r="A593" s="109" t="s">
        <v>133</v>
      </c>
      <c r="B593" s="59"/>
      <c r="C593" s="110" t="s">
        <v>15</v>
      </c>
      <c r="D593" s="111"/>
      <c r="E593" s="112">
        <f t="shared" ref="E593:J593" si="136">E7-(E15+E33+E51+E69+E87+E105+E123+E141+E159+E177+E195+E213+E231+E249+E267+E285+E303+E321+E339+E357+E375+E393+E411+E429+E447+E463+E476+E489+E502+E515+E528+E541+E554+E567+E580)</f>
        <v>0</v>
      </c>
      <c r="F593" s="112">
        <f t="shared" si="136"/>
        <v>0</v>
      </c>
      <c r="G593" s="112">
        <f t="shared" si="136"/>
        <v>0</v>
      </c>
      <c r="H593" s="112">
        <f t="shared" si="136"/>
        <v>0</v>
      </c>
      <c r="I593" s="112">
        <f t="shared" si="136"/>
        <v>0</v>
      </c>
      <c r="J593" s="113">
        <f t="shared" si="136"/>
        <v>0</v>
      </c>
      <c r="K593" s="114" t="s">
        <v>134</v>
      </c>
      <c r="L593" s="115">
        <f>L16+L34+L52+L70+L88+L106+L124+L142+L160+L178+L196+L214+L232+L250+L268+L286+L304+L322+L340+L358+L376+L394+L412+L430+L448+L464+L477+L490+L503+L516+L529+L542+L555+L568+L581</f>
        <v>0</v>
      </c>
      <c r="M593" s="116"/>
      <c r="N593" s="117"/>
    </row>
    <row r="594" ht="13.5" customHeight="1">
      <c r="A594" s="38"/>
      <c r="B594" s="59"/>
      <c r="C594" s="118" t="s">
        <v>135</v>
      </c>
      <c r="D594" s="111"/>
      <c r="E594" s="119"/>
      <c r="F594" s="119"/>
      <c r="G594" s="119"/>
      <c r="H594" s="119"/>
      <c r="I594" s="119"/>
      <c r="J594" s="120"/>
      <c r="K594" s="59"/>
      <c r="L594" s="5"/>
      <c r="N594" s="59"/>
    </row>
    <row r="595" ht="13.5" customHeight="1">
      <c r="A595" s="38"/>
      <c r="B595" s="59"/>
      <c r="C595" s="121" t="s">
        <v>136</v>
      </c>
      <c r="D595" s="25"/>
      <c r="E595" s="122">
        <f t="shared" ref="E595:J595" si="137">E593-E594</f>
        <v>0</v>
      </c>
      <c r="F595" s="122">
        <f t="shared" si="137"/>
        <v>0</v>
      </c>
      <c r="G595" s="122">
        <f t="shared" si="137"/>
        <v>0</v>
      </c>
      <c r="H595" s="122">
        <f t="shared" si="137"/>
        <v>0</v>
      </c>
      <c r="I595" s="122">
        <f t="shared" si="137"/>
        <v>0</v>
      </c>
      <c r="J595" s="123">
        <f t="shared" si="137"/>
        <v>0</v>
      </c>
      <c r="K595" s="59"/>
      <c r="L595" s="5"/>
      <c r="N595" s="59"/>
    </row>
    <row r="596" ht="13.5" customHeight="1">
      <c r="A596" s="38"/>
      <c r="B596" s="59"/>
      <c r="C596" s="110" t="s">
        <v>137</v>
      </c>
      <c r="D596" s="111"/>
      <c r="E596" s="112">
        <f t="shared" ref="E596:J596" si="138">E14+E32+E50+E68+E86+E104+E122+E140+E158+E176+E194+E212+E230+E248+E266+E284+E302+E320+E338+E356+E374+E392+E410+E428+E446+E462+E475+E488+E501+E514+E527+E540+E553+E566+E579</f>
        <v>0</v>
      </c>
      <c r="F596" s="112">
        <f t="shared" si="138"/>
        <v>0</v>
      </c>
      <c r="G596" s="112">
        <f t="shared" si="138"/>
        <v>0</v>
      </c>
      <c r="H596" s="112">
        <f t="shared" si="138"/>
        <v>0</v>
      </c>
      <c r="I596" s="112">
        <f t="shared" si="138"/>
        <v>0</v>
      </c>
      <c r="J596" s="113">
        <f t="shared" si="138"/>
        <v>0</v>
      </c>
      <c r="K596" s="54"/>
      <c r="L596" s="111"/>
      <c r="N596" s="59"/>
    </row>
    <row r="597" ht="13.5" customHeight="1">
      <c r="A597" s="38"/>
      <c r="B597" s="59"/>
      <c r="C597" s="118" t="s">
        <v>135</v>
      </c>
      <c r="D597" s="111"/>
      <c r="E597" s="119"/>
      <c r="F597" s="119"/>
      <c r="G597" s="119"/>
      <c r="H597" s="119"/>
      <c r="I597" s="119"/>
      <c r="J597" s="120"/>
      <c r="K597" s="124" t="s">
        <v>135</v>
      </c>
      <c r="L597" s="125"/>
      <c r="N597" s="59"/>
    </row>
    <row r="598" ht="13.5" customHeight="1">
      <c r="A598" s="126"/>
      <c r="B598" s="33"/>
      <c r="C598" s="121" t="s">
        <v>136</v>
      </c>
      <c r="D598" s="25"/>
      <c r="E598" s="122">
        <f t="shared" ref="E598:J598" si="139">E596-E597</f>
        <v>0</v>
      </c>
      <c r="F598" s="122">
        <f t="shared" si="139"/>
        <v>0</v>
      </c>
      <c r="G598" s="122">
        <f t="shared" si="139"/>
        <v>0</v>
      </c>
      <c r="H598" s="122">
        <f t="shared" si="139"/>
        <v>0</v>
      </c>
      <c r="I598" s="122">
        <f t="shared" si="139"/>
        <v>0</v>
      </c>
      <c r="J598" s="123">
        <f t="shared" si="139"/>
        <v>0</v>
      </c>
      <c r="K598" s="127" t="s">
        <v>136</v>
      </c>
      <c r="L598" s="128">
        <f>L593-L597</f>
        <v>0</v>
      </c>
      <c r="M598" s="129"/>
      <c r="N598" s="54"/>
    </row>
    <row r="599" ht="13.5" customHeight="1">
      <c r="A599" s="105"/>
      <c r="B599" s="10"/>
      <c r="C599" s="130" t="s">
        <v>138</v>
      </c>
      <c r="D599" s="24"/>
      <c r="E599" s="24"/>
      <c r="F599" s="24"/>
      <c r="G599" s="24"/>
      <c r="H599" s="24"/>
      <c r="I599" s="24"/>
      <c r="J599" s="24"/>
      <c r="K599" s="24"/>
      <c r="L599" s="25"/>
      <c r="M599" s="131"/>
      <c r="N599" s="108"/>
    </row>
    <row r="600" ht="13.5" customHeight="1">
      <c r="A600" s="109" t="s">
        <v>138</v>
      </c>
      <c r="B600" s="59"/>
      <c r="C600" s="110" t="s">
        <v>15</v>
      </c>
      <c r="D600" s="111"/>
      <c r="E600" s="112">
        <f t="shared" ref="E600:J600" si="140">E8-(E19+E37+E55+E73+E91+E109+E127+E145+E163+E181+E199+E217+E235+E253+E271+E289+E307+E325+E343+E361+E379+E397+E415+E433+E451+E466+E479+E492+E505+E518+E531+E544+E557+E570+E583)</f>
        <v>0</v>
      </c>
      <c r="F600" s="112">
        <f t="shared" si="140"/>
        <v>0</v>
      </c>
      <c r="G600" s="112">
        <f t="shared" si="140"/>
        <v>0</v>
      </c>
      <c r="H600" s="112">
        <f t="shared" si="140"/>
        <v>0</v>
      </c>
      <c r="I600" s="112">
        <f t="shared" si="140"/>
        <v>0</v>
      </c>
      <c r="J600" s="113">
        <f t="shared" si="140"/>
        <v>0</v>
      </c>
      <c r="K600" s="114" t="s">
        <v>139</v>
      </c>
      <c r="L600" s="115">
        <f>L20+L38+L56+L74+L92+L110+L128+L146+L164+L182+L200+L218+L236+L254+L272+L290+L308+L326+L344+L362+L380+L398+L416+L434+L452+L467+L480+L493+L506+L519+L532+L545+L558+L571+L584</f>
        <v>0</v>
      </c>
      <c r="M600" s="116"/>
      <c r="N600" s="117"/>
    </row>
    <row r="601" ht="13.5" customHeight="1">
      <c r="A601" s="38"/>
      <c r="B601" s="59"/>
      <c r="C601" s="118" t="s">
        <v>135</v>
      </c>
      <c r="D601" s="111"/>
      <c r="E601" s="119"/>
      <c r="F601" s="119"/>
      <c r="G601" s="119"/>
      <c r="H601" s="119"/>
      <c r="I601" s="119"/>
      <c r="J601" s="120"/>
      <c r="K601" s="59"/>
      <c r="L601" s="5"/>
      <c r="N601" s="59"/>
    </row>
    <row r="602" ht="13.5" customHeight="1">
      <c r="A602" s="38"/>
      <c r="B602" s="59"/>
      <c r="C602" s="121" t="s">
        <v>136</v>
      </c>
      <c r="D602" s="25"/>
      <c r="E602" s="122">
        <f t="shared" ref="E602:J602" si="141">E600-E601</f>
        <v>0</v>
      </c>
      <c r="F602" s="122">
        <f t="shared" si="141"/>
        <v>0</v>
      </c>
      <c r="G602" s="122">
        <f t="shared" si="141"/>
        <v>0</v>
      </c>
      <c r="H602" s="122">
        <f t="shared" si="141"/>
        <v>0</v>
      </c>
      <c r="I602" s="122">
        <f t="shared" si="141"/>
        <v>0</v>
      </c>
      <c r="J602" s="123">
        <f t="shared" si="141"/>
        <v>0</v>
      </c>
      <c r="K602" s="59"/>
      <c r="L602" s="5"/>
      <c r="N602" s="59"/>
    </row>
    <row r="603" ht="13.5" customHeight="1">
      <c r="A603" s="38"/>
      <c r="B603" s="59"/>
      <c r="C603" s="110" t="s">
        <v>137</v>
      </c>
      <c r="D603" s="111"/>
      <c r="E603" s="112">
        <f t="shared" ref="E603:J603" si="142">E18+E36+E54+E72+E90+E108+E126+E144+E162+E180+E198+E216+E234+E252+E270+E288+E306+E324+E342+E360+E378+E396+E414+E432+E450+E465+E478+E491+E504+E517+E530+E543+E556+E569+E582</f>
        <v>0</v>
      </c>
      <c r="F603" s="112">
        <f t="shared" si="142"/>
        <v>0</v>
      </c>
      <c r="G603" s="112">
        <f t="shared" si="142"/>
        <v>0</v>
      </c>
      <c r="H603" s="112">
        <f t="shared" si="142"/>
        <v>0</v>
      </c>
      <c r="I603" s="112">
        <f t="shared" si="142"/>
        <v>0</v>
      </c>
      <c r="J603" s="112">
        <f t="shared" si="142"/>
        <v>0</v>
      </c>
      <c r="K603" s="54"/>
      <c r="L603" s="111"/>
      <c r="N603" s="59"/>
    </row>
    <row r="604" ht="13.5" customHeight="1">
      <c r="A604" s="38"/>
      <c r="B604" s="59"/>
      <c r="C604" s="118" t="s">
        <v>135</v>
      </c>
      <c r="D604" s="111"/>
      <c r="E604" s="119"/>
      <c r="F604" s="119"/>
      <c r="G604" s="119"/>
      <c r="H604" s="119"/>
      <c r="I604" s="119"/>
      <c r="J604" s="120"/>
      <c r="K604" s="124" t="s">
        <v>135</v>
      </c>
      <c r="L604" s="125"/>
      <c r="N604" s="59"/>
    </row>
    <row r="605" ht="13.5" customHeight="1">
      <c r="A605" s="126"/>
      <c r="B605" s="33"/>
      <c r="C605" s="121" t="s">
        <v>136</v>
      </c>
      <c r="D605" s="25"/>
      <c r="E605" s="122">
        <f t="shared" ref="E605:J605" si="143">E603-E604</f>
        <v>0</v>
      </c>
      <c r="F605" s="122">
        <f t="shared" si="143"/>
        <v>0</v>
      </c>
      <c r="G605" s="122">
        <f t="shared" si="143"/>
        <v>0</v>
      </c>
      <c r="H605" s="122">
        <f t="shared" si="143"/>
        <v>0</v>
      </c>
      <c r="I605" s="122">
        <f t="shared" si="143"/>
        <v>0</v>
      </c>
      <c r="J605" s="123">
        <f t="shared" si="143"/>
        <v>0</v>
      </c>
      <c r="K605" s="127" t="s">
        <v>136</v>
      </c>
      <c r="L605" s="128">
        <f>L600-L604</f>
        <v>0</v>
      </c>
      <c r="M605" s="129"/>
      <c r="N605" s="54"/>
    </row>
    <row r="606" ht="13.5" customHeight="1">
      <c r="A606" s="105"/>
      <c r="B606" s="10"/>
      <c r="C606" s="130" t="s">
        <v>140</v>
      </c>
      <c r="D606" s="24"/>
      <c r="E606" s="24"/>
      <c r="F606" s="24"/>
      <c r="G606" s="24"/>
      <c r="H606" s="24"/>
      <c r="I606" s="24"/>
      <c r="J606" s="24"/>
      <c r="K606" s="24"/>
      <c r="L606" s="25"/>
      <c r="M606" s="131"/>
      <c r="N606" s="108"/>
    </row>
    <row r="607" ht="13.5" customHeight="1">
      <c r="A607" s="109" t="s">
        <v>140</v>
      </c>
      <c r="B607" s="59"/>
      <c r="C607" s="110" t="s">
        <v>15</v>
      </c>
      <c r="D607" s="111"/>
      <c r="E607" s="112">
        <f t="shared" ref="E607:J607" si="144">E9-(E23+E41+E59+E77+E95+E113+E131+E149+E167+E185+E203+E221+E239+E257+E275+E293+E311+E329+E347+E365+E383+E401+E419+E437+E455+E469+E482+E495+E508+E521+E534+E547+E560+E573+E586)</f>
        <v>0</v>
      </c>
      <c r="F607" s="112">
        <f t="shared" si="144"/>
        <v>0</v>
      </c>
      <c r="G607" s="112">
        <f t="shared" si="144"/>
        <v>0</v>
      </c>
      <c r="H607" s="112">
        <f t="shared" si="144"/>
        <v>0</v>
      </c>
      <c r="I607" s="112">
        <f t="shared" si="144"/>
        <v>0</v>
      </c>
      <c r="J607" s="113">
        <f t="shared" si="144"/>
        <v>0</v>
      </c>
      <c r="K607" s="114" t="s">
        <v>141</v>
      </c>
      <c r="L607" s="115">
        <f>L24+L42+L60+L78+L96+L114+L132+L150+L168+L186+L204+L222+L240+L258+L276+L294+L312+L330+L348+L366+L384+L402+L420+L438+L456+L470+L483+L496+L509+L522+L535+L548+L561+L574+L587</f>
        <v>0</v>
      </c>
      <c r="M607" s="116"/>
      <c r="N607" s="117"/>
    </row>
    <row r="608" ht="13.5" customHeight="1">
      <c r="A608" s="38"/>
      <c r="B608" s="59"/>
      <c r="C608" s="118" t="s">
        <v>135</v>
      </c>
      <c r="D608" s="111"/>
      <c r="E608" s="119"/>
      <c r="F608" s="119"/>
      <c r="G608" s="119"/>
      <c r="H608" s="119"/>
      <c r="I608" s="119"/>
      <c r="J608" s="120"/>
      <c r="K608" s="59"/>
      <c r="L608" s="5"/>
      <c r="N608" s="59"/>
    </row>
    <row r="609" ht="13.5" customHeight="1">
      <c r="A609" s="38"/>
      <c r="B609" s="59"/>
      <c r="C609" s="121" t="s">
        <v>136</v>
      </c>
      <c r="D609" s="25"/>
      <c r="E609" s="122">
        <f t="shared" ref="E609:J609" si="145">E607-E608</f>
        <v>0</v>
      </c>
      <c r="F609" s="122">
        <f t="shared" si="145"/>
        <v>0</v>
      </c>
      <c r="G609" s="122">
        <f t="shared" si="145"/>
        <v>0</v>
      </c>
      <c r="H609" s="122">
        <f t="shared" si="145"/>
        <v>0</v>
      </c>
      <c r="I609" s="122">
        <f t="shared" si="145"/>
        <v>0</v>
      </c>
      <c r="J609" s="123">
        <f t="shared" si="145"/>
        <v>0</v>
      </c>
      <c r="K609" s="59"/>
      <c r="L609" s="5"/>
      <c r="N609" s="59"/>
    </row>
    <row r="610" ht="13.5" customHeight="1">
      <c r="A610" s="38"/>
      <c r="B610" s="59"/>
      <c r="C610" s="110" t="s">
        <v>137</v>
      </c>
      <c r="D610" s="111"/>
      <c r="E610" s="112">
        <f t="shared" ref="E610:J610" si="146">E22+E40+E58+E76+E94+E112+E130+E148+E166+E184+E202+E220+E238+E256+E274+E292+E310+E328+E346+E364+E382+E400+E418+E436+E454+E468+E481+E494+E507+E520+E533+E546+E559+E572+E585</f>
        <v>0</v>
      </c>
      <c r="F610" s="112">
        <f t="shared" si="146"/>
        <v>0</v>
      </c>
      <c r="G610" s="112">
        <f t="shared" si="146"/>
        <v>0</v>
      </c>
      <c r="H610" s="112">
        <f t="shared" si="146"/>
        <v>0</v>
      </c>
      <c r="I610" s="112">
        <f t="shared" si="146"/>
        <v>0</v>
      </c>
      <c r="J610" s="113">
        <f t="shared" si="146"/>
        <v>0</v>
      </c>
      <c r="K610" s="54"/>
      <c r="L610" s="111"/>
      <c r="N610" s="59"/>
    </row>
    <row r="611" ht="13.5" customHeight="1">
      <c r="A611" s="38"/>
      <c r="B611" s="59"/>
      <c r="C611" s="118" t="s">
        <v>135</v>
      </c>
      <c r="D611" s="111"/>
      <c r="E611" s="119"/>
      <c r="F611" s="119"/>
      <c r="G611" s="119"/>
      <c r="H611" s="119"/>
      <c r="I611" s="119"/>
      <c r="J611" s="120"/>
      <c r="K611" s="124" t="s">
        <v>135</v>
      </c>
      <c r="L611" s="125"/>
      <c r="N611" s="59"/>
    </row>
    <row r="612" ht="13.5" customHeight="1">
      <c r="A612" s="126"/>
      <c r="B612" s="33"/>
      <c r="C612" s="121" t="s">
        <v>136</v>
      </c>
      <c r="D612" s="25"/>
      <c r="E612" s="122">
        <f t="shared" ref="E612:J612" si="147">E610-E611</f>
        <v>0</v>
      </c>
      <c r="F612" s="122">
        <f t="shared" si="147"/>
        <v>0</v>
      </c>
      <c r="G612" s="122">
        <f t="shared" si="147"/>
        <v>0</v>
      </c>
      <c r="H612" s="122">
        <f t="shared" si="147"/>
        <v>0</v>
      </c>
      <c r="I612" s="122">
        <f t="shared" si="147"/>
        <v>0</v>
      </c>
      <c r="J612" s="123">
        <f t="shared" si="147"/>
        <v>0</v>
      </c>
      <c r="K612" s="127" t="s">
        <v>136</v>
      </c>
      <c r="L612" s="128">
        <f>L607-L611</f>
        <v>0</v>
      </c>
      <c r="M612" s="129"/>
      <c r="N612" s="54"/>
    </row>
    <row r="613" ht="13.5" customHeight="1">
      <c r="A613" s="105"/>
      <c r="B613" s="10"/>
      <c r="C613" s="106" t="s">
        <v>142</v>
      </c>
      <c r="D613" s="24"/>
      <c r="E613" s="24"/>
      <c r="F613" s="24"/>
      <c r="G613" s="24"/>
      <c r="H613" s="24"/>
      <c r="I613" s="24"/>
      <c r="J613" s="24"/>
      <c r="K613" s="24"/>
      <c r="L613" s="25"/>
      <c r="M613" s="131"/>
      <c r="N613" s="108"/>
    </row>
    <row r="614" ht="13.5" customHeight="1">
      <c r="A614" s="109" t="s">
        <v>142</v>
      </c>
      <c r="B614" s="59"/>
      <c r="C614" s="110" t="s">
        <v>15</v>
      </c>
      <c r="D614" s="111"/>
      <c r="E614" s="112">
        <f t="shared" ref="E614:J614" si="148">E10-(E27+E45+E63+E81+E99+E117+E135+E153+E171+E189+E207+E225+E243+E261+E279+E297+E315+E333+E351+E369+E387+E405+E423+E441+E459+E472+E485+E498+E511+E524+E537+E550+E563+E576+E589)</f>
        <v>0</v>
      </c>
      <c r="F614" s="112">
        <f t="shared" si="148"/>
        <v>0</v>
      </c>
      <c r="G614" s="112">
        <f t="shared" si="148"/>
        <v>0</v>
      </c>
      <c r="H614" s="112">
        <f t="shared" si="148"/>
        <v>0</v>
      </c>
      <c r="I614" s="112">
        <f t="shared" si="148"/>
        <v>0</v>
      </c>
      <c r="J614" s="113">
        <f t="shared" si="148"/>
        <v>0</v>
      </c>
      <c r="K614" s="132" t="s">
        <v>143</v>
      </c>
      <c r="L614" s="133">
        <f>L28+L46+L64+L82+L100+L118+L136+L154+L172+L190+L208+L226+L244+L262+L280+L298+L316+L334+L352+L370+L388+L406+L424+L442+L460+L473+L486+L499+L512+L525+L538+L551+L564+L577+L590</f>
        <v>0</v>
      </c>
      <c r="M614" s="116"/>
      <c r="N614" s="117"/>
    </row>
    <row r="615" ht="13.5" customHeight="1">
      <c r="A615" s="38"/>
      <c r="B615" s="59"/>
      <c r="C615" s="118" t="s">
        <v>135</v>
      </c>
      <c r="D615" s="111"/>
      <c r="E615" s="119"/>
      <c r="F615" s="119"/>
      <c r="G615" s="119"/>
      <c r="H615" s="119"/>
      <c r="I615" s="119"/>
      <c r="J615" s="120"/>
      <c r="K615" s="59"/>
      <c r="L615" s="5"/>
      <c r="N615" s="59"/>
    </row>
    <row r="616" ht="13.5" customHeight="1">
      <c r="A616" s="38"/>
      <c r="B616" s="59"/>
      <c r="C616" s="121" t="s">
        <v>136</v>
      </c>
      <c r="D616" s="25"/>
      <c r="E616" s="122">
        <f t="shared" ref="E616:J616" si="149">E614-E615</f>
        <v>0</v>
      </c>
      <c r="F616" s="122">
        <f t="shared" si="149"/>
        <v>0</v>
      </c>
      <c r="G616" s="122">
        <f t="shared" si="149"/>
        <v>0</v>
      </c>
      <c r="H616" s="122">
        <f t="shared" si="149"/>
        <v>0</v>
      </c>
      <c r="I616" s="122">
        <f t="shared" si="149"/>
        <v>0</v>
      </c>
      <c r="J616" s="123">
        <f t="shared" si="149"/>
        <v>0</v>
      </c>
      <c r="K616" s="59"/>
      <c r="L616" s="5"/>
      <c r="N616" s="59"/>
    </row>
    <row r="617" ht="13.5" customHeight="1">
      <c r="A617" s="38"/>
      <c r="B617" s="59"/>
      <c r="C617" s="110" t="s">
        <v>137</v>
      </c>
      <c r="D617" s="111"/>
      <c r="E617" s="112">
        <f t="shared" ref="E617:J617" si="150">E26+E44+E62+E80+E98+E116+E134+E152+E170+E188+E206+E224+E242+E260+E278+E296+E314+E332+E350+E368+E386+E404+E422+E440+E458+E471+E484+E497+E510+E523+E536+E549+E562+E575+E588</f>
        <v>0</v>
      </c>
      <c r="F617" s="112">
        <f t="shared" si="150"/>
        <v>0</v>
      </c>
      <c r="G617" s="112">
        <f t="shared" si="150"/>
        <v>0</v>
      </c>
      <c r="H617" s="112">
        <f t="shared" si="150"/>
        <v>0</v>
      </c>
      <c r="I617" s="112">
        <f t="shared" si="150"/>
        <v>0</v>
      </c>
      <c r="J617" s="113">
        <f t="shared" si="150"/>
        <v>0</v>
      </c>
      <c r="K617" s="54"/>
      <c r="L617" s="111"/>
      <c r="N617" s="59"/>
    </row>
    <row r="618" ht="13.5" customHeight="1">
      <c r="A618" s="38"/>
      <c r="B618" s="59"/>
      <c r="C618" s="118" t="s">
        <v>135</v>
      </c>
      <c r="D618" s="111"/>
      <c r="E618" s="119"/>
      <c r="F618" s="119"/>
      <c r="G618" s="119"/>
      <c r="H618" s="119"/>
      <c r="I618" s="119"/>
      <c r="J618" s="120"/>
      <c r="K618" s="134" t="s">
        <v>135</v>
      </c>
      <c r="L618" s="135"/>
      <c r="N618" s="59"/>
    </row>
    <row r="619" ht="13.5" customHeight="1">
      <c r="A619" s="126"/>
      <c r="B619" s="33"/>
      <c r="C619" s="121" t="s">
        <v>136</v>
      </c>
      <c r="D619" s="25"/>
      <c r="E619" s="122">
        <f t="shared" ref="E619:J619" si="151">E617-E618</f>
        <v>0</v>
      </c>
      <c r="F619" s="122">
        <f t="shared" si="151"/>
        <v>0</v>
      </c>
      <c r="G619" s="122">
        <f t="shared" si="151"/>
        <v>0</v>
      </c>
      <c r="H619" s="122">
        <f t="shared" si="151"/>
        <v>0</v>
      </c>
      <c r="I619" s="122">
        <f t="shared" si="151"/>
        <v>0</v>
      </c>
      <c r="J619" s="123">
        <f t="shared" si="151"/>
        <v>0</v>
      </c>
      <c r="K619" s="136" t="s">
        <v>136</v>
      </c>
      <c r="L619" s="137">
        <f>L614-L618</f>
        <v>0</v>
      </c>
      <c r="M619" s="129"/>
      <c r="N619" s="54"/>
    </row>
    <row r="620" ht="13.5" customHeight="1">
      <c r="A620" s="138" t="s">
        <v>144</v>
      </c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5"/>
    </row>
    <row r="621" ht="13.5" customHeight="1">
      <c r="A621" s="139"/>
      <c r="B621" s="140"/>
      <c r="C621" s="140"/>
      <c r="D621" s="140"/>
      <c r="E621" s="141" t="s">
        <v>7</v>
      </c>
      <c r="F621" s="141" t="s">
        <v>145</v>
      </c>
      <c r="G621" s="141" t="s">
        <v>9</v>
      </c>
      <c r="H621" s="141" t="s">
        <v>10</v>
      </c>
      <c r="I621" s="141" t="s">
        <v>11</v>
      </c>
      <c r="J621" s="142" t="s">
        <v>146</v>
      </c>
      <c r="K621" s="140"/>
      <c r="L621" s="140"/>
      <c r="M621" s="140"/>
      <c r="N621" s="140"/>
    </row>
    <row r="622" ht="13.5" customHeight="1">
      <c r="A622" s="143">
        <v>1.0</v>
      </c>
      <c r="B622" s="144" t="s">
        <v>147</v>
      </c>
      <c r="C622" s="129"/>
      <c r="D622" s="111"/>
      <c r="E622" s="145">
        <f t="shared" ref="E622:J622" si="152">E13+E31+E49+E67+E85+E103+E121+E139+E157+E175+E193+E211+E229+E247+E265+E283+E301+E319+E337+E355+E373+E391+E409+E427+E445</f>
        <v>0</v>
      </c>
      <c r="F622" s="145">
        <f t="shared" si="152"/>
        <v>0</v>
      </c>
      <c r="G622" s="145">
        <f t="shared" si="152"/>
        <v>0</v>
      </c>
      <c r="H622" s="145">
        <f t="shared" si="152"/>
        <v>0</v>
      </c>
      <c r="I622" s="145">
        <f t="shared" si="152"/>
        <v>0</v>
      </c>
      <c r="J622" s="146">
        <f t="shared" si="152"/>
        <v>0</v>
      </c>
      <c r="K622" s="147"/>
      <c r="L622" s="2"/>
      <c r="M622" s="2"/>
      <c r="N622" s="3"/>
    </row>
    <row r="623" ht="13.5" customHeight="1">
      <c r="A623" s="68"/>
      <c r="B623" s="148" t="s">
        <v>148</v>
      </c>
      <c r="C623" s="129"/>
      <c r="D623" s="54"/>
      <c r="E623" s="149">
        <f t="shared" ref="E623:J623" si="153">E15+E33+E51+E69+E87+E105+E123+E141+E159+E177+E195+E213+E231+E249+E267+E285+E303+E321+E339+E357+E375+E393+E411+E429+E447+E463+E476+E489+E502+E515+E528+E541+E554+E567+E580</f>
        <v>0</v>
      </c>
      <c r="F623" s="149">
        <f t="shared" si="153"/>
        <v>0</v>
      </c>
      <c r="G623" s="149">
        <f t="shared" si="153"/>
        <v>0</v>
      </c>
      <c r="H623" s="149">
        <f t="shared" si="153"/>
        <v>0</v>
      </c>
      <c r="I623" s="149">
        <f t="shared" si="153"/>
        <v>0</v>
      </c>
      <c r="J623" s="150">
        <f t="shared" si="153"/>
        <v>0</v>
      </c>
      <c r="K623" s="38"/>
      <c r="N623" s="5"/>
    </row>
    <row r="624" ht="13.5" customHeight="1">
      <c r="A624" s="68"/>
      <c r="B624" s="148" t="s">
        <v>149</v>
      </c>
      <c r="C624" s="129"/>
      <c r="D624" s="54"/>
      <c r="E624" s="151">
        <f t="shared" ref="E624:J624" si="154">E16+E34+E52+E70+E88+E106+E124+E142+E160+E178+E196+E214+E232+E250+E268+E286+E304+E322+E340+E358+E376+E394+E412+E430+E448+E464+E477+E490+E503+E516+E529+E542+E555+E568+E581</f>
        <v>0</v>
      </c>
      <c r="F624" s="151">
        <f t="shared" si="154"/>
        <v>0</v>
      </c>
      <c r="G624" s="151">
        <f t="shared" si="154"/>
        <v>0</v>
      </c>
      <c r="H624" s="151">
        <f t="shared" si="154"/>
        <v>0</v>
      </c>
      <c r="I624" s="151">
        <f t="shared" si="154"/>
        <v>0</v>
      </c>
      <c r="J624" s="152">
        <f t="shared" si="154"/>
        <v>0</v>
      </c>
      <c r="K624" s="38"/>
      <c r="N624" s="5"/>
    </row>
    <row r="625" ht="13.5" customHeight="1">
      <c r="A625" s="68"/>
      <c r="B625" s="148" t="s">
        <v>150</v>
      </c>
      <c r="C625" s="129"/>
      <c r="D625" s="54"/>
      <c r="E625" s="153">
        <f t="shared" ref="E625:J625" si="155">E14+E32+E50+E68+E86+E104+E122+E140+E158+E176+E194+E212+E230+E248+E266+E284+E302+E320+E338+E356+E374+E392+E410+E428+E446+E462+E475+E488+E501+E514+E527+E540+E553+E566+E579</f>
        <v>0</v>
      </c>
      <c r="F625" s="153">
        <f t="shared" si="155"/>
        <v>0</v>
      </c>
      <c r="G625" s="153">
        <f t="shared" si="155"/>
        <v>0</v>
      </c>
      <c r="H625" s="153">
        <f t="shared" si="155"/>
        <v>0</v>
      </c>
      <c r="I625" s="153">
        <f t="shared" si="155"/>
        <v>0</v>
      </c>
      <c r="J625" s="154">
        <f t="shared" si="155"/>
        <v>0</v>
      </c>
      <c r="K625" s="38"/>
      <c r="N625" s="5"/>
    </row>
    <row r="626" ht="13.5" customHeight="1">
      <c r="A626" s="80"/>
      <c r="B626" s="155" t="s">
        <v>151</v>
      </c>
      <c r="C626" s="24"/>
      <c r="D626" s="33"/>
      <c r="E626" s="156">
        <f t="shared" ref="E626:J626" si="156">(E623+E624)</f>
        <v>0</v>
      </c>
      <c r="F626" s="156">
        <f t="shared" si="156"/>
        <v>0</v>
      </c>
      <c r="G626" s="156">
        <f t="shared" si="156"/>
        <v>0</v>
      </c>
      <c r="H626" s="156">
        <f t="shared" si="156"/>
        <v>0</v>
      </c>
      <c r="I626" s="156">
        <f t="shared" si="156"/>
        <v>0</v>
      </c>
      <c r="J626" s="157">
        <f t="shared" si="156"/>
        <v>0</v>
      </c>
      <c r="K626" s="126"/>
      <c r="L626" s="24"/>
      <c r="M626" s="24"/>
      <c r="N626" s="25"/>
    </row>
    <row r="627" ht="13.5" customHeight="1">
      <c r="A627" s="139"/>
      <c r="B627" s="140"/>
      <c r="C627" s="140"/>
      <c r="D627" s="140"/>
      <c r="E627" s="141" t="s">
        <v>7</v>
      </c>
      <c r="F627" s="141" t="s">
        <v>145</v>
      </c>
      <c r="G627" s="141" t="s">
        <v>9</v>
      </c>
      <c r="H627" s="141" t="s">
        <v>10</v>
      </c>
      <c r="I627" s="141" t="s">
        <v>11</v>
      </c>
      <c r="J627" s="142" t="s">
        <v>146</v>
      </c>
      <c r="K627" s="140"/>
      <c r="L627" s="140"/>
      <c r="M627" s="140"/>
      <c r="N627" s="140"/>
    </row>
    <row r="628" ht="13.5" customHeight="1">
      <c r="A628" s="143">
        <v>2.0</v>
      </c>
      <c r="B628" s="144" t="s">
        <v>147</v>
      </c>
      <c r="C628" s="129"/>
      <c r="D628" s="111"/>
      <c r="E628" s="145">
        <f t="shared" ref="E628:J628" si="157">E17+E35+E53+E71+E89+E107+E125+E143+E161+E179+E197+E215+E233+E251+E269+E287+E305+E323+E341+E359+E377+E395+E413+E431+E449</f>
        <v>0</v>
      </c>
      <c r="F628" s="145">
        <f t="shared" si="157"/>
        <v>0</v>
      </c>
      <c r="G628" s="145">
        <f t="shared" si="157"/>
        <v>0</v>
      </c>
      <c r="H628" s="145">
        <f t="shared" si="157"/>
        <v>0</v>
      </c>
      <c r="I628" s="145">
        <f t="shared" si="157"/>
        <v>0</v>
      </c>
      <c r="J628" s="146">
        <f t="shared" si="157"/>
        <v>0</v>
      </c>
      <c r="K628" s="147"/>
      <c r="L628" s="2"/>
      <c r="M628" s="2"/>
      <c r="N628" s="3"/>
    </row>
    <row r="629" ht="13.5" customHeight="1">
      <c r="A629" s="68"/>
      <c r="B629" s="148" t="s">
        <v>148</v>
      </c>
      <c r="C629" s="129"/>
      <c r="D629" s="54"/>
      <c r="E629" s="149">
        <f t="shared" ref="E629:J629" si="158">E19+E37+E55+E73+E91+E109+E127+E145+E163+E181+E199+E217+E235+E253+E271+E289+E307+E325+E343+E361+E379+E397+E415+E433+E451+E466+E479+E492+E505+E518+E531+E544+E557+E570+E583</f>
        <v>0</v>
      </c>
      <c r="F629" s="149">
        <f t="shared" si="158"/>
        <v>0</v>
      </c>
      <c r="G629" s="149">
        <f t="shared" si="158"/>
        <v>0</v>
      </c>
      <c r="H629" s="149">
        <f t="shared" si="158"/>
        <v>0</v>
      </c>
      <c r="I629" s="149">
        <f t="shared" si="158"/>
        <v>0</v>
      </c>
      <c r="J629" s="150">
        <f t="shared" si="158"/>
        <v>0</v>
      </c>
      <c r="K629" s="38"/>
      <c r="N629" s="5"/>
    </row>
    <row r="630" ht="13.5" customHeight="1">
      <c r="A630" s="68"/>
      <c r="B630" s="148" t="s">
        <v>149</v>
      </c>
      <c r="C630" s="129"/>
      <c r="D630" s="54"/>
      <c r="E630" s="151">
        <f t="shared" ref="E630:J630" si="159">E20+E38+E56+E74+E92+E110+E128+E146+E164+E182+E200+E218+E236+E254+E272+E290+E308+E326+E344+E362+E380+E398+E416+E434+E452+E467+E480+E493+E506+E519+E532+E545+E558+E571+E584</f>
        <v>0</v>
      </c>
      <c r="F630" s="151">
        <f t="shared" si="159"/>
        <v>0</v>
      </c>
      <c r="G630" s="151">
        <f t="shared" si="159"/>
        <v>0</v>
      </c>
      <c r="H630" s="151">
        <f t="shared" si="159"/>
        <v>0</v>
      </c>
      <c r="I630" s="151">
        <f t="shared" si="159"/>
        <v>0</v>
      </c>
      <c r="J630" s="152">
        <f t="shared" si="159"/>
        <v>0</v>
      </c>
      <c r="K630" s="38"/>
      <c r="N630" s="5"/>
    </row>
    <row r="631" ht="13.5" customHeight="1">
      <c r="A631" s="68"/>
      <c r="B631" s="148" t="s">
        <v>150</v>
      </c>
      <c r="C631" s="129"/>
      <c r="D631" s="54"/>
      <c r="E631" s="153">
        <f t="shared" ref="E631:J631" si="160">E18+E36+E54+E72+E90+E108+E126+E144+E162+E180+E198+E216+E234+E252+E270+E288+E306+E324+E342+E360+E378+E396+E414+E432+E450+E465+E478+E491+E504+E517+E530+E543+E556+E569+E582</f>
        <v>0</v>
      </c>
      <c r="F631" s="153">
        <f t="shared" si="160"/>
        <v>0</v>
      </c>
      <c r="G631" s="153">
        <f t="shared" si="160"/>
        <v>0</v>
      </c>
      <c r="H631" s="153">
        <f t="shared" si="160"/>
        <v>0</v>
      </c>
      <c r="I631" s="153">
        <f t="shared" si="160"/>
        <v>0</v>
      </c>
      <c r="J631" s="154">
        <f t="shared" si="160"/>
        <v>0</v>
      </c>
      <c r="K631" s="38"/>
      <c r="N631" s="5"/>
    </row>
    <row r="632" ht="13.5" customHeight="1">
      <c r="A632" s="80"/>
      <c r="B632" s="155" t="s">
        <v>151</v>
      </c>
      <c r="C632" s="24"/>
      <c r="D632" s="33"/>
      <c r="E632" s="156">
        <f t="shared" ref="E632:J632" si="161">(E629+E630)</f>
        <v>0</v>
      </c>
      <c r="F632" s="156">
        <f t="shared" si="161"/>
        <v>0</v>
      </c>
      <c r="G632" s="156">
        <f t="shared" si="161"/>
        <v>0</v>
      </c>
      <c r="H632" s="156">
        <f t="shared" si="161"/>
        <v>0</v>
      </c>
      <c r="I632" s="156">
        <f t="shared" si="161"/>
        <v>0</v>
      </c>
      <c r="J632" s="157">
        <f t="shared" si="161"/>
        <v>0</v>
      </c>
      <c r="K632" s="126"/>
      <c r="L632" s="24"/>
      <c r="M632" s="24"/>
      <c r="N632" s="25"/>
    </row>
    <row r="633" ht="13.5" customHeight="1">
      <c r="A633" s="139"/>
      <c r="B633" s="140"/>
      <c r="C633" s="140"/>
      <c r="D633" s="140"/>
      <c r="E633" s="141" t="s">
        <v>7</v>
      </c>
      <c r="F633" s="141" t="s">
        <v>145</v>
      </c>
      <c r="G633" s="141" t="s">
        <v>9</v>
      </c>
      <c r="H633" s="141" t="s">
        <v>10</v>
      </c>
      <c r="I633" s="141" t="s">
        <v>11</v>
      </c>
      <c r="J633" s="142" t="s">
        <v>146</v>
      </c>
      <c r="K633" s="140"/>
      <c r="L633" s="140"/>
      <c r="M633" s="140"/>
      <c r="N633" s="140"/>
    </row>
    <row r="634" ht="13.5" customHeight="1">
      <c r="A634" s="143">
        <v>3.0</v>
      </c>
      <c r="B634" s="144" t="s">
        <v>147</v>
      </c>
      <c r="C634" s="129"/>
      <c r="D634" s="111"/>
      <c r="E634" s="145">
        <f t="shared" ref="E634:J634" si="162">E21+E39+E57+E75+E93+E111+E129+E147+E165+E183+E201+E219+E237+E255+E273+E291+E309+E327+E345+E363+E381+E399+E417+E435+E453</f>
        <v>0</v>
      </c>
      <c r="F634" s="145">
        <f t="shared" si="162"/>
        <v>0</v>
      </c>
      <c r="G634" s="145">
        <f t="shared" si="162"/>
        <v>0</v>
      </c>
      <c r="H634" s="145">
        <f t="shared" si="162"/>
        <v>0</v>
      </c>
      <c r="I634" s="145">
        <f t="shared" si="162"/>
        <v>0</v>
      </c>
      <c r="J634" s="146">
        <f t="shared" si="162"/>
        <v>0</v>
      </c>
      <c r="K634" s="147"/>
      <c r="L634" s="2"/>
      <c r="M634" s="2"/>
      <c r="N634" s="3"/>
    </row>
    <row r="635" ht="13.5" customHeight="1">
      <c r="A635" s="68"/>
      <c r="B635" s="148" t="s">
        <v>148</v>
      </c>
      <c r="C635" s="129"/>
      <c r="D635" s="54"/>
      <c r="E635" s="158">
        <f t="shared" ref="E635:J635" si="163">E23+E41+E59+E77+E95+E113+E131+E149+E167+E185+E203+E221+E239+E257+E275+E293+E311+E329+E347+E365+E383+E401+E419+E437+E455+E469+E482+E495+E508+E521+E534+E547+E573+E586</f>
        <v>0</v>
      </c>
      <c r="F635" s="158">
        <f t="shared" si="163"/>
        <v>0</v>
      </c>
      <c r="G635" s="158">
        <f t="shared" si="163"/>
        <v>0</v>
      </c>
      <c r="H635" s="158">
        <f t="shared" si="163"/>
        <v>0</v>
      </c>
      <c r="I635" s="158">
        <f t="shared" si="163"/>
        <v>0</v>
      </c>
      <c r="J635" s="159">
        <f t="shared" si="163"/>
        <v>0</v>
      </c>
      <c r="K635" s="38"/>
      <c r="N635" s="5"/>
    </row>
    <row r="636" ht="13.5" customHeight="1">
      <c r="A636" s="68"/>
      <c r="B636" s="148" t="s">
        <v>149</v>
      </c>
      <c r="C636" s="129"/>
      <c r="D636" s="54"/>
      <c r="E636" s="160">
        <f t="shared" ref="E636:J636" si="164">E24+E42+E60+E78+E96+E114+E132+E150+E168+E186+E204+E222+E240+E258+E276+E294+E312+E330+E348+E366+E384+E402+E420+E438+E456+E470+E483+E496+E509+E522+E535+E548+E561+E574+E587</f>
        <v>0</v>
      </c>
      <c r="F636" s="160">
        <f t="shared" si="164"/>
        <v>0</v>
      </c>
      <c r="G636" s="160">
        <f t="shared" si="164"/>
        <v>0</v>
      </c>
      <c r="H636" s="160">
        <f t="shared" si="164"/>
        <v>0</v>
      </c>
      <c r="I636" s="160">
        <f t="shared" si="164"/>
        <v>0</v>
      </c>
      <c r="J636" s="161">
        <f t="shared" si="164"/>
        <v>0</v>
      </c>
      <c r="K636" s="38"/>
      <c r="N636" s="5"/>
    </row>
    <row r="637" ht="13.5" customHeight="1">
      <c r="A637" s="68"/>
      <c r="B637" s="148" t="s">
        <v>150</v>
      </c>
      <c r="C637" s="129"/>
      <c r="D637" s="54"/>
      <c r="E637" s="162">
        <f t="shared" ref="E637:J637" si="165">E22+E40+E58+E76+E94+E112+E130+E148+E166+E184+E202+E220+E238+E256+E274+E292+E310+E328+E346+E364+E382+E400+E418+E436+E454+E468+E481+E494+E507+E520+E533+E546+E559+E572+E585</f>
        <v>0</v>
      </c>
      <c r="F637" s="162">
        <f t="shared" si="165"/>
        <v>0</v>
      </c>
      <c r="G637" s="162">
        <f t="shared" si="165"/>
        <v>0</v>
      </c>
      <c r="H637" s="162">
        <f t="shared" si="165"/>
        <v>0</v>
      </c>
      <c r="I637" s="162">
        <f t="shared" si="165"/>
        <v>0</v>
      </c>
      <c r="J637" s="163">
        <f t="shared" si="165"/>
        <v>0</v>
      </c>
      <c r="K637" s="38"/>
      <c r="N637" s="5"/>
    </row>
    <row r="638" ht="13.5" customHeight="1">
      <c r="A638" s="80"/>
      <c r="B638" s="155" t="s">
        <v>151</v>
      </c>
      <c r="C638" s="24"/>
      <c r="D638" s="33"/>
      <c r="E638" s="164">
        <f t="shared" ref="E638:J638" si="166">(E635+E636)</f>
        <v>0</v>
      </c>
      <c r="F638" s="164">
        <f t="shared" si="166"/>
        <v>0</v>
      </c>
      <c r="G638" s="164">
        <f t="shared" si="166"/>
        <v>0</v>
      </c>
      <c r="H638" s="164">
        <f t="shared" si="166"/>
        <v>0</v>
      </c>
      <c r="I638" s="164">
        <f t="shared" si="166"/>
        <v>0</v>
      </c>
      <c r="J638" s="165">
        <f t="shared" si="166"/>
        <v>0</v>
      </c>
      <c r="K638" s="126"/>
      <c r="L638" s="24"/>
      <c r="M638" s="24"/>
      <c r="N638" s="25"/>
    </row>
    <row r="639" ht="13.5" customHeight="1">
      <c r="A639" s="139"/>
      <c r="B639" s="140"/>
      <c r="C639" s="140"/>
      <c r="D639" s="140"/>
      <c r="E639" s="141" t="s">
        <v>7</v>
      </c>
      <c r="F639" s="141" t="s">
        <v>145</v>
      </c>
      <c r="G639" s="141" t="s">
        <v>9</v>
      </c>
      <c r="H639" s="141" t="s">
        <v>10</v>
      </c>
      <c r="I639" s="141" t="s">
        <v>11</v>
      </c>
      <c r="J639" s="142" t="s">
        <v>146</v>
      </c>
      <c r="K639" s="140"/>
      <c r="L639" s="140"/>
      <c r="M639" s="140"/>
      <c r="N639" s="140"/>
    </row>
    <row r="640" ht="13.5" customHeight="1">
      <c r="A640" s="143">
        <v>4.0</v>
      </c>
      <c r="B640" s="144" t="s">
        <v>147</v>
      </c>
      <c r="C640" s="129"/>
      <c r="D640" s="111"/>
      <c r="E640" s="145">
        <f t="shared" ref="E640:J640" si="167">E25+E43+E61+E79+E97+E115+E133+E151+E169+E187+E205+E223+E241+E259+E277+E295+E313+E331+E349+E367+E385+E403+E421+E439+E457</f>
        <v>0</v>
      </c>
      <c r="F640" s="145">
        <f t="shared" si="167"/>
        <v>0</v>
      </c>
      <c r="G640" s="145">
        <f t="shared" si="167"/>
        <v>0</v>
      </c>
      <c r="H640" s="145">
        <f t="shared" si="167"/>
        <v>0</v>
      </c>
      <c r="I640" s="145">
        <f t="shared" si="167"/>
        <v>0</v>
      </c>
      <c r="J640" s="146">
        <f t="shared" si="167"/>
        <v>0</v>
      </c>
      <c r="K640" s="147"/>
      <c r="L640" s="2"/>
      <c r="M640" s="2"/>
      <c r="N640" s="3"/>
    </row>
    <row r="641" ht="13.5" customHeight="1">
      <c r="A641" s="68"/>
      <c r="B641" s="148" t="s">
        <v>148</v>
      </c>
      <c r="C641" s="129"/>
      <c r="D641" s="54"/>
      <c r="E641" s="149">
        <f t="shared" ref="E641:J641" si="168">E27+E45+E63+E81+E99+E117+E135+E153+E171+E189+E207+E225+E243+E261+E279+E297+E315+E333+E351+E369+E387+E405+E423+E441+E459+E472+E485+E498+E511+E524+E537+E550+E563+E576+E589</f>
        <v>0</v>
      </c>
      <c r="F641" s="149">
        <f t="shared" si="168"/>
        <v>0</v>
      </c>
      <c r="G641" s="149">
        <f t="shared" si="168"/>
        <v>0</v>
      </c>
      <c r="H641" s="149">
        <f t="shared" si="168"/>
        <v>0</v>
      </c>
      <c r="I641" s="149">
        <f t="shared" si="168"/>
        <v>0</v>
      </c>
      <c r="J641" s="150">
        <f t="shared" si="168"/>
        <v>0</v>
      </c>
      <c r="K641" s="38"/>
      <c r="N641" s="5"/>
    </row>
    <row r="642" ht="13.5" customHeight="1">
      <c r="A642" s="68"/>
      <c r="B642" s="148" t="s">
        <v>149</v>
      </c>
      <c r="C642" s="129"/>
      <c r="D642" s="54"/>
      <c r="E642" s="151">
        <f t="shared" ref="E642:J642" si="169">E28+E46+E64+E82+E100+E118+E136+E154+E172+E190+E208+E226+E244+E262+E280+E298+E316+E334+E352+E370+E388+E406+E424+E442+E460+E473+E486+E499+E512+E525+E538+E551+E564+E577+E590</f>
        <v>0</v>
      </c>
      <c r="F642" s="151">
        <f t="shared" si="169"/>
        <v>0</v>
      </c>
      <c r="G642" s="151">
        <f t="shared" si="169"/>
        <v>0</v>
      </c>
      <c r="H642" s="151">
        <f t="shared" si="169"/>
        <v>0</v>
      </c>
      <c r="I642" s="151">
        <f t="shared" si="169"/>
        <v>0</v>
      </c>
      <c r="J642" s="152">
        <f t="shared" si="169"/>
        <v>0</v>
      </c>
      <c r="K642" s="38"/>
      <c r="N642" s="5"/>
    </row>
    <row r="643" ht="13.5" customHeight="1">
      <c r="A643" s="68"/>
      <c r="B643" s="148" t="s">
        <v>150</v>
      </c>
      <c r="C643" s="129"/>
      <c r="D643" s="54"/>
      <c r="E643" s="153">
        <f t="shared" ref="E643:J643" si="170">E26+E44+E62+E80+E98+E116+E134+E152+E170+E188+E206+E224+E242+E260+E278+E296+E314+E332+E350+E368+E386+E404+E422+E440+E458+E471+E484+E497+E510+E523+E536+E549+E562+E575+E588</f>
        <v>0</v>
      </c>
      <c r="F643" s="153">
        <f t="shared" si="170"/>
        <v>0</v>
      </c>
      <c r="G643" s="153">
        <f t="shared" si="170"/>
        <v>0</v>
      </c>
      <c r="H643" s="153">
        <f t="shared" si="170"/>
        <v>0</v>
      </c>
      <c r="I643" s="153">
        <f t="shared" si="170"/>
        <v>0</v>
      </c>
      <c r="J643" s="154">
        <f t="shared" si="170"/>
        <v>0</v>
      </c>
      <c r="K643" s="38"/>
      <c r="N643" s="5"/>
    </row>
    <row r="644" ht="13.5" customHeight="1">
      <c r="A644" s="80"/>
      <c r="B644" s="155" t="s">
        <v>151</v>
      </c>
      <c r="C644" s="24"/>
      <c r="D644" s="33"/>
      <c r="E644" s="156">
        <f t="shared" ref="E644:J644" si="171">(E641+E642)</f>
        <v>0</v>
      </c>
      <c r="F644" s="156">
        <f t="shared" si="171"/>
        <v>0</v>
      </c>
      <c r="G644" s="156">
        <f t="shared" si="171"/>
        <v>0</v>
      </c>
      <c r="H644" s="156">
        <f t="shared" si="171"/>
        <v>0</v>
      </c>
      <c r="I644" s="156">
        <f t="shared" si="171"/>
        <v>0</v>
      </c>
      <c r="J644" s="157">
        <f t="shared" si="171"/>
        <v>0</v>
      </c>
      <c r="K644" s="126"/>
      <c r="L644" s="24"/>
      <c r="M644" s="24"/>
      <c r="N644" s="25"/>
    </row>
    <row r="645" ht="13.5" customHeight="1">
      <c r="A645" s="166" t="s">
        <v>152</v>
      </c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5"/>
    </row>
    <row r="646" ht="13.5" customHeight="1">
      <c r="A646" s="139"/>
      <c r="B646" s="140"/>
      <c r="C646" s="140"/>
      <c r="D646" s="140"/>
      <c r="E646" s="141" t="s">
        <v>7</v>
      </c>
      <c r="F646" s="141" t="s">
        <v>145</v>
      </c>
      <c r="G646" s="141" t="s">
        <v>9</v>
      </c>
      <c r="H646" s="141" t="s">
        <v>10</v>
      </c>
      <c r="I646" s="141" t="s">
        <v>11</v>
      </c>
      <c r="J646" s="142" t="s">
        <v>146</v>
      </c>
      <c r="K646" s="140"/>
      <c r="L646" s="140"/>
      <c r="M646" s="140"/>
      <c r="N646" s="140"/>
    </row>
    <row r="647" ht="13.5" customHeight="1">
      <c r="A647" s="167" t="s">
        <v>2</v>
      </c>
      <c r="B647" s="144" t="s">
        <v>147</v>
      </c>
      <c r="C647" s="129"/>
      <c r="D647" s="111"/>
      <c r="E647" s="145">
        <f t="shared" ref="E647:J647" si="172">E622+E628+E634+E640</f>
        <v>0</v>
      </c>
      <c r="F647" s="145">
        <f t="shared" si="172"/>
        <v>0</v>
      </c>
      <c r="G647" s="145">
        <f t="shared" si="172"/>
        <v>0</v>
      </c>
      <c r="H647" s="145">
        <f t="shared" si="172"/>
        <v>0</v>
      </c>
      <c r="I647" s="145">
        <f t="shared" si="172"/>
        <v>0</v>
      </c>
      <c r="J647" s="146">
        <f t="shared" si="172"/>
        <v>0</v>
      </c>
      <c r="K647" s="147"/>
      <c r="L647" s="2"/>
      <c r="M647" s="2"/>
      <c r="N647" s="3"/>
    </row>
    <row r="648" ht="13.5" customHeight="1">
      <c r="A648" s="68"/>
      <c r="B648" s="148" t="s">
        <v>148</v>
      </c>
      <c r="C648" s="129"/>
      <c r="D648" s="54"/>
      <c r="E648" s="149">
        <f t="shared" ref="E648:J648" si="173">E623+E629+E635+E641</f>
        <v>0</v>
      </c>
      <c r="F648" s="149">
        <f t="shared" si="173"/>
        <v>0</v>
      </c>
      <c r="G648" s="149">
        <f t="shared" si="173"/>
        <v>0</v>
      </c>
      <c r="H648" s="149">
        <f t="shared" si="173"/>
        <v>0</v>
      </c>
      <c r="I648" s="149">
        <f t="shared" si="173"/>
        <v>0</v>
      </c>
      <c r="J648" s="150">
        <f t="shared" si="173"/>
        <v>0</v>
      </c>
      <c r="K648" s="38"/>
      <c r="N648" s="5"/>
    </row>
    <row r="649" ht="13.5" customHeight="1">
      <c r="A649" s="68"/>
      <c r="B649" s="148" t="s">
        <v>149</v>
      </c>
      <c r="C649" s="129"/>
      <c r="D649" s="54"/>
      <c r="E649" s="151">
        <f t="shared" ref="E649:J649" si="174">E624+E630+E636+E642</f>
        <v>0</v>
      </c>
      <c r="F649" s="151">
        <f t="shared" si="174"/>
        <v>0</v>
      </c>
      <c r="G649" s="151">
        <f t="shared" si="174"/>
        <v>0</v>
      </c>
      <c r="H649" s="151">
        <f t="shared" si="174"/>
        <v>0</v>
      </c>
      <c r="I649" s="151">
        <f t="shared" si="174"/>
        <v>0</v>
      </c>
      <c r="J649" s="152">
        <f t="shared" si="174"/>
        <v>0</v>
      </c>
      <c r="K649" s="38"/>
      <c r="N649" s="5"/>
    </row>
    <row r="650" ht="13.5" customHeight="1">
      <c r="A650" s="68"/>
      <c r="B650" s="148" t="s">
        <v>153</v>
      </c>
      <c r="C650" s="129"/>
      <c r="D650" s="54"/>
      <c r="E650" s="153">
        <f t="shared" ref="E650:J650" si="175">E625+E631+E637+E643</f>
        <v>0</v>
      </c>
      <c r="F650" s="153">
        <f t="shared" si="175"/>
        <v>0</v>
      </c>
      <c r="G650" s="153">
        <f t="shared" si="175"/>
        <v>0</v>
      </c>
      <c r="H650" s="153">
        <f t="shared" si="175"/>
        <v>0</v>
      </c>
      <c r="I650" s="153">
        <f t="shared" si="175"/>
        <v>0</v>
      </c>
      <c r="J650" s="154">
        <f t="shared" si="175"/>
        <v>0</v>
      </c>
      <c r="K650" s="38"/>
      <c r="N650" s="5"/>
    </row>
    <row r="651" ht="13.5" customHeight="1">
      <c r="A651" s="80"/>
      <c r="B651" s="155" t="s">
        <v>151</v>
      </c>
      <c r="C651" s="24"/>
      <c r="D651" s="25"/>
      <c r="E651" s="156">
        <f t="shared" ref="E651:J651" si="176">(E648+E649)-E650</f>
        <v>0</v>
      </c>
      <c r="F651" s="156">
        <f t="shared" si="176"/>
        <v>0</v>
      </c>
      <c r="G651" s="156">
        <f t="shared" si="176"/>
        <v>0</v>
      </c>
      <c r="H651" s="156">
        <f t="shared" si="176"/>
        <v>0</v>
      </c>
      <c r="I651" s="156">
        <f t="shared" si="176"/>
        <v>0</v>
      </c>
      <c r="J651" s="157">
        <f t="shared" si="176"/>
        <v>0</v>
      </c>
      <c r="K651" s="126"/>
      <c r="L651" s="24"/>
      <c r="M651" s="24"/>
      <c r="N651" s="25"/>
    </row>
  </sheetData>
  <mergeCells count="1188">
    <mergeCell ref="B327:B328"/>
    <mergeCell ref="B331:B332"/>
    <mergeCell ref="C331:D331"/>
    <mergeCell ref="A332:A334"/>
    <mergeCell ref="C332:D332"/>
    <mergeCell ref="C333:D333"/>
    <mergeCell ref="C334:D334"/>
    <mergeCell ref="B335:D335"/>
    <mergeCell ref="C336:D336"/>
    <mergeCell ref="C337:D337"/>
    <mergeCell ref="C338:D338"/>
    <mergeCell ref="A339:A340"/>
    <mergeCell ref="C339:D339"/>
    <mergeCell ref="C340:D340"/>
    <mergeCell ref="C398:D398"/>
    <mergeCell ref="C399:D399"/>
    <mergeCell ref="B391:B392"/>
    <mergeCell ref="B395:B396"/>
    <mergeCell ref="C395:D395"/>
    <mergeCell ref="C396:D396"/>
    <mergeCell ref="C397:D397"/>
    <mergeCell ref="B399:B400"/>
    <mergeCell ref="C400:D400"/>
    <mergeCell ref="C404:D404"/>
    <mergeCell ref="C405:D405"/>
    <mergeCell ref="A396:A397"/>
    <mergeCell ref="A401:A402"/>
    <mergeCell ref="C401:D401"/>
    <mergeCell ref="C402:D402"/>
    <mergeCell ref="B403:B404"/>
    <mergeCell ref="C403:D403"/>
    <mergeCell ref="A404:A406"/>
    <mergeCell ref="C411:D411"/>
    <mergeCell ref="C412:D412"/>
    <mergeCell ref="C406:D406"/>
    <mergeCell ref="B407:D407"/>
    <mergeCell ref="C408:D408"/>
    <mergeCell ref="B409:B410"/>
    <mergeCell ref="C409:D409"/>
    <mergeCell ref="C410:D410"/>
    <mergeCell ref="A411:A412"/>
    <mergeCell ref="C417:D417"/>
    <mergeCell ref="C418:D418"/>
    <mergeCell ref="B413:B414"/>
    <mergeCell ref="C413:D413"/>
    <mergeCell ref="A414:A415"/>
    <mergeCell ref="C414:D414"/>
    <mergeCell ref="C415:D415"/>
    <mergeCell ref="C416:D416"/>
    <mergeCell ref="B417:B418"/>
    <mergeCell ref="C423:D423"/>
    <mergeCell ref="C424:D424"/>
    <mergeCell ref="A419:A420"/>
    <mergeCell ref="C419:D419"/>
    <mergeCell ref="C420:D420"/>
    <mergeCell ref="B421:B422"/>
    <mergeCell ref="C421:D421"/>
    <mergeCell ref="A422:A424"/>
    <mergeCell ref="C422:D422"/>
    <mergeCell ref="B427:B428"/>
    <mergeCell ref="B431:B432"/>
    <mergeCell ref="B425:D425"/>
    <mergeCell ref="C426:D426"/>
    <mergeCell ref="C427:D427"/>
    <mergeCell ref="C428:D428"/>
    <mergeCell ref="C429:D429"/>
    <mergeCell ref="C430:D430"/>
    <mergeCell ref="C431:D431"/>
    <mergeCell ref="B381:B382"/>
    <mergeCell ref="B385:B386"/>
    <mergeCell ref="C385:D385"/>
    <mergeCell ref="A386:A388"/>
    <mergeCell ref="C386:D386"/>
    <mergeCell ref="C387:D387"/>
    <mergeCell ref="C388:D388"/>
    <mergeCell ref="B389:D389"/>
    <mergeCell ref="C390:D390"/>
    <mergeCell ref="C391:D391"/>
    <mergeCell ref="C392:D392"/>
    <mergeCell ref="A393:A394"/>
    <mergeCell ref="C393:D393"/>
    <mergeCell ref="C394:D394"/>
    <mergeCell ref="A432:A433"/>
    <mergeCell ref="A437:A438"/>
    <mergeCell ref="A429:A430"/>
    <mergeCell ref="C432:D432"/>
    <mergeCell ref="C433:D433"/>
    <mergeCell ref="C434:D434"/>
    <mergeCell ref="B435:B436"/>
    <mergeCell ref="C435:D435"/>
    <mergeCell ref="C436:D436"/>
    <mergeCell ref="C195:D195"/>
    <mergeCell ref="C196:D196"/>
    <mergeCell ref="C190:D190"/>
    <mergeCell ref="B191:D191"/>
    <mergeCell ref="C192:D192"/>
    <mergeCell ref="B193:B194"/>
    <mergeCell ref="C193:D193"/>
    <mergeCell ref="C194:D194"/>
    <mergeCell ref="A195:A196"/>
    <mergeCell ref="C201:D201"/>
    <mergeCell ref="C202:D202"/>
    <mergeCell ref="B197:B198"/>
    <mergeCell ref="C197:D197"/>
    <mergeCell ref="A198:A199"/>
    <mergeCell ref="C198:D198"/>
    <mergeCell ref="C199:D199"/>
    <mergeCell ref="C200:D200"/>
    <mergeCell ref="B201:B202"/>
    <mergeCell ref="C207:D207"/>
    <mergeCell ref="C208:D208"/>
    <mergeCell ref="A203:A204"/>
    <mergeCell ref="C203:D203"/>
    <mergeCell ref="C204:D204"/>
    <mergeCell ref="B205:B206"/>
    <mergeCell ref="C205:D205"/>
    <mergeCell ref="A206:A208"/>
    <mergeCell ref="C206:D206"/>
    <mergeCell ref="C437:D437"/>
    <mergeCell ref="C438:D438"/>
    <mergeCell ref="B439:B440"/>
    <mergeCell ref="C439:D439"/>
    <mergeCell ref="A440:A442"/>
    <mergeCell ref="C440:D440"/>
    <mergeCell ref="C441:D441"/>
    <mergeCell ref="C459:D459"/>
    <mergeCell ref="C460:D460"/>
    <mergeCell ref="A455:A456"/>
    <mergeCell ref="C455:D455"/>
    <mergeCell ref="C456:D456"/>
    <mergeCell ref="C457:D457"/>
    <mergeCell ref="C458:D458"/>
    <mergeCell ref="B461:D461"/>
    <mergeCell ref="C462:D462"/>
    <mergeCell ref="C477:D477"/>
    <mergeCell ref="C478:D478"/>
    <mergeCell ref="C470:D470"/>
    <mergeCell ref="C471:D471"/>
    <mergeCell ref="C472:D472"/>
    <mergeCell ref="C473:D473"/>
    <mergeCell ref="B474:D474"/>
    <mergeCell ref="C475:D475"/>
    <mergeCell ref="C476:D476"/>
    <mergeCell ref="B481:B482"/>
    <mergeCell ref="B484:B485"/>
    <mergeCell ref="B488:B489"/>
    <mergeCell ref="B491:B492"/>
    <mergeCell ref="B494:B495"/>
    <mergeCell ref="B457:B458"/>
    <mergeCell ref="B462:B463"/>
    <mergeCell ref="B465:B466"/>
    <mergeCell ref="B468:B469"/>
    <mergeCell ref="B471:B472"/>
    <mergeCell ref="B475:B476"/>
    <mergeCell ref="B478:B479"/>
    <mergeCell ref="C486:D486"/>
    <mergeCell ref="B487:D487"/>
    <mergeCell ref="C488:D488"/>
    <mergeCell ref="C479:D479"/>
    <mergeCell ref="C480:D480"/>
    <mergeCell ref="C481:D481"/>
    <mergeCell ref="C482:D482"/>
    <mergeCell ref="C483:D483"/>
    <mergeCell ref="C484:D484"/>
    <mergeCell ref="C485:D485"/>
    <mergeCell ref="C492:D492"/>
    <mergeCell ref="C493:D493"/>
    <mergeCell ref="C494:D494"/>
    <mergeCell ref="A482:A483"/>
    <mergeCell ref="A485:A486"/>
    <mergeCell ref="A489:A490"/>
    <mergeCell ref="C489:D489"/>
    <mergeCell ref="C490:D490"/>
    <mergeCell ref="C491:D491"/>
    <mergeCell ref="A492:A493"/>
    <mergeCell ref="C447:D447"/>
    <mergeCell ref="C448:D448"/>
    <mergeCell ref="C442:D442"/>
    <mergeCell ref="B443:D443"/>
    <mergeCell ref="C444:D444"/>
    <mergeCell ref="B445:B446"/>
    <mergeCell ref="C445:D445"/>
    <mergeCell ref="C446:D446"/>
    <mergeCell ref="A447:A448"/>
    <mergeCell ref="C453:D453"/>
    <mergeCell ref="C454:D454"/>
    <mergeCell ref="B449:B450"/>
    <mergeCell ref="C449:D449"/>
    <mergeCell ref="A450:A451"/>
    <mergeCell ref="C450:D450"/>
    <mergeCell ref="C451:D451"/>
    <mergeCell ref="C452:D452"/>
    <mergeCell ref="B453:B454"/>
    <mergeCell ref="C463:D463"/>
    <mergeCell ref="C464:D464"/>
    <mergeCell ref="C465:D465"/>
    <mergeCell ref="C466:D466"/>
    <mergeCell ref="C467:D467"/>
    <mergeCell ref="C468:D468"/>
    <mergeCell ref="C469:D469"/>
    <mergeCell ref="A458:A460"/>
    <mergeCell ref="A463:A464"/>
    <mergeCell ref="A466:A467"/>
    <mergeCell ref="A469:A470"/>
    <mergeCell ref="A472:A473"/>
    <mergeCell ref="A476:A477"/>
    <mergeCell ref="A479:A480"/>
    <mergeCell ref="A495:A496"/>
    <mergeCell ref="C495:D495"/>
    <mergeCell ref="C496:D496"/>
    <mergeCell ref="B497:B498"/>
    <mergeCell ref="C497:D497"/>
    <mergeCell ref="A498:A499"/>
    <mergeCell ref="C498:D498"/>
    <mergeCell ref="C522:D522"/>
    <mergeCell ref="C523:D523"/>
    <mergeCell ref="C515:D515"/>
    <mergeCell ref="C516:D516"/>
    <mergeCell ref="C517:D517"/>
    <mergeCell ref="C518:D518"/>
    <mergeCell ref="C519:D519"/>
    <mergeCell ref="C520:D520"/>
    <mergeCell ref="C521:D521"/>
    <mergeCell ref="C503:D503"/>
    <mergeCell ref="C504:D504"/>
    <mergeCell ref="B504:B505"/>
    <mergeCell ref="C505:D505"/>
    <mergeCell ref="C499:D499"/>
    <mergeCell ref="B500:D500"/>
    <mergeCell ref="B501:B502"/>
    <mergeCell ref="C501:D501"/>
    <mergeCell ref="A502:A503"/>
    <mergeCell ref="C502:D502"/>
    <mergeCell ref="C506:D506"/>
    <mergeCell ref="B513:D513"/>
    <mergeCell ref="C514:D514"/>
    <mergeCell ref="C507:D507"/>
    <mergeCell ref="C508:D508"/>
    <mergeCell ref="C509:D509"/>
    <mergeCell ref="C510:D510"/>
    <mergeCell ref="C511:D511"/>
    <mergeCell ref="C512:D512"/>
    <mergeCell ref="B514:B515"/>
    <mergeCell ref="B517:B518"/>
    <mergeCell ref="B520:B521"/>
    <mergeCell ref="B523:B524"/>
    <mergeCell ref="B527:B528"/>
    <mergeCell ref="A505:A506"/>
    <mergeCell ref="B507:B508"/>
    <mergeCell ref="A508:A509"/>
    <mergeCell ref="B510:B511"/>
    <mergeCell ref="A511:A512"/>
    <mergeCell ref="A515:A516"/>
    <mergeCell ref="A518:A519"/>
    <mergeCell ref="C549:D549"/>
    <mergeCell ref="C550:D550"/>
    <mergeCell ref="C542:D542"/>
    <mergeCell ref="C543:D543"/>
    <mergeCell ref="C544:D544"/>
    <mergeCell ref="C545:D545"/>
    <mergeCell ref="C546:D546"/>
    <mergeCell ref="C547:D547"/>
    <mergeCell ref="C548:D548"/>
    <mergeCell ref="C556:D556"/>
    <mergeCell ref="C557:D557"/>
    <mergeCell ref="B546:B547"/>
    <mergeCell ref="B549:B550"/>
    <mergeCell ref="C551:D551"/>
    <mergeCell ref="B552:D552"/>
    <mergeCell ref="C553:D553"/>
    <mergeCell ref="C554:D554"/>
    <mergeCell ref="C555:D555"/>
    <mergeCell ref="B562:B563"/>
    <mergeCell ref="B566:B567"/>
    <mergeCell ref="C560:D560"/>
    <mergeCell ref="C561:D561"/>
    <mergeCell ref="C562:D562"/>
    <mergeCell ref="C563:D563"/>
    <mergeCell ref="C564:D564"/>
    <mergeCell ref="B565:D565"/>
    <mergeCell ref="C566:D566"/>
    <mergeCell ref="A583:A584"/>
    <mergeCell ref="B585:B586"/>
    <mergeCell ref="A586:A587"/>
    <mergeCell ref="B588:B589"/>
    <mergeCell ref="A589:A590"/>
    <mergeCell ref="A592:B592"/>
    <mergeCell ref="A593:B598"/>
    <mergeCell ref="A599:B599"/>
    <mergeCell ref="A600:B605"/>
    <mergeCell ref="A606:B606"/>
    <mergeCell ref="A607:B612"/>
    <mergeCell ref="A613:B613"/>
    <mergeCell ref="A614:B619"/>
    <mergeCell ref="A622:A626"/>
    <mergeCell ref="B582:B583"/>
    <mergeCell ref="C583:D583"/>
    <mergeCell ref="C577:D577"/>
    <mergeCell ref="B578:D578"/>
    <mergeCell ref="B579:B580"/>
    <mergeCell ref="C579:D579"/>
    <mergeCell ref="A580:A581"/>
    <mergeCell ref="C580:D580"/>
    <mergeCell ref="C584:D584"/>
    <mergeCell ref="C585:D585"/>
    <mergeCell ref="C586:D586"/>
    <mergeCell ref="C587:D587"/>
    <mergeCell ref="C588:D588"/>
    <mergeCell ref="C589:D589"/>
    <mergeCell ref="C590:D590"/>
    <mergeCell ref="C593:D593"/>
    <mergeCell ref="C594:D594"/>
    <mergeCell ref="C595:D595"/>
    <mergeCell ref="C596:D596"/>
    <mergeCell ref="C597:D597"/>
    <mergeCell ref="C598:D598"/>
    <mergeCell ref="C600:D600"/>
    <mergeCell ref="C601:D601"/>
    <mergeCell ref="C602:D602"/>
    <mergeCell ref="C603:D603"/>
    <mergeCell ref="C604:D604"/>
    <mergeCell ref="C605:D605"/>
    <mergeCell ref="C607:D607"/>
    <mergeCell ref="C608:D608"/>
    <mergeCell ref="C609:D609"/>
    <mergeCell ref="A634:A638"/>
    <mergeCell ref="A640:A644"/>
    <mergeCell ref="A647:A651"/>
    <mergeCell ref="A628:A632"/>
    <mergeCell ref="B632:D632"/>
    <mergeCell ref="B634:D634"/>
    <mergeCell ref="B635:D635"/>
    <mergeCell ref="B636:D636"/>
    <mergeCell ref="B637:D637"/>
    <mergeCell ref="B638:D638"/>
    <mergeCell ref="B651:D651"/>
    <mergeCell ref="A557:A558"/>
    <mergeCell ref="A560:A561"/>
    <mergeCell ref="A550:A551"/>
    <mergeCell ref="B553:B554"/>
    <mergeCell ref="A554:A555"/>
    <mergeCell ref="B556:B557"/>
    <mergeCell ref="C558:D558"/>
    <mergeCell ref="B559:B560"/>
    <mergeCell ref="C559:D559"/>
    <mergeCell ref="C570:D570"/>
    <mergeCell ref="C571:D571"/>
    <mergeCell ref="A563:A564"/>
    <mergeCell ref="A567:A568"/>
    <mergeCell ref="C567:D567"/>
    <mergeCell ref="C568:D568"/>
    <mergeCell ref="B569:B570"/>
    <mergeCell ref="C569:D569"/>
    <mergeCell ref="A570:A571"/>
    <mergeCell ref="C575:D575"/>
    <mergeCell ref="C576:D576"/>
    <mergeCell ref="B572:B573"/>
    <mergeCell ref="C572:D572"/>
    <mergeCell ref="A573:A574"/>
    <mergeCell ref="C573:D573"/>
    <mergeCell ref="C574:D574"/>
    <mergeCell ref="B575:B576"/>
    <mergeCell ref="A576:A577"/>
    <mergeCell ref="C528:D528"/>
    <mergeCell ref="C529:D529"/>
    <mergeCell ref="A521:A522"/>
    <mergeCell ref="A524:A525"/>
    <mergeCell ref="C524:D524"/>
    <mergeCell ref="C525:D525"/>
    <mergeCell ref="B526:D526"/>
    <mergeCell ref="C527:D527"/>
    <mergeCell ref="A528:A529"/>
    <mergeCell ref="C533:D533"/>
    <mergeCell ref="C534:D534"/>
    <mergeCell ref="B530:B531"/>
    <mergeCell ref="C530:D530"/>
    <mergeCell ref="A531:A532"/>
    <mergeCell ref="C531:D531"/>
    <mergeCell ref="C532:D532"/>
    <mergeCell ref="A534:A535"/>
    <mergeCell ref="C535:D535"/>
    <mergeCell ref="C536:D536"/>
    <mergeCell ref="C537:D537"/>
    <mergeCell ref="C538:D538"/>
    <mergeCell ref="B539:D539"/>
    <mergeCell ref="B540:B541"/>
    <mergeCell ref="C540:D540"/>
    <mergeCell ref="C541:D541"/>
    <mergeCell ref="B533:B534"/>
    <mergeCell ref="B536:B537"/>
    <mergeCell ref="A537:A538"/>
    <mergeCell ref="A541:A542"/>
    <mergeCell ref="B543:B544"/>
    <mergeCell ref="A544:A545"/>
    <mergeCell ref="A547:A548"/>
    <mergeCell ref="C581:D581"/>
    <mergeCell ref="C582:D582"/>
    <mergeCell ref="C618:D618"/>
    <mergeCell ref="C619:D619"/>
    <mergeCell ref="C610:D610"/>
    <mergeCell ref="C611:D611"/>
    <mergeCell ref="C612:D612"/>
    <mergeCell ref="C614:D614"/>
    <mergeCell ref="C615:D615"/>
    <mergeCell ref="C616:D616"/>
    <mergeCell ref="C617:D617"/>
    <mergeCell ref="B630:D630"/>
    <mergeCell ref="B631:D631"/>
    <mergeCell ref="B622:D622"/>
    <mergeCell ref="B623:D623"/>
    <mergeCell ref="B624:D624"/>
    <mergeCell ref="B625:D625"/>
    <mergeCell ref="B626:D626"/>
    <mergeCell ref="B628:D628"/>
    <mergeCell ref="B629:D629"/>
    <mergeCell ref="B649:D649"/>
    <mergeCell ref="B650:D650"/>
    <mergeCell ref="B640:D640"/>
    <mergeCell ref="B641:D641"/>
    <mergeCell ref="B642:D642"/>
    <mergeCell ref="B643:D643"/>
    <mergeCell ref="B644:D644"/>
    <mergeCell ref="B647:D647"/>
    <mergeCell ref="B648:D648"/>
    <mergeCell ref="A5:D5"/>
    <mergeCell ref="A6:D6"/>
    <mergeCell ref="A7:B7"/>
    <mergeCell ref="C7:D7"/>
    <mergeCell ref="D3:E3"/>
    <mergeCell ref="A8:B8"/>
    <mergeCell ref="C8:D8"/>
    <mergeCell ref="A9:B9"/>
    <mergeCell ref="C9:D9"/>
    <mergeCell ref="A1:N1"/>
    <mergeCell ref="A2:N2"/>
    <mergeCell ref="F3:J3"/>
    <mergeCell ref="L3:N3"/>
    <mergeCell ref="A4:N4"/>
    <mergeCell ref="K5:N6"/>
    <mergeCell ref="K7:N10"/>
    <mergeCell ref="B13:B14"/>
    <mergeCell ref="B17:B18"/>
    <mergeCell ref="C18:D18"/>
    <mergeCell ref="C19:D19"/>
    <mergeCell ref="A15:A16"/>
    <mergeCell ref="A18:A19"/>
    <mergeCell ref="K39:L39"/>
    <mergeCell ref="K43:L43"/>
    <mergeCell ref="A10:B10"/>
    <mergeCell ref="C10:D10"/>
    <mergeCell ref="B11:D11"/>
    <mergeCell ref="C12:D12"/>
    <mergeCell ref="C13:D13"/>
    <mergeCell ref="C16:D16"/>
    <mergeCell ref="C17:D17"/>
    <mergeCell ref="C23:D23"/>
    <mergeCell ref="C24:D24"/>
    <mergeCell ref="C14:D14"/>
    <mergeCell ref="C15:D15"/>
    <mergeCell ref="C20:D20"/>
    <mergeCell ref="B21:B22"/>
    <mergeCell ref="C21:D21"/>
    <mergeCell ref="C22:D22"/>
    <mergeCell ref="A23:A24"/>
    <mergeCell ref="B25:B26"/>
    <mergeCell ref="B31:B32"/>
    <mergeCell ref="B35:B36"/>
    <mergeCell ref="B39:B40"/>
    <mergeCell ref="B43:B44"/>
    <mergeCell ref="C25:D25"/>
    <mergeCell ref="A26:A28"/>
    <mergeCell ref="C26:D26"/>
    <mergeCell ref="C27:D27"/>
    <mergeCell ref="C28:D28"/>
    <mergeCell ref="B29:D29"/>
    <mergeCell ref="C30:D30"/>
    <mergeCell ref="C31:D31"/>
    <mergeCell ref="C32:D32"/>
    <mergeCell ref="A33:A34"/>
    <mergeCell ref="C33:D33"/>
    <mergeCell ref="C34:D34"/>
    <mergeCell ref="C35:D35"/>
    <mergeCell ref="A36:A37"/>
    <mergeCell ref="C42:D42"/>
    <mergeCell ref="C43:D43"/>
    <mergeCell ref="C41:D41"/>
    <mergeCell ref="C44:D44"/>
    <mergeCell ref="C45:D45"/>
    <mergeCell ref="C46:D46"/>
    <mergeCell ref="C36:D36"/>
    <mergeCell ref="C37:D37"/>
    <mergeCell ref="C38:D38"/>
    <mergeCell ref="C39:D39"/>
    <mergeCell ref="C40:D40"/>
    <mergeCell ref="A41:A42"/>
    <mergeCell ref="A44:A46"/>
    <mergeCell ref="B49:B50"/>
    <mergeCell ref="B53:B54"/>
    <mergeCell ref="B57:B58"/>
    <mergeCell ref="B61:B62"/>
    <mergeCell ref="A51:A52"/>
    <mergeCell ref="A54:A55"/>
    <mergeCell ref="A59:A60"/>
    <mergeCell ref="A62:A64"/>
    <mergeCell ref="B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89:D89"/>
    <mergeCell ref="C90:D90"/>
    <mergeCell ref="C85:D85"/>
    <mergeCell ref="C86:D86"/>
    <mergeCell ref="A87:A88"/>
    <mergeCell ref="C87:D87"/>
    <mergeCell ref="C88:D88"/>
    <mergeCell ref="B89:B90"/>
    <mergeCell ref="A90:A91"/>
    <mergeCell ref="C61:D61"/>
    <mergeCell ref="C62:D62"/>
    <mergeCell ref="C63:D63"/>
    <mergeCell ref="C64:D64"/>
    <mergeCell ref="B65:D65"/>
    <mergeCell ref="C66:D66"/>
    <mergeCell ref="B67:B68"/>
    <mergeCell ref="C71:D71"/>
    <mergeCell ref="C72:D72"/>
    <mergeCell ref="C67:D67"/>
    <mergeCell ref="C68:D68"/>
    <mergeCell ref="A69:A70"/>
    <mergeCell ref="C69:D69"/>
    <mergeCell ref="C70:D70"/>
    <mergeCell ref="B71:B72"/>
    <mergeCell ref="A72:A73"/>
    <mergeCell ref="B75:B76"/>
    <mergeCell ref="B79:B80"/>
    <mergeCell ref="A80:A82"/>
    <mergeCell ref="C73:D73"/>
    <mergeCell ref="C74:D74"/>
    <mergeCell ref="C75:D75"/>
    <mergeCell ref="C76:D76"/>
    <mergeCell ref="A77:A78"/>
    <mergeCell ref="C77:D77"/>
    <mergeCell ref="C78:D78"/>
    <mergeCell ref="C79:D79"/>
    <mergeCell ref="C80:D80"/>
    <mergeCell ref="C81:D81"/>
    <mergeCell ref="C82:D82"/>
    <mergeCell ref="B83:D83"/>
    <mergeCell ref="C84:D84"/>
    <mergeCell ref="B85:B86"/>
    <mergeCell ref="C97:D97"/>
    <mergeCell ref="C98:D98"/>
    <mergeCell ref="B121:B122"/>
    <mergeCell ref="B125:B126"/>
    <mergeCell ref="B119:D119"/>
    <mergeCell ref="C120:D120"/>
    <mergeCell ref="C121:D121"/>
    <mergeCell ref="C122:D122"/>
    <mergeCell ref="C123:D123"/>
    <mergeCell ref="C124:D124"/>
    <mergeCell ref="C125:D125"/>
    <mergeCell ref="C126:D126"/>
    <mergeCell ref="K103:L103"/>
    <mergeCell ref="K107:L107"/>
    <mergeCell ref="K111:L111"/>
    <mergeCell ref="K115:L115"/>
    <mergeCell ref="K119:L119"/>
    <mergeCell ref="M119:N119"/>
    <mergeCell ref="M120:N120"/>
    <mergeCell ref="K120:L120"/>
    <mergeCell ref="K121:L121"/>
    <mergeCell ref="K125:L125"/>
    <mergeCell ref="K129:L129"/>
    <mergeCell ref="K133:L133"/>
    <mergeCell ref="K137:L137"/>
    <mergeCell ref="M137:N137"/>
    <mergeCell ref="C130:D130"/>
    <mergeCell ref="C131:D131"/>
    <mergeCell ref="A123:A124"/>
    <mergeCell ref="A126:A127"/>
    <mergeCell ref="C127:D127"/>
    <mergeCell ref="C128:D128"/>
    <mergeCell ref="C129:D129"/>
    <mergeCell ref="A131:A132"/>
    <mergeCell ref="C132:D132"/>
    <mergeCell ref="C146:D146"/>
    <mergeCell ref="C147:D147"/>
    <mergeCell ref="B139:B140"/>
    <mergeCell ref="B143:B144"/>
    <mergeCell ref="C143:D143"/>
    <mergeCell ref="C144:D144"/>
    <mergeCell ref="C145:D145"/>
    <mergeCell ref="B147:B148"/>
    <mergeCell ref="C148:D148"/>
    <mergeCell ref="C152:D152"/>
    <mergeCell ref="C153:D153"/>
    <mergeCell ref="A144:A145"/>
    <mergeCell ref="A149:A150"/>
    <mergeCell ref="C149:D149"/>
    <mergeCell ref="C150:D150"/>
    <mergeCell ref="B151:B152"/>
    <mergeCell ref="C151:D151"/>
    <mergeCell ref="A152:A154"/>
    <mergeCell ref="C159:D159"/>
    <mergeCell ref="C160:D160"/>
    <mergeCell ref="C154:D154"/>
    <mergeCell ref="B155:D155"/>
    <mergeCell ref="C156:D156"/>
    <mergeCell ref="B157:B158"/>
    <mergeCell ref="C157:D157"/>
    <mergeCell ref="C158:D158"/>
    <mergeCell ref="A159:A160"/>
    <mergeCell ref="C165:D165"/>
    <mergeCell ref="C166:D166"/>
    <mergeCell ref="B161:B162"/>
    <mergeCell ref="C161:D161"/>
    <mergeCell ref="A162:A163"/>
    <mergeCell ref="C162:D162"/>
    <mergeCell ref="C163:D163"/>
    <mergeCell ref="C164:D164"/>
    <mergeCell ref="B165:B166"/>
    <mergeCell ref="C171:D171"/>
    <mergeCell ref="C172:D172"/>
    <mergeCell ref="A167:A168"/>
    <mergeCell ref="C167:D167"/>
    <mergeCell ref="C168:D168"/>
    <mergeCell ref="B169:B170"/>
    <mergeCell ref="C169:D169"/>
    <mergeCell ref="A170:A172"/>
    <mergeCell ref="C170:D170"/>
    <mergeCell ref="B175:B176"/>
    <mergeCell ref="B179:B180"/>
    <mergeCell ref="B173:D173"/>
    <mergeCell ref="C174:D174"/>
    <mergeCell ref="C175:D175"/>
    <mergeCell ref="C176:D176"/>
    <mergeCell ref="C177:D177"/>
    <mergeCell ref="C178:D178"/>
    <mergeCell ref="C179:D179"/>
    <mergeCell ref="B129:B130"/>
    <mergeCell ref="B133:B134"/>
    <mergeCell ref="C133:D133"/>
    <mergeCell ref="A134:A136"/>
    <mergeCell ref="C134:D134"/>
    <mergeCell ref="C135:D135"/>
    <mergeCell ref="C136:D136"/>
    <mergeCell ref="B137:D137"/>
    <mergeCell ref="C138:D138"/>
    <mergeCell ref="C139:D139"/>
    <mergeCell ref="C140:D140"/>
    <mergeCell ref="A141:A142"/>
    <mergeCell ref="C141:D141"/>
    <mergeCell ref="C142:D142"/>
    <mergeCell ref="A180:A181"/>
    <mergeCell ref="A185:A186"/>
    <mergeCell ref="A177:A178"/>
    <mergeCell ref="C180:D180"/>
    <mergeCell ref="C181:D181"/>
    <mergeCell ref="C182:D182"/>
    <mergeCell ref="B183:B184"/>
    <mergeCell ref="C183:D183"/>
    <mergeCell ref="C184:D184"/>
    <mergeCell ref="C91:D91"/>
    <mergeCell ref="C92:D92"/>
    <mergeCell ref="C93:D93"/>
    <mergeCell ref="C94:D94"/>
    <mergeCell ref="A95:A96"/>
    <mergeCell ref="C95:D95"/>
    <mergeCell ref="C96:D96"/>
    <mergeCell ref="C99:D99"/>
    <mergeCell ref="C100:D100"/>
    <mergeCell ref="B101:D101"/>
    <mergeCell ref="C102:D102"/>
    <mergeCell ref="B103:B104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B111:B112"/>
    <mergeCell ref="B115:B116"/>
    <mergeCell ref="B93:B94"/>
    <mergeCell ref="B97:B98"/>
    <mergeCell ref="A98:A100"/>
    <mergeCell ref="A105:A106"/>
    <mergeCell ref="B107:B108"/>
    <mergeCell ref="A108:A109"/>
    <mergeCell ref="A113:A114"/>
    <mergeCell ref="A116:A118"/>
    <mergeCell ref="C112:D112"/>
    <mergeCell ref="C113:D113"/>
    <mergeCell ref="C114:D114"/>
    <mergeCell ref="C115:D115"/>
    <mergeCell ref="C116:D116"/>
    <mergeCell ref="C117:D117"/>
    <mergeCell ref="C118:D118"/>
    <mergeCell ref="C185:D185"/>
    <mergeCell ref="C186:D186"/>
    <mergeCell ref="B187:B188"/>
    <mergeCell ref="C187:D187"/>
    <mergeCell ref="A188:A190"/>
    <mergeCell ref="C188:D188"/>
    <mergeCell ref="C189:D189"/>
    <mergeCell ref="B211:B212"/>
    <mergeCell ref="B215:B216"/>
    <mergeCell ref="B209:D209"/>
    <mergeCell ref="C210:D210"/>
    <mergeCell ref="C211:D211"/>
    <mergeCell ref="C212:D212"/>
    <mergeCell ref="C213:D213"/>
    <mergeCell ref="C214:D214"/>
    <mergeCell ref="C215:D215"/>
    <mergeCell ref="C216:D216"/>
    <mergeCell ref="C220:D220"/>
    <mergeCell ref="C221:D221"/>
    <mergeCell ref="A213:A214"/>
    <mergeCell ref="A216:A217"/>
    <mergeCell ref="C217:D217"/>
    <mergeCell ref="C218:D218"/>
    <mergeCell ref="C219:D219"/>
    <mergeCell ref="A221:A222"/>
    <mergeCell ref="C222:D222"/>
    <mergeCell ref="C236:D236"/>
    <mergeCell ref="C237:D237"/>
    <mergeCell ref="B229:B230"/>
    <mergeCell ref="B233:B234"/>
    <mergeCell ref="C233:D233"/>
    <mergeCell ref="C234:D234"/>
    <mergeCell ref="C235:D235"/>
    <mergeCell ref="B237:B238"/>
    <mergeCell ref="C238:D238"/>
    <mergeCell ref="C242:D242"/>
    <mergeCell ref="C243:D243"/>
    <mergeCell ref="A234:A235"/>
    <mergeCell ref="A239:A240"/>
    <mergeCell ref="C239:D239"/>
    <mergeCell ref="C240:D240"/>
    <mergeCell ref="B241:B242"/>
    <mergeCell ref="C241:D241"/>
    <mergeCell ref="A242:A244"/>
    <mergeCell ref="B219:B220"/>
    <mergeCell ref="B223:B224"/>
    <mergeCell ref="C223:D223"/>
    <mergeCell ref="A224:A226"/>
    <mergeCell ref="C224:D224"/>
    <mergeCell ref="C225:D225"/>
    <mergeCell ref="C226:D226"/>
    <mergeCell ref="B227:D227"/>
    <mergeCell ref="C228:D228"/>
    <mergeCell ref="C229:D229"/>
    <mergeCell ref="C230:D230"/>
    <mergeCell ref="A231:A232"/>
    <mergeCell ref="C231:D231"/>
    <mergeCell ref="C232:D232"/>
    <mergeCell ref="C249:D249"/>
    <mergeCell ref="C250:D250"/>
    <mergeCell ref="C244:D244"/>
    <mergeCell ref="B245:D245"/>
    <mergeCell ref="C246:D246"/>
    <mergeCell ref="B247:B248"/>
    <mergeCell ref="C247:D247"/>
    <mergeCell ref="C248:D248"/>
    <mergeCell ref="A249:A250"/>
    <mergeCell ref="C255:D255"/>
    <mergeCell ref="C256:D256"/>
    <mergeCell ref="B251:B252"/>
    <mergeCell ref="C251:D251"/>
    <mergeCell ref="A252:A253"/>
    <mergeCell ref="C252:D252"/>
    <mergeCell ref="C253:D253"/>
    <mergeCell ref="C254:D254"/>
    <mergeCell ref="B255:B256"/>
    <mergeCell ref="C261:D261"/>
    <mergeCell ref="C262:D262"/>
    <mergeCell ref="A257:A258"/>
    <mergeCell ref="C257:D257"/>
    <mergeCell ref="C258:D258"/>
    <mergeCell ref="B259:B260"/>
    <mergeCell ref="C259:D259"/>
    <mergeCell ref="A260:A262"/>
    <mergeCell ref="C260:D260"/>
    <mergeCell ref="B265:B266"/>
    <mergeCell ref="B269:B270"/>
    <mergeCell ref="B263:D263"/>
    <mergeCell ref="C264:D264"/>
    <mergeCell ref="C265:D265"/>
    <mergeCell ref="C266:D266"/>
    <mergeCell ref="C267:D267"/>
    <mergeCell ref="C268:D268"/>
    <mergeCell ref="C269:D269"/>
    <mergeCell ref="C270:D270"/>
    <mergeCell ref="C274:D274"/>
    <mergeCell ref="C275:D275"/>
    <mergeCell ref="A267:A268"/>
    <mergeCell ref="A270:A271"/>
    <mergeCell ref="C271:D271"/>
    <mergeCell ref="C272:D272"/>
    <mergeCell ref="C273:D273"/>
    <mergeCell ref="A275:A276"/>
    <mergeCell ref="C276:D276"/>
    <mergeCell ref="C290:D290"/>
    <mergeCell ref="C291:D291"/>
    <mergeCell ref="B283:B284"/>
    <mergeCell ref="B287:B288"/>
    <mergeCell ref="C287:D287"/>
    <mergeCell ref="C288:D288"/>
    <mergeCell ref="C289:D289"/>
    <mergeCell ref="B291:B292"/>
    <mergeCell ref="C292:D292"/>
    <mergeCell ref="B273:B274"/>
    <mergeCell ref="B277:B278"/>
    <mergeCell ref="C277:D277"/>
    <mergeCell ref="A278:A280"/>
    <mergeCell ref="C278:D278"/>
    <mergeCell ref="C279:D279"/>
    <mergeCell ref="C280:D280"/>
    <mergeCell ref="B281:D281"/>
    <mergeCell ref="C282:D282"/>
    <mergeCell ref="C283:D283"/>
    <mergeCell ref="C284:D284"/>
    <mergeCell ref="A285:A286"/>
    <mergeCell ref="C285:D285"/>
    <mergeCell ref="C286:D286"/>
    <mergeCell ref="C296:D296"/>
    <mergeCell ref="C297:D297"/>
    <mergeCell ref="A288:A289"/>
    <mergeCell ref="A293:A294"/>
    <mergeCell ref="C293:D293"/>
    <mergeCell ref="C294:D294"/>
    <mergeCell ref="B295:B296"/>
    <mergeCell ref="C295:D295"/>
    <mergeCell ref="A296:A298"/>
    <mergeCell ref="C303:D303"/>
    <mergeCell ref="C304:D304"/>
    <mergeCell ref="C298:D298"/>
    <mergeCell ref="B299:D299"/>
    <mergeCell ref="C300:D300"/>
    <mergeCell ref="B301:B302"/>
    <mergeCell ref="C301:D301"/>
    <mergeCell ref="C302:D302"/>
    <mergeCell ref="A303:A304"/>
    <mergeCell ref="C309:D309"/>
    <mergeCell ref="C310:D310"/>
    <mergeCell ref="B305:B306"/>
    <mergeCell ref="C305:D305"/>
    <mergeCell ref="A306:A307"/>
    <mergeCell ref="C306:D306"/>
    <mergeCell ref="C307:D307"/>
    <mergeCell ref="C308:D308"/>
    <mergeCell ref="B309:B310"/>
    <mergeCell ref="C315:D315"/>
    <mergeCell ref="C316:D316"/>
    <mergeCell ref="A311:A312"/>
    <mergeCell ref="C311:D311"/>
    <mergeCell ref="C312:D312"/>
    <mergeCell ref="B313:B314"/>
    <mergeCell ref="C313:D313"/>
    <mergeCell ref="A314:A316"/>
    <mergeCell ref="C314:D314"/>
    <mergeCell ref="B319:B320"/>
    <mergeCell ref="B323:B324"/>
    <mergeCell ref="B317:D317"/>
    <mergeCell ref="C318:D318"/>
    <mergeCell ref="C319:D319"/>
    <mergeCell ref="C320:D320"/>
    <mergeCell ref="C321:D321"/>
    <mergeCell ref="C322:D322"/>
    <mergeCell ref="C323:D323"/>
    <mergeCell ref="C324:D324"/>
    <mergeCell ref="C328:D328"/>
    <mergeCell ref="C329:D329"/>
    <mergeCell ref="A321:A322"/>
    <mergeCell ref="A324:A325"/>
    <mergeCell ref="C325:D325"/>
    <mergeCell ref="C326:D326"/>
    <mergeCell ref="C327:D327"/>
    <mergeCell ref="A329:A330"/>
    <mergeCell ref="C330:D330"/>
    <mergeCell ref="C344:D344"/>
    <mergeCell ref="C345:D345"/>
    <mergeCell ref="B337:B338"/>
    <mergeCell ref="B341:B342"/>
    <mergeCell ref="C341:D341"/>
    <mergeCell ref="C342:D342"/>
    <mergeCell ref="C343:D343"/>
    <mergeCell ref="B345:B346"/>
    <mergeCell ref="C346:D346"/>
    <mergeCell ref="C350:D350"/>
    <mergeCell ref="C351:D351"/>
    <mergeCell ref="A342:A343"/>
    <mergeCell ref="A347:A348"/>
    <mergeCell ref="C347:D347"/>
    <mergeCell ref="C348:D348"/>
    <mergeCell ref="B349:B350"/>
    <mergeCell ref="C349:D349"/>
    <mergeCell ref="A350:A352"/>
    <mergeCell ref="C357:D357"/>
    <mergeCell ref="C358:D358"/>
    <mergeCell ref="C352:D352"/>
    <mergeCell ref="B353:D353"/>
    <mergeCell ref="C354:D354"/>
    <mergeCell ref="B355:B356"/>
    <mergeCell ref="C355:D355"/>
    <mergeCell ref="C356:D356"/>
    <mergeCell ref="A357:A358"/>
    <mergeCell ref="C363:D363"/>
    <mergeCell ref="C364:D364"/>
    <mergeCell ref="B359:B360"/>
    <mergeCell ref="C359:D359"/>
    <mergeCell ref="A360:A361"/>
    <mergeCell ref="C360:D360"/>
    <mergeCell ref="C361:D361"/>
    <mergeCell ref="C362:D362"/>
    <mergeCell ref="B363:B364"/>
    <mergeCell ref="C369:D369"/>
    <mergeCell ref="C370:D370"/>
    <mergeCell ref="A365:A366"/>
    <mergeCell ref="C365:D365"/>
    <mergeCell ref="C366:D366"/>
    <mergeCell ref="B367:B368"/>
    <mergeCell ref="C367:D367"/>
    <mergeCell ref="A368:A370"/>
    <mergeCell ref="C368:D368"/>
    <mergeCell ref="B373:B374"/>
    <mergeCell ref="B377:B378"/>
    <mergeCell ref="B371:D371"/>
    <mergeCell ref="C372:D372"/>
    <mergeCell ref="C373:D373"/>
    <mergeCell ref="C374:D374"/>
    <mergeCell ref="C375:D375"/>
    <mergeCell ref="C376:D376"/>
    <mergeCell ref="C377:D377"/>
    <mergeCell ref="C378:D378"/>
    <mergeCell ref="A375:A376"/>
    <mergeCell ref="A378:A379"/>
    <mergeCell ref="C379:D379"/>
    <mergeCell ref="C380:D380"/>
    <mergeCell ref="C381:D381"/>
    <mergeCell ref="A383:A384"/>
    <mergeCell ref="C384:D384"/>
    <mergeCell ref="C382:D382"/>
    <mergeCell ref="C383:D383"/>
    <mergeCell ref="A591:N591"/>
    <mergeCell ref="C592:L592"/>
    <mergeCell ref="M592:N592"/>
    <mergeCell ref="K593:K596"/>
    <mergeCell ref="M593:N598"/>
    <mergeCell ref="M599:N599"/>
    <mergeCell ref="L593:L596"/>
    <mergeCell ref="C599:L599"/>
    <mergeCell ref="K600:K603"/>
    <mergeCell ref="L600:L603"/>
    <mergeCell ref="M600:N605"/>
    <mergeCell ref="C606:L606"/>
    <mergeCell ref="M606:N606"/>
    <mergeCell ref="M614:N619"/>
    <mergeCell ref="A620:N620"/>
    <mergeCell ref="K622:N626"/>
    <mergeCell ref="K628:N632"/>
    <mergeCell ref="K634:N638"/>
    <mergeCell ref="K640:N644"/>
    <mergeCell ref="A645:N645"/>
    <mergeCell ref="K647:N651"/>
    <mergeCell ref="K607:K610"/>
    <mergeCell ref="L607:L610"/>
    <mergeCell ref="M607:N612"/>
    <mergeCell ref="C613:L613"/>
    <mergeCell ref="M613:N613"/>
    <mergeCell ref="K614:K617"/>
    <mergeCell ref="L614:L617"/>
    <mergeCell ref="K353:L353"/>
    <mergeCell ref="K354:L354"/>
    <mergeCell ref="K355:L355"/>
    <mergeCell ref="K359:L359"/>
    <mergeCell ref="K363:L363"/>
    <mergeCell ref="K367:L367"/>
    <mergeCell ref="M371:N371"/>
    <mergeCell ref="M372:N372"/>
    <mergeCell ref="K371:L371"/>
    <mergeCell ref="K372:L372"/>
    <mergeCell ref="K373:L373"/>
    <mergeCell ref="K377:L377"/>
    <mergeCell ref="K381:L381"/>
    <mergeCell ref="K385:L385"/>
    <mergeCell ref="M389:N389"/>
    <mergeCell ref="K247:L247"/>
    <mergeCell ref="K251:L251"/>
    <mergeCell ref="K255:L255"/>
    <mergeCell ref="K259:L259"/>
    <mergeCell ref="K263:L263"/>
    <mergeCell ref="M263:N263"/>
    <mergeCell ref="M264:N264"/>
    <mergeCell ref="K264:L264"/>
    <mergeCell ref="K265:L265"/>
    <mergeCell ref="K269:L269"/>
    <mergeCell ref="K273:L273"/>
    <mergeCell ref="K277:L277"/>
    <mergeCell ref="K281:L281"/>
    <mergeCell ref="M281:N281"/>
    <mergeCell ref="K282:L282"/>
    <mergeCell ref="M282:N282"/>
    <mergeCell ref="K283:L283"/>
    <mergeCell ref="K287:L287"/>
    <mergeCell ref="K291:L291"/>
    <mergeCell ref="K295:L295"/>
    <mergeCell ref="M299:N299"/>
    <mergeCell ref="M300:N300"/>
    <mergeCell ref="K299:L299"/>
    <mergeCell ref="K300:L300"/>
    <mergeCell ref="K301:L301"/>
    <mergeCell ref="K305:L305"/>
    <mergeCell ref="K309:L309"/>
    <mergeCell ref="K313:L313"/>
    <mergeCell ref="M317:N317"/>
    <mergeCell ref="M318:N318"/>
    <mergeCell ref="K317:L317"/>
    <mergeCell ref="K318:L318"/>
    <mergeCell ref="K319:L319"/>
    <mergeCell ref="K323:L323"/>
    <mergeCell ref="K327:L327"/>
    <mergeCell ref="K331:L331"/>
    <mergeCell ref="M335:N335"/>
    <mergeCell ref="M336:N336"/>
    <mergeCell ref="K335:L335"/>
    <mergeCell ref="K336:L336"/>
    <mergeCell ref="K337:L337"/>
    <mergeCell ref="K341:L341"/>
    <mergeCell ref="K345:L345"/>
    <mergeCell ref="K349:L349"/>
    <mergeCell ref="M353:N353"/>
    <mergeCell ref="M354:N354"/>
    <mergeCell ref="K449:L449"/>
    <mergeCell ref="K453:L453"/>
    <mergeCell ref="K457:L457"/>
    <mergeCell ref="K461:L461"/>
    <mergeCell ref="M461:N461"/>
    <mergeCell ref="K474:L474"/>
    <mergeCell ref="M474:N474"/>
    <mergeCell ref="K138:L138"/>
    <mergeCell ref="M138:N138"/>
    <mergeCell ref="K139:L139"/>
    <mergeCell ref="K143:L143"/>
    <mergeCell ref="K147:L147"/>
    <mergeCell ref="K151:L151"/>
    <mergeCell ref="M155:N155"/>
    <mergeCell ref="M156:N156"/>
    <mergeCell ref="K155:L155"/>
    <mergeCell ref="K156:L156"/>
    <mergeCell ref="K157:L157"/>
    <mergeCell ref="K161:L161"/>
    <mergeCell ref="K165:L165"/>
    <mergeCell ref="K169:L169"/>
    <mergeCell ref="M173:N173"/>
    <mergeCell ref="K173:L173"/>
    <mergeCell ref="K174:L174"/>
    <mergeCell ref="M174:N174"/>
    <mergeCell ref="K175:L175"/>
    <mergeCell ref="K179:L179"/>
    <mergeCell ref="K183:L183"/>
    <mergeCell ref="K187:L187"/>
    <mergeCell ref="K191:L191"/>
    <mergeCell ref="M191:N191"/>
    <mergeCell ref="K192:L192"/>
    <mergeCell ref="M192:N192"/>
    <mergeCell ref="K193:L193"/>
    <mergeCell ref="K197:L197"/>
    <mergeCell ref="K201:L201"/>
    <mergeCell ref="K205:L205"/>
    <mergeCell ref="K209:L209"/>
    <mergeCell ref="M209:N209"/>
    <mergeCell ref="K210:L210"/>
    <mergeCell ref="M210:N210"/>
    <mergeCell ref="K211:L211"/>
    <mergeCell ref="K215:L215"/>
    <mergeCell ref="K219:L219"/>
    <mergeCell ref="K223:L223"/>
    <mergeCell ref="K227:L227"/>
    <mergeCell ref="M227:N227"/>
    <mergeCell ref="K228:L228"/>
    <mergeCell ref="M228:N228"/>
    <mergeCell ref="K229:L229"/>
    <mergeCell ref="K11:L11"/>
    <mergeCell ref="M11:N11"/>
    <mergeCell ref="K12:L12"/>
    <mergeCell ref="M12:N12"/>
    <mergeCell ref="K13:L13"/>
    <mergeCell ref="K17:L17"/>
    <mergeCell ref="K21:L21"/>
    <mergeCell ref="K25:L25"/>
    <mergeCell ref="K29:L29"/>
    <mergeCell ref="M29:N29"/>
    <mergeCell ref="K30:L30"/>
    <mergeCell ref="M30:N30"/>
    <mergeCell ref="K31:L31"/>
    <mergeCell ref="K35:L35"/>
    <mergeCell ref="K47:L47"/>
    <mergeCell ref="M47:N47"/>
    <mergeCell ref="K48:L48"/>
    <mergeCell ref="M48:N48"/>
    <mergeCell ref="K49:L49"/>
    <mergeCell ref="K53:L53"/>
    <mergeCell ref="K57:L57"/>
    <mergeCell ref="K61:L61"/>
    <mergeCell ref="K65:L65"/>
    <mergeCell ref="M65:N65"/>
    <mergeCell ref="K66:L66"/>
    <mergeCell ref="M66:N66"/>
    <mergeCell ref="K67:L67"/>
    <mergeCell ref="K71:L71"/>
    <mergeCell ref="K75:L75"/>
    <mergeCell ref="K79:L79"/>
    <mergeCell ref="K83:L83"/>
    <mergeCell ref="M83:N83"/>
    <mergeCell ref="K84:L84"/>
    <mergeCell ref="M84:N84"/>
    <mergeCell ref="K85:L85"/>
    <mergeCell ref="K89:L89"/>
    <mergeCell ref="K93:L93"/>
    <mergeCell ref="K97:L97"/>
    <mergeCell ref="K101:L101"/>
    <mergeCell ref="M101:N101"/>
    <mergeCell ref="K102:L102"/>
    <mergeCell ref="M102:N102"/>
    <mergeCell ref="K233:L233"/>
    <mergeCell ref="K237:L237"/>
    <mergeCell ref="K241:L241"/>
    <mergeCell ref="K245:L245"/>
    <mergeCell ref="M245:N245"/>
    <mergeCell ref="K246:L246"/>
    <mergeCell ref="M246:N246"/>
    <mergeCell ref="K389:L389"/>
    <mergeCell ref="K390:L390"/>
    <mergeCell ref="M390:N390"/>
    <mergeCell ref="K391:L391"/>
    <mergeCell ref="K395:L395"/>
    <mergeCell ref="K399:L399"/>
    <mergeCell ref="K403:L403"/>
    <mergeCell ref="K407:L407"/>
    <mergeCell ref="M407:N407"/>
    <mergeCell ref="K408:L408"/>
    <mergeCell ref="M408:N408"/>
    <mergeCell ref="K409:L409"/>
    <mergeCell ref="K413:L413"/>
    <mergeCell ref="K417:L417"/>
    <mergeCell ref="K421:L421"/>
    <mergeCell ref="K425:L425"/>
    <mergeCell ref="M425:N425"/>
    <mergeCell ref="K426:L426"/>
    <mergeCell ref="M426:N426"/>
    <mergeCell ref="K427:L427"/>
    <mergeCell ref="K431:L431"/>
    <mergeCell ref="K435:L435"/>
    <mergeCell ref="K439:L439"/>
    <mergeCell ref="K443:L443"/>
    <mergeCell ref="M443:N443"/>
    <mergeCell ref="K444:L444"/>
    <mergeCell ref="M444:N444"/>
    <mergeCell ref="K445:L445"/>
    <mergeCell ref="K487:L487"/>
    <mergeCell ref="M487:N487"/>
    <mergeCell ref="K500:L500"/>
    <mergeCell ref="M500:N500"/>
    <mergeCell ref="K513:L513"/>
    <mergeCell ref="M513:N513"/>
    <mergeCell ref="M526:N526"/>
    <mergeCell ref="K578:L578"/>
    <mergeCell ref="M578:N578"/>
    <mergeCell ref="K526:L526"/>
    <mergeCell ref="K539:L539"/>
    <mergeCell ref="M539:N539"/>
    <mergeCell ref="K552:L552"/>
    <mergeCell ref="M552:N552"/>
    <mergeCell ref="K565:L565"/>
    <mergeCell ref="M565:N565"/>
  </mergeCells>
  <printOptions/>
  <pageMargins bottom="1.025" footer="0.0" header="0.0" left="0.7875" right="0.7875" top="1.025"/>
  <pageSetup paperSize="9" orientation="portrait"/>
  <headerFooter>
    <oddHeader>&amp;C&amp;A</oddHeader>
    <oddFooter>&amp;CPágina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3.63"/>
    <col customWidth="1" min="2" max="2" width="21.0"/>
    <col customWidth="1" min="3" max="3" width="12.13"/>
    <col customWidth="1" min="4" max="4" width="2.88"/>
    <col customWidth="1" min="5" max="9" width="5.63"/>
    <col customWidth="1" min="10" max="10" width="5.75"/>
    <col customWidth="1" min="11" max="11" width="15.5"/>
    <col customWidth="1" min="12" max="12" width="11.38"/>
    <col customWidth="1" min="13" max="13" width="19.5"/>
    <col customWidth="1" min="14" max="14" width="7.63"/>
  </cols>
  <sheetData>
    <row r="1" ht="13.5" customHeight="1">
      <c r="A1" s="174" t="s">
        <v>194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6"/>
    </row>
    <row r="2" ht="13.5" customHeight="1">
      <c r="A2" s="177" t="s">
        <v>193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ht="13.5" customHeight="1">
      <c r="A3" s="178" t="s">
        <v>2</v>
      </c>
      <c r="B3" s="179"/>
      <c r="C3" s="180" t="s">
        <v>4</v>
      </c>
      <c r="D3" s="181"/>
      <c r="E3" s="10"/>
      <c r="F3" s="182" t="s">
        <v>5</v>
      </c>
      <c r="K3" s="183">
        <f>COUNTA(A13,A31,A49,A67,A85,A103,A121,A139,A157,A175,A193,A211,A229,A247,A265,A283,A301,A319,A337,A355,A373,A391,A409,A427,A445)</f>
        <v>0</v>
      </c>
      <c r="L3" s="184"/>
    </row>
    <row r="4" ht="13.5" customHeight="1">
      <c r="A4" s="18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6"/>
    </row>
    <row r="5" ht="13.5" customHeight="1">
      <c r="A5" s="186" t="s">
        <v>6</v>
      </c>
      <c r="B5" s="15"/>
      <c r="C5" s="15"/>
      <c r="D5" s="187"/>
      <c r="E5" s="188" t="s">
        <v>7</v>
      </c>
      <c r="F5" s="189" t="s">
        <v>8</v>
      </c>
      <c r="G5" s="188" t="s">
        <v>9</v>
      </c>
      <c r="H5" s="188" t="s">
        <v>10</v>
      </c>
      <c r="I5" s="188" t="s">
        <v>11</v>
      </c>
      <c r="J5" s="189" t="s">
        <v>12</v>
      </c>
      <c r="K5" s="190"/>
      <c r="L5" s="21"/>
      <c r="M5" s="21"/>
      <c r="N5" s="22"/>
    </row>
    <row r="6" ht="13.5" customHeight="1">
      <c r="A6" s="191" t="s">
        <v>13</v>
      </c>
      <c r="B6" s="192"/>
      <c r="C6" s="192"/>
      <c r="D6" s="193"/>
      <c r="E6" s="194">
        <v>16.0</v>
      </c>
      <c r="F6" s="195">
        <v>26.0</v>
      </c>
      <c r="G6" s="195">
        <v>26.0</v>
      </c>
      <c r="H6" s="195">
        <v>26.0</v>
      </c>
      <c r="I6" s="195">
        <v>31.0</v>
      </c>
      <c r="J6" s="196">
        <v>36.0</v>
      </c>
      <c r="K6" s="29"/>
      <c r="L6" s="29"/>
      <c r="M6" s="29"/>
      <c r="N6" s="30"/>
    </row>
    <row r="7" ht="13.5" customHeight="1">
      <c r="A7" s="197" t="s">
        <v>14</v>
      </c>
      <c r="B7" s="198"/>
      <c r="C7" s="199" t="s">
        <v>15</v>
      </c>
      <c r="D7" s="200"/>
      <c r="E7" s="201"/>
      <c r="F7" s="201"/>
      <c r="G7" s="201"/>
      <c r="H7" s="201"/>
      <c r="I7" s="202"/>
      <c r="J7" s="203"/>
      <c r="K7" s="204"/>
      <c r="L7" s="2"/>
      <c r="M7" s="2"/>
      <c r="N7" s="3"/>
    </row>
    <row r="8" ht="13.5" customHeight="1">
      <c r="A8" s="197" t="s">
        <v>16</v>
      </c>
      <c r="B8" s="198"/>
      <c r="C8" s="199" t="s">
        <v>15</v>
      </c>
      <c r="D8" s="200"/>
      <c r="E8" s="205"/>
      <c r="F8" s="205"/>
      <c r="G8" s="205"/>
      <c r="H8" s="205"/>
      <c r="I8" s="206"/>
      <c r="J8" s="207"/>
      <c r="K8" s="38"/>
      <c r="N8" s="5"/>
    </row>
    <row r="9" ht="13.5" customHeight="1">
      <c r="A9" s="197" t="s">
        <v>17</v>
      </c>
      <c r="B9" s="198"/>
      <c r="C9" s="199" t="s">
        <v>15</v>
      </c>
      <c r="D9" s="200"/>
      <c r="E9" s="205"/>
      <c r="F9" s="205"/>
      <c r="G9" s="205"/>
      <c r="H9" s="205"/>
      <c r="I9" s="206"/>
      <c r="J9" s="207"/>
      <c r="K9" s="38"/>
      <c r="N9" s="5"/>
    </row>
    <row r="10" ht="13.5" customHeight="1">
      <c r="A10" s="197" t="s">
        <v>18</v>
      </c>
      <c r="B10" s="198"/>
      <c r="C10" s="199" t="s">
        <v>15</v>
      </c>
      <c r="D10" s="200"/>
      <c r="E10" s="205"/>
      <c r="F10" s="205"/>
      <c r="G10" s="205"/>
      <c r="H10" s="205"/>
      <c r="I10" s="206"/>
      <c r="J10" s="207"/>
      <c r="K10" s="38"/>
      <c r="N10" s="5"/>
    </row>
    <row r="11" ht="13.5" customHeight="1">
      <c r="A11" s="208" t="s">
        <v>19</v>
      </c>
      <c r="B11" s="209" t="s">
        <v>20</v>
      </c>
      <c r="C11" s="24"/>
      <c r="D11" s="33"/>
      <c r="E11" s="210">
        <f t="shared" ref="E11:J11" si="1">E6</f>
        <v>16</v>
      </c>
      <c r="F11" s="210">
        <f t="shared" si="1"/>
        <v>26</v>
      </c>
      <c r="G11" s="211">
        <f t="shared" si="1"/>
        <v>26</v>
      </c>
      <c r="H11" s="212">
        <f t="shared" si="1"/>
        <v>26</v>
      </c>
      <c r="I11" s="213">
        <f t="shared" si="1"/>
        <v>31</v>
      </c>
      <c r="J11" s="211">
        <f t="shared" si="1"/>
        <v>36</v>
      </c>
      <c r="K11" s="214" t="s">
        <v>21</v>
      </c>
      <c r="L11" s="25"/>
      <c r="M11" s="215" t="s">
        <v>22</v>
      </c>
      <c r="N11" s="10"/>
    </row>
    <row r="12" ht="13.5" customHeight="1">
      <c r="A12" s="216" t="s">
        <v>23</v>
      </c>
      <c r="B12" s="217" t="s">
        <v>24</v>
      </c>
      <c r="C12" s="218" t="s">
        <v>25</v>
      </c>
      <c r="D12" s="117"/>
      <c r="E12" s="219"/>
      <c r="F12" s="219"/>
      <c r="G12" s="219"/>
      <c r="H12" s="219"/>
      <c r="I12" s="220"/>
      <c r="J12" s="219"/>
      <c r="K12" s="49"/>
      <c r="L12" s="25"/>
      <c r="M12" s="50"/>
      <c r="N12" s="10"/>
    </row>
    <row r="13" ht="15.0" customHeight="1">
      <c r="A13" s="221"/>
      <c r="B13" s="222" t="s">
        <v>26</v>
      </c>
      <c r="C13" s="223" t="s">
        <v>27</v>
      </c>
      <c r="D13" s="224"/>
      <c r="E13" s="225">
        <f t="shared" ref="E13:J13" si="2">E12-E14</f>
        <v>0</v>
      </c>
      <c r="F13" s="225">
        <f t="shared" si="2"/>
        <v>0</v>
      </c>
      <c r="G13" s="225">
        <f t="shared" si="2"/>
        <v>0</v>
      </c>
      <c r="H13" s="225">
        <f t="shared" si="2"/>
        <v>0</v>
      </c>
      <c r="I13" s="225">
        <f t="shared" si="2"/>
        <v>0</v>
      </c>
      <c r="J13" s="226">
        <f t="shared" si="2"/>
        <v>0</v>
      </c>
      <c r="K13" s="227"/>
      <c r="L13" s="30"/>
      <c r="M13" s="228" t="s">
        <v>28</v>
      </c>
      <c r="N13" s="229" t="b">
        <v>0</v>
      </c>
    </row>
    <row r="14" ht="13.5" customHeight="1">
      <c r="A14" s="230" t="s">
        <v>29</v>
      </c>
      <c r="B14" s="231"/>
      <c r="C14" s="232" t="s">
        <v>30</v>
      </c>
      <c r="D14" s="108"/>
      <c r="E14" s="233"/>
      <c r="F14" s="233"/>
      <c r="G14" s="233"/>
      <c r="H14" s="233"/>
      <c r="I14" s="234"/>
      <c r="J14" s="233"/>
      <c r="K14" s="235" t="s">
        <v>30</v>
      </c>
      <c r="L14" s="236">
        <f>(E14*E11)+(F14*F11)+(G14*G11)+(H14*H11)+(I14*I11)+(J14*J11)</f>
        <v>0</v>
      </c>
      <c r="M14" s="237" t="s">
        <v>31</v>
      </c>
      <c r="N14" s="238" t="b">
        <v>0</v>
      </c>
    </row>
    <row r="15" ht="13.5" customHeight="1">
      <c r="A15" s="221"/>
      <c r="B15" s="239" t="s">
        <v>33</v>
      </c>
      <c r="C15" s="232" t="s">
        <v>34</v>
      </c>
      <c r="D15" s="108"/>
      <c r="E15" s="240"/>
      <c r="F15" s="241"/>
      <c r="G15" s="241"/>
      <c r="H15" s="241"/>
      <c r="I15" s="242"/>
      <c r="J15" s="241"/>
      <c r="K15" s="243" t="s">
        <v>35</v>
      </c>
      <c r="L15" s="236">
        <f>(E15*E11)+(F15*F11)+(G15*G11)+(H15*H11)+(I15*I11)+(J15*J11)</f>
        <v>0</v>
      </c>
      <c r="M15" s="244" t="s">
        <v>36</v>
      </c>
      <c r="N15" s="238" t="b">
        <v>0</v>
      </c>
    </row>
    <row r="16" ht="13.5" customHeight="1">
      <c r="A16" s="68"/>
      <c r="B16" s="245" t="str">
        <f>IFS(L16=0,"",B16&lt;&gt;"",B16,TRUE,NOW())</f>
        <v/>
      </c>
      <c r="C16" s="232" t="s">
        <v>37</v>
      </c>
      <c r="D16" s="108"/>
      <c r="E16" s="246"/>
      <c r="F16" s="246"/>
      <c r="G16" s="246"/>
      <c r="H16" s="246"/>
      <c r="I16" s="247"/>
      <c r="J16" s="246"/>
      <c r="K16" s="248" t="s">
        <v>38</v>
      </c>
      <c r="L16" s="249">
        <f>L15-L14</f>
        <v>0</v>
      </c>
      <c r="M16" s="250" t="s">
        <v>39</v>
      </c>
      <c r="N16" s="238" t="b">
        <v>0</v>
      </c>
    </row>
    <row r="17" ht="15.0" customHeight="1">
      <c r="A17" s="230" t="s">
        <v>40</v>
      </c>
      <c r="B17" s="222" t="s">
        <v>26</v>
      </c>
      <c r="C17" s="223" t="s">
        <v>27</v>
      </c>
      <c r="D17" s="224"/>
      <c r="E17" s="225">
        <f t="shared" ref="E17:J17" si="3">E15-E18</f>
        <v>0</v>
      </c>
      <c r="F17" s="225">
        <f t="shared" si="3"/>
        <v>0</v>
      </c>
      <c r="G17" s="225">
        <f t="shared" si="3"/>
        <v>0</v>
      </c>
      <c r="H17" s="225">
        <f t="shared" si="3"/>
        <v>0</v>
      </c>
      <c r="I17" s="225">
        <f t="shared" si="3"/>
        <v>0</v>
      </c>
      <c r="J17" s="226">
        <f t="shared" si="3"/>
        <v>0</v>
      </c>
      <c r="K17" s="227"/>
      <c r="L17" s="30"/>
      <c r="M17" s="228" t="s">
        <v>28</v>
      </c>
      <c r="N17" s="229" t="b">
        <v>0</v>
      </c>
    </row>
    <row r="18" ht="13.5" customHeight="1">
      <c r="A18" s="221"/>
      <c r="B18" s="231"/>
      <c r="C18" s="232" t="s">
        <v>30</v>
      </c>
      <c r="D18" s="108"/>
      <c r="E18" s="233"/>
      <c r="F18" s="233"/>
      <c r="G18" s="233"/>
      <c r="H18" s="233"/>
      <c r="I18" s="234"/>
      <c r="J18" s="251"/>
      <c r="K18" s="235" t="s">
        <v>30</v>
      </c>
      <c r="L18" s="236">
        <f>(E18*E11)+(F18*F11)+(G18*G11)+(H18*H11)+(I18*I11)+(J18*J11)</f>
        <v>0</v>
      </c>
      <c r="M18" s="237" t="s">
        <v>31</v>
      </c>
      <c r="N18" s="238" t="b">
        <v>0</v>
      </c>
    </row>
    <row r="19" ht="13.5" customHeight="1">
      <c r="A19" s="68"/>
      <c r="B19" s="239" t="s">
        <v>42</v>
      </c>
      <c r="C19" s="232" t="s">
        <v>34</v>
      </c>
      <c r="D19" s="108"/>
      <c r="E19" s="240"/>
      <c r="F19" s="241"/>
      <c r="G19" s="241"/>
      <c r="H19" s="241"/>
      <c r="I19" s="242"/>
      <c r="J19" s="252"/>
      <c r="K19" s="243" t="s">
        <v>35</v>
      </c>
      <c r="L19" s="236">
        <f>(E19*E11)+(F19*F11)+(G19*G11)+(H19*H11)+(I19*I11)+(J19*J11)</f>
        <v>0</v>
      </c>
      <c r="M19" s="237" t="s">
        <v>36</v>
      </c>
      <c r="N19" s="238" t="b">
        <v>0</v>
      </c>
    </row>
    <row r="20" ht="13.5" customHeight="1">
      <c r="A20" s="230" t="s">
        <v>43</v>
      </c>
      <c r="B20" s="245" t="str">
        <f>IFS(L20=0,"",B20&lt;&gt;"",B20,TRUE,NOW())</f>
        <v/>
      </c>
      <c r="C20" s="232" t="s">
        <v>37</v>
      </c>
      <c r="D20" s="108"/>
      <c r="E20" s="246"/>
      <c r="F20" s="246"/>
      <c r="G20" s="246"/>
      <c r="H20" s="246"/>
      <c r="I20" s="247"/>
      <c r="J20" s="253"/>
      <c r="K20" s="248" t="s">
        <v>38</v>
      </c>
      <c r="L20" s="249">
        <f>L19-L18</f>
        <v>0</v>
      </c>
      <c r="M20" s="250" t="s">
        <v>39</v>
      </c>
      <c r="N20" s="238" t="b">
        <v>0</v>
      </c>
    </row>
    <row r="21" ht="13.5" customHeight="1">
      <c r="A21" s="230"/>
      <c r="B21" s="222" t="s">
        <v>26</v>
      </c>
      <c r="C21" s="223" t="s">
        <v>27</v>
      </c>
      <c r="D21" s="224"/>
      <c r="E21" s="254">
        <f t="shared" ref="E21:J21" si="4">E19-E22</f>
        <v>0</v>
      </c>
      <c r="F21" s="254">
        <f t="shared" si="4"/>
        <v>0</v>
      </c>
      <c r="G21" s="254">
        <f t="shared" si="4"/>
        <v>0</v>
      </c>
      <c r="H21" s="254">
        <f t="shared" si="4"/>
        <v>0</v>
      </c>
      <c r="I21" s="254">
        <f t="shared" si="4"/>
        <v>0</v>
      </c>
      <c r="J21" s="254">
        <f t="shared" si="4"/>
        <v>0</v>
      </c>
      <c r="K21" s="227"/>
      <c r="L21" s="30"/>
      <c r="M21" s="228" t="s">
        <v>28</v>
      </c>
      <c r="N21" s="229" t="b">
        <v>0</v>
      </c>
    </row>
    <row r="22" ht="13.5" customHeight="1">
      <c r="A22" s="230" t="s">
        <v>45</v>
      </c>
      <c r="B22" s="231"/>
      <c r="C22" s="232" t="s">
        <v>30</v>
      </c>
      <c r="D22" s="108"/>
      <c r="E22" s="255"/>
      <c r="F22" s="255"/>
      <c r="G22" s="255"/>
      <c r="H22" s="255"/>
      <c r="I22" s="255"/>
      <c r="J22" s="255"/>
      <c r="K22" s="235" t="s">
        <v>30</v>
      </c>
      <c r="L22" s="236">
        <f>(E22*E11)+(F22*F11)+(G22*G11)+(H22*H11)+(I22*I11)+(J22*J11)</f>
        <v>0</v>
      </c>
      <c r="M22" s="237" t="s">
        <v>31</v>
      </c>
      <c r="N22" s="238" t="b">
        <v>0</v>
      </c>
    </row>
    <row r="23" ht="13.5" customHeight="1">
      <c r="A23" s="221"/>
      <c r="B23" s="239" t="s">
        <v>47</v>
      </c>
      <c r="C23" s="232" t="s">
        <v>34</v>
      </c>
      <c r="D23" s="108"/>
      <c r="E23" s="256"/>
      <c r="F23" s="257"/>
      <c r="G23" s="257"/>
      <c r="H23" s="257"/>
      <c r="I23" s="257"/>
      <c r="J23" s="257"/>
      <c r="K23" s="243" t="s">
        <v>35</v>
      </c>
      <c r="L23" s="236">
        <f>(E23*E11)+(F23*F11)+(G23*G11)+(H23*H11)+(I23*I11)+(J23*J11)</f>
        <v>0</v>
      </c>
      <c r="M23" s="237" t="s">
        <v>36</v>
      </c>
      <c r="N23" s="238" t="b">
        <v>0</v>
      </c>
    </row>
    <row r="24" ht="15.0" customHeight="1">
      <c r="A24" s="68"/>
      <c r="B24" s="245" t="str">
        <f>IFS(L24=0,"",B24&lt;&gt;"",B24,TRUE,NOW())</f>
        <v/>
      </c>
      <c r="C24" s="232" t="s">
        <v>37</v>
      </c>
      <c r="D24" s="108"/>
      <c r="E24" s="258"/>
      <c r="F24" s="258"/>
      <c r="G24" s="258"/>
      <c r="H24" s="258"/>
      <c r="I24" s="258"/>
      <c r="J24" s="258"/>
      <c r="K24" s="248" t="s">
        <v>38</v>
      </c>
      <c r="L24" s="249">
        <f>L23-L22</f>
        <v>0</v>
      </c>
      <c r="M24" s="250" t="s">
        <v>39</v>
      </c>
      <c r="N24" s="238" t="b">
        <v>0</v>
      </c>
    </row>
    <row r="25" ht="13.5" customHeight="1">
      <c r="A25" s="259" t="s">
        <v>48</v>
      </c>
      <c r="B25" s="222" t="s">
        <v>26</v>
      </c>
      <c r="C25" s="223" t="s">
        <v>27</v>
      </c>
      <c r="D25" s="224"/>
      <c r="E25" s="254">
        <f t="shared" ref="E25:J25" si="5">E23-E26</f>
        <v>0</v>
      </c>
      <c r="F25" s="254">
        <f t="shared" si="5"/>
        <v>0</v>
      </c>
      <c r="G25" s="254">
        <f t="shared" si="5"/>
        <v>0</v>
      </c>
      <c r="H25" s="254">
        <f t="shared" si="5"/>
        <v>0</v>
      </c>
      <c r="I25" s="254">
        <f t="shared" si="5"/>
        <v>0</v>
      </c>
      <c r="J25" s="254">
        <f t="shared" si="5"/>
        <v>0</v>
      </c>
      <c r="K25" s="227"/>
      <c r="L25" s="30"/>
      <c r="M25" s="228" t="s">
        <v>28</v>
      </c>
      <c r="N25" s="229" t="b">
        <v>0</v>
      </c>
    </row>
    <row r="26" ht="13.5" customHeight="1">
      <c r="A26" s="87"/>
      <c r="B26" s="231"/>
      <c r="C26" s="232" t="s">
        <v>30</v>
      </c>
      <c r="D26" s="108"/>
      <c r="E26" s="255"/>
      <c r="F26" s="255"/>
      <c r="G26" s="255"/>
      <c r="H26" s="255"/>
      <c r="I26" s="255"/>
      <c r="J26" s="255"/>
      <c r="K26" s="235" t="s">
        <v>30</v>
      </c>
      <c r="L26" s="236">
        <f>(E26*E11)+(F26*F11)+(G26*G11)+(H26*H11)+(I26*I11)+(J26*J11)</f>
        <v>0</v>
      </c>
      <c r="M26" s="237" t="s">
        <v>31</v>
      </c>
      <c r="N26" s="238" t="b">
        <v>0</v>
      </c>
    </row>
    <row r="27" ht="13.5" customHeight="1">
      <c r="A27" s="68"/>
      <c r="B27" s="239" t="s">
        <v>49</v>
      </c>
      <c r="C27" s="232" t="s">
        <v>34</v>
      </c>
      <c r="D27" s="108"/>
      <c r="E27" s="256"/>
      <c r="F27" s="257"/>
      <c r="G27" s="257"/>
      <c r="H27" s="257"/>
      <c r="I27" s="257"/>
      <c r="J27" s="257"/>
      <c r="K27" s="243" t="s">
        <v>35</v>
      </c>
      <c r="L27" s="236">
        <f>(E27*E11)+(F27*F11)+(G27*G11)+(H27*H11)+(I27*I11)+(J27*J11)</f>
        <v>0</v>
      </c>
      <c r="M27" s="237" t="s">
        <v>36</v>
      </c>
      <c r="N27" s="238" t="b">
        <v>0</v>
      </c>
    </row>
    <row r="28" ht="13.5" customHeight="1">
      <c r="A28" s="80"/>
      <c r="B28" s="245" t="str">
        <f>IFS(L28=0,"",B28&lt;&gt;"",B28,TRUE,NOW())</f>
        <v/>
      </c>
      <c r="C28" s="232" t="s">
        <v>37</v>
      </c>
      <c r="D28" s="108"/>
      <c r="E28" s="258"/>
      <c r="F28" s="258"/>
      <c r="G28" s="258"/>
      <c r="H28" s="258"/>
      <c r="I28" s="258"/>
      <c r="J28" s="258"/>
      <c r="K28" s="248" t="s">
        <v>38</v>
      </c>
      <c r="L28" s="249">
        <f>L27-L26</f>
        <v>0</v>
      </c>
      <c r="M28" s="250" t="s">
        <v>39</v>
      </c>
      <c r="N28" s="260" t="b">
        <v>0</v>
      </c>
    </row>
    <row r="29" ht="13.5" customHeight="1">
      <c r="A29" s="261" t="s">
        <v>50</v>
      </c>
      <c r="B29" s="209" t="s">
        <v>20</v>
      </c>
      <c r="C29" s="24"/>
      <c r="D29" s="33"/>
      <c r="E29" s="262">
        <f t="shared" ref="E29:J29" si="6">E6</f>
        <v>16</v>
      </c>
      <c r="F29" s="262">
        <f t="shared" si="6"/>
        <v>26</v>
      </c>
      <c r="G29" s="263">
        <f t="shared" si="6"/>
        <v>26</v>
      </c>
      <c r="H29" s="264">
        <f t="shared" si="6"/>
        <v>26</v>
      </c>
      <c r="I29" s="213">
        <f t="shared" si="6"/>
        <v>31</v>
      </c>
      <c r="J29" s="263">
        <f t="shared" si="6"/>
        <v>36</v>
      </c>
      <c r="K29" s="214" t="s">
        <v>21</v>
      </c>
      <c r="L29" s="25"/>
      <c r="M29" s="215" t="s">
        <v>22</v>
      </c>
      <c r="N29" s="10"/>
    </row>
    <row r="30" ht="13.5" customHeight="1">
      <c r="A30" s="216" t="s">
        <v>23</v>
      </c>
      <c r="B30" s="217" t="s">
        <v>24</v>
      </c>
      <c r="C30" s="218" t="s">
        <v>25</v>
      </c>
      <c r="D30" s="117"/>
      <c r="E30" s="219"/>
      <c r="F30" s="219"/>
      <c r="G30" s="219"/>
      <c r="H30" s="219"/>
      <c r="I30" s="220"/>
      <c r="J30" s="219"/>
      <c r="K30" s="49"/>
      <c r="L30" s="25"/>
      <c r="M30" s="50"/>
      <c r="N30" s="10"/>
    </row>
    <row r="31" ht="15.0" customHeight="1">
      <c r="A31" s="221"/>
      <c r="B31" s="222" t="s">
        <v>51</v>
      </c>
      <c r="C31" s="223" t="s">
        <v>27</v>
      </c>
      <c r="D31" s="224"/>
      <c r="E31" s="225">
        <f t="shared" ref="E31:J31" si="7">E30-E32</f>
        <v>0</v>
      </c>
      <c r="F31" s="225">
        <f t="shared" si="7"/>
        <v>0</v>
      </c>
      <c r="G31" s="225">
        <f t="shared" si="7"/>
        <v>0</v>
      </c>
      <c r="H31" s="225">
        <f t="shared" si="7"/>
        <v>0</v>
      </c>
      <c r="I31" s="225">
        <f t="shared" si="7"/>
        <v>0</v>
      </c>
      <c r="J31" s="226">
        <f t="shared" si="7"/>
        <v>0</v>
      </c>
      <c r="K31" s="227"/>
      <c r="L31" s="30"/>
      <c r="M31" s="228" t="s">
        <v>28</v>
      </c>
      <c r="N31" s="229" t="b">
        <v>0</v>
      </c>
    </row>
    <row r="32" ht="13.5" customHeight="1">
      <c r="A32" s="230" t="s">
        <v>29</v>
      </c>
      <c r="B32" s="231"/>
      <c r="C32" s="232" t="s">
        <v>30</v>
      </c>
      <c r="D32" s="108"/>
      <c r="E32" s="233"/>
      <c r="F32" s="233"/>
      <c r="G32" s="233"/>
      <c r="H32" s="233"/>
      <c r="I32" s="234"/>
      <c r="J32" s="233"/>
      <c r="K32" s="235" t="s">
        <v>30</v>
      </c>
      <c r="L32" s="236">
        <f>(E32*E29)+(F32*F29)+(G32*G29)+(H32*H29)+(I32*I29)+(J32*J29)</f>
        <v>0</v>
      </c>
      <c r="M32" s="237" t="s">
        <v>31</v>
      </c>
      <c r="N32" s="238" t="b">
        <v>0</v>
      </c>
    </row>
    <row r="33" ht="13.5" customHeight="1">
      <c r="A33" s="221"/>
      <c r="B33" s="239" t="s">
        <v>33</v>
      </c>
      <c r="C33" s="232" t="s">
        <v>34</v>
      </c>
      <c r="D33" s="108"/>
      <c r="E33" s="240"/>
      <c r="F33" s="241"/>
      <c r="G33" s="241"/>
      <c r="H33" s="241"/>
      <c r="I33" s="242"/>
      <c r="J33" s="241"/>
      <c r="K33" s="243" t="s">
        <v>35</v>
      </c>
      <c r="L33" s="236">
        <f>(E33*E29)+(F33*F29)+(G33*G29)+(H33*H29)+(I33*I29)+(J33*J29)</f>
        <v>0</v>
      </c>
      <c r="M33" s="244" t="s">
        <v>36</v>
      </c>
      <c r="N33" s="238" t="b">
        <v>0</v>
      </c>
    </row>
    <row r="34" ht="13.5" customHeight="1">
      <c r="A34" s="68"/>
      <c r="B34" s="245" t="str">
        <f>IFS(L34=0,"",B34&lt;&gt;"",B34,TRUE,NOW())</f>
        <v/>
      </c>
      <c r="C34" s="232" t="s">
        <v>37</v>
      </c>
      <c r="D34" s="108"/>
      <c r="E34" s="246"/>
      <c r="F34" s="246"/>
      <c r="G34" s="246"/>
      <c r="H34" s="246"/>
      <c r="I34" s="247"/>
      <c r="J34" s="246"/>
      <c r="K34" s="248" t="s">
        <v>38</v>
      </c>
      <c r="L34" s="249">
        <f>L33-L32</f>
        <v>0</v>
      </c>
      <c r="M34" s="250" t="s">
        <v>39</v>
      </c>
      <c r="N34" s="238" t="b">
        <v>0</v>
      </c>
    </row>
    <row r="35" ht="13.5" customHeight="1">
      <c r="A35" s="230" t="s">
        <v>40</v>
      </c>
      <c r="B35" s="222" t="s">
        <v>51</v>
      </c>
      <c r="C35" s="223" t="s">
        <v>27</v>
      </c>
      <c r="D35" s="224"/>
      <c r="E35" s="225">
        <f t="shared" ref="E35:J35" si="8">E33-E36</f>
        <v>0</v>
      </c>
      <c r="F35" s="225">
        <f t="shared" si="8"/>
        <v>0</v>
      </c>
      <c r="G35" s="225">
        <f t="shared" si="8"/>
        <v>0</v>
      </c>
      <c r="H35" s="225">
        <f t="shared" si="8"/>
        <v>0</v>
      </c>
      <c r="I35" s="225">
        <f t="shared" si="8"/>
        <v>0</v>
      </c>
      <c r="J35" s="226">
        <f t="shared" si="8"/>
        <v>0</v>
      </c>
      <c r="K35" s="227"/>
      <c r="L35" s="30"/>
      <c r="M35" s="228" t="s">
        <v>28</v>
      </c>
      <c r="N35" s="229" t="b">
        <v>0</v>
      </c>
    </row>
    <row r="36" ht="15.0" customHeight="1">
      <c r="A36" s="221"/>
      <c r="B36" s="231"/>
      <c r="C36" s="232" t="s">
        <v>30</v>
      </c>
      <c r="D36" s="108"/>
      <c r="E36" s="233"/>
      <c r="F36" s="233"/>
      <c r="G36" s="233"/>
      <c r="H36" s="233"/>
      <c r="I36" s="234"/>
      <c r="J36" s="251"/>
      <c r="K36" s="235" t="s">
        <v>30</v>
      </c>
      <c r="L36" s="236">
        <f>(E36*E29)+(F36*F29)+(G36*G29)+(H36*H29)+(I36*I29)+(J36*J29)</f>
        <v>0</v>
      </c>
      <c r="M36" s="237" t="s">
        <v>31</v>
      </c>
      <c r="N36" s="238" t="b">
        <v>0</v>
      </c>
    </row>
    <row r="37" ht="13.5" customHeight="1">
      <c r="A37" s="68"/>
      <c r="B37" s="239" t="s">
        <v>42</v>
      </c>
      <c r="C37" s="232" t="s">
        <v>34</v>
      </c>
      <c r="D37" s="108"/>
      <c r="E37" s="240"/>
      <c r="F37" s="241"/>
      <c r="G37" s="241"/>
      <c r="H37" s="241"/>
      <c r="I37" s="242"/>
      <c r="J37" s="252"/>
      <c r="K37" s="243" t="s">
        <v>35</v>
      </c>
      <c r="L37" s="236">
        <f>(E37*E29)+(F37*F29)+(G37*G29)+(H37*H29)+(I37*I29)+(J37*J29)</f>
        <v>0</v>
      </c>
      <c r="M37" s="237" t="s">
        <v>36</v>
      </c>
      <c r="N37" s="238" t="b">
        <v>0</v>
      </c>
    </row>
    <row r="38" ht="13.5" customHeight="1">
      <c r="A38" s="230" t="s">
        <v>43</v>
      </c>
      <c r="B38" s="245" t="str">
        <f>IFS(L38=0,"",B38&lt;&gt;"",B38,TRUE,NOW())</f>
        <v/>
      </c>
      <c r="C38" s="232" t="s">
        <v>37</v>
      </c>
      <c r="D38" s="108"/>
      <c r="E38" s="246"/>
      <c r="F38" s="246"/>
      <c r="G38" s="246"/>
      <c r="H38" s="246"/>
      <c r="I38" s="247"/>
      <c r="J38" s="253"/>
      <c r="K38" s="248" t="s">
        <v>38</v>
      </c>
      <c r="L38" s="249">
        <f>L37-L36</f>
        <v>0</v>
      </c>
      <c r="M38" s="250" t="s">
        <v>39</v>
      </c>
      <c r="N38" s="238" t="b">
        <v>0</v>
      </c>
    </row>
    <row r="39" ht="13.5" customHeight="1">
      <c r="A39" s="230"/>
      <c r="B39" s="222" t="s">
        <v>51</v>
      </c>
      <c r="C39" s="223" t="s">
        <v>27</v>
      </c>
      <c r="D39" s="224"/>
      <c r="E39" s="254">
        <f t="shared" ref="E39:J39" si="9">E37-E40</f>
        <v>0</v>
      </c>
      <c r="F39" s="254">
        <f t="shared" si="9"/>
        <v>0</v>
      </c>
      <c r="G39" s="254">
        <f t="shared" si="9"/>
        <v>0</v>
      </c>
      <c r="H39" s="254">
        <f t="shared" si="9"/>
        <v>0</v>
      </c>
      <c r="I39" s="254">
        <f t="shared" si="9"/>
        <v>0</v>
      </c>
      <c r="J39" s="254">
        <f t="shared" si="9"/>
        <v>0</v>
      </c>
      <c r="K39" s="227"/>
      <c r="L39" s="30"/>
      <c r="M39" s="228" t="s">
        <v>28</v>
      </c>
      <c r="N39" s="229" t="b">
        <v>0</v>
      </c>
    </row>
    <row r="40" ht="13.5" customHeight="1">
      <c r="A40" s="230" t="s">
        <v>45</v>
      </c>
      <c r="B40" s="231"/>
      <c r="C40" s="232" t="s">
        <v>30</v>
      </c>
      <c r="D40" s="108"/>
      <c r="E40" s="255"/>
      <c r="F40" s="255"/>
      <c r="G40" s="255"/>
      <c r="H40" s="255"/>
      <c r="I40" s="255"/>
      <c r="J40" s="255"/>
      <c r="K40" s="235" t="s">
        <v>30</v>
      </c>
      <c r="L40" s="236">
        <f>(E40*E29)+(F40*F29)+(G40*G29)+(H40*H29)+(I40*I29)+(J40*J29)</f>
        <v>0</v>
      </c>
      <c r="M40" s="237" t="s">
        <v>31</v>
      </c>
      <c r="N40" s="238" t="b">
        <v>0</v>
      </c>
    </row>
    <row r="41" ht="15.0" customHeight="1">
      <c r="A41" s="221"/>
      <c r="B41" s="239" t="s">
        <v>47</v>
      </c>
      <c r="C41" s="232" t="s">
        <v>34</v>
      </c>
      <c r="D41" s="108"/>
      <c r="E41" s="256"/>
      <c r="F41" s="257"/>
      <c r="G41" s="257"/>
      <c r="H41" s="257"/>
      <c r="I41" s="257"/>
      <c r="J41" s="257"/>
      <c r="K41" s="243" t="s">
        <v>35</v>
      </c>
      <c r="L41" s="236">
        <f>(E41*E29)+(F41*F29)+(G41*G29)+(H41*H29)+(I41*I29)+(J41*J29)</f>
        <v>0</v>
      </c>
      <c r="M41" s="237" t="s">
        <v>36</v>
      </c>
      <c r="N41" s="238" t="b">
        <v>0</v>
      </c>
    </row>
    <row r="42" ht="13.5" customHeight="1">
      <c r="A42" s="68"/>
      <c r="B42" s="245" t="str">
        <f>IFS(L42=0,"",B42&lt;&gt;"",B42,TRUE,NOW())</f>
        <v/>
      </c>
      <c r="C42" s="232" t="s">
        <v>37</v>
      </c>
      <c r="D42" s="108"/>
      <c r="E42" s="258"/>
      <c r="F42" s="258"/>
      <c r="G42" s="258"/>
      <c r="H42" s="258"/>
      <c r="I42" s="258"/>
      <c r="J42" s="258"/>
      <c r="K42" s="248" t="s">
        <v>38</v>
      </c>
      <c r="L42" s="249">
        <f>L41-L40</f>
        <v>0</v>
      </c>
      <c r="M42" s="250" t="s">
        <v>39</v>
      </c>
      <c r="N42" s="238" t="b">
        <v>0</v>
      </c>
    </row>
    <row r="43" ht="13.5" customHeight="1">
      <c r="A43" s="259" t="s">
        <v>48</v>
      </c>
      <c r="B43" s="222" t="s">
        <v>51</v>
      </c>
      <c r="C43" s="223" t="s">
        <v>27</v>
      </c>
      <c r="D43" s="224"/>
      <c r="E43" s="254">
        <f t="shared" ref="E43:J43" si="10">E41-E44</f>
        <v>0</v>
      </c>
      <c r="F43" s="254">
        <f t="shared" si="10"/>
        <v>0</v>
      </c>
      <c r="G43" s="254">
        <f t="shared" si="10"/>
        <v>0</v>
      </c>
      <c r="H43" s="254">
        <f t="shared" si="10"/>
        <v>0</v>
      </c>
      <c r="I43" s="254">
        <f t="shared" si="10"/>
        <v>0</v>
      </c>
      <c r="J43" s="254">
        <f t="shared" si="10"/>
        <v>0</v>
      </c>
      <c r="K43" s="227"/>
      <c r="L43" s="30"/>
      <c r="M43" s="228" t="s">
        <v>28</v>
      </c>
      <c r="N43" s="229" t="b">
        <v>0</v>
      </c>
    </row>
    <row r="44" ht="13.5" customHeight="1">
      <c r="A44" s="87"/>
      <c r="B44" s="231"/>
      <c r="C44" s="232" t="s">
        <v>30</v>
      </c>
      <c r="D44" s="108"/>
      <c r="E44" s="255"/>
      <c r="F44" s="255"/>
      <c r="G44" s="255"/>
      <c r="H44" s="255"/>
      <c r="I44" s="255"/>
      <c r="J44" s="255"/>
      <c r="K44" s="235" t="s">
        <v>30</v>
      </c>
      <c r="L44" s="236">
        <f>(E44*E29)+(F44*F29)+(G44*G29)+(H44*H29)+(I44*I29)+(J44*J29)</f>
        <v>0</v>
      </c>
      <c r="M44" s="237" t="s">
        <v>31</v>
      </c>
      <c r="N44" s="238" t="b">
        <v>0</v>
      </c>
    </row>
    <row r="45" ht="13.5" customHeight="1">
      <c r="A45" s="68"/>
      <c r="B45" s="239" t="s">
        <v>49</v>
      </c>
      <c r="C45" s="232" t="s">
        <v>34</v>
      </c>
      <c r="D45" s="108"/>
      <c r="E45" s="256"/>
      <c r="F45" s="257"/>
      <c r="G45" s="257"/>
      <c r="H45" s="257"/>
      <c r="I45" s="257"/>
      <c r="J45" s="257"/>
      <c r="K45" s="243" t="s">
        <v>35</v>
      </c>
      <c r="L45" s="236">
        <f>(E45*E29)+(F45*F29)+(G45*G29)+(H45*H29)+(I45*I29)+(J45*J29)</f>
        <v>0</v>
      </c>
      <c r="M45" s="237" t="s">
        <v>36</v>
      </c>
      <c r="N45" s="238" t="b">
        <v>0</v>
      </c>
    </row>
    <row r="46" ht="15.0" customHeight="1">
      <c r="A46" s="80"/>
      <c r="B46" s="245" t="str">
        <f>IFS(L46=0,"",B46&lt;&gt;"",B46,TRUE,NOW())</f>
        <v/>
      </c>
      <c r="C46" s="265" t="s">
        <v>37</v>
      </c>
      <c r="D46" s="117"/>
      <c r="E46" s="258"/>
      <c r="F46" s="258"/>
      <c r="G46" s="258"/>
      <c r="H46" s="258"/>
      <c r="I46" s="258"/>
      <c r="J46" s="258"/>
      <c r="K46" s="248" t="s">
        <v>38</v>
      </c>
      <c r="L46" s="249">
        <f>L45-L44</f>
        <v>0</v>
      </c>
      <c r="M46" s="250" t="s">
        <v>39</v>
      </c>
      <c r="N46" s="260" t="b">
        <v>0</v>
      </c>
    </row>
    <row r="47" ht="13.5" customHeight="1">
      <c r="A47" s="261" t="s">
        <v>56</v>
      </c>
      <c r="B47" s="209" t="s">
        <v>20</v>
      </c>
      <c r="C47" s="24"/>
      <c r="D47" s="33"/>
      <c r="E47" s="262">
        <f t="shared" ref="E47:J47" si="11">E6</f>
        <v>16</v>
      </c>
      <c r="F47" s="262">
        <f t="shared" si="11"/>
        <v>26</v>
      </c>
      <c r="G47" s="263">
        <f t="shared" si="11"/>
        <v>26</v>
      </c>
      <c r="H47" s="264">
        <f t="shared" si="11"/>
        <v>26</v>
      </c>
      <c r="I47" s="213">
        <f t="shared" si="11"/>
        <v>31</v>
      </c>
      <c r="J47" s="263">
        <f t="shared" si="11"/>
        <v>36</v>
      </c>
      <c r="K47" s="214" t="s">
        <v>21</v>
      </c>
      <c r="L47" s="25"/>
      <c r="M47" s="215" t="s">
        <v>22</v>
      </c>
      <c r="N47" s="10"/>
    </row>
    <row r="48" ht="13.5" customHeight="1">
      <c r="A48" s="216" t="s">
        <v>23</v>
      </c>
      <c r="B48" s="217" t="s">
        <v>24</v>
      </c>
      <c r="C48" s="218" t="s">
        <v>25</v>
      </c>
      <c r="D48" s="117"/>
      <c r="E48" s="219"/>
      <c r="F48" s="219"/>
      <c r="G48" s="219"/>
      <c r="H48" s="219"/>
      <c r="I48" s="220"/>
      <c r="J48" s="219"/>
      <c r="K48" s="49"/>
      <c r="L48" s="25"/>
      <c r="M48" s="50"/>
      <c r="N48" s="10"/>
    </row>
    <row r="49" ht="13.5" customHeight="1">
      <c r="A49" s="221"/>
      <c r="B49" s="222" t="s">
        <v>57</v>
      </c>
      <c r="C49" s="223" t="s">
        <v>27</v>
      </c>
      <c r="D49" s="224"/>
      <c r="E49" s="225">
        <f t="shared" ref="E49:J49" si="12">E48-E50</f>
        <v>0</v>
      </c>
      <c r="F49" s="225">
        <f t="shared" si="12"/>
        <v>0</v>
      </c>
      <c r="G49" s="225">
        <f t="shared" si="12"/>
        <v>0</v>
      </c>
      <c r="H49" s="225">
        <f t="shared" si="12"/>
        <v>0</v>
      </c>
      <c r="I49" s="225">
        <f t="shared" si="12"/>
        <v>0</v>
      </c>
      <c r="J49" s="226">
        <f t="shared" si="12"/>
        <v>0</v>
      </c>
      <c r="K49" s="227"/>
      <c r="L49" s="30"/>
      <c r="M49" s="228" t="s">
        <v>28</v>
      </c>
      <c r="N49" s="229" t="b">
        <v>0</v>
      </c>
    </row>
    <row r="50" ht="13.5" customHeight="1">
      <c r="A50" s="230" t="s">
        <v>29</v>
      </c>
      <c r="B50" s="231"/>
      <c r="C50" s="232" t="s">
        <v>30</v>
      </c>
      <c r="D50" s="108"/>
      <c r="E50" s="233"/>
      <c r="F50" s="233"/>
      <c r="G50" s="233"/>
      <c r="H50" s="233"/>
      <c r="I50" s="234"/>
      <c r="J50" s="233"/>
      <c r="K50" s="235" t="s">
        <v>30</v>
      </c>
      <c r="L50" s="236">
        <f>(E50*E47)+(F50*F47)+(G50*G47)+(H50*H47)+(I50*I47)+(J50*J47)</f>
        <v>0</v>
      </c>
      <c r="M50" s="237" t="s">
        <v>31</v>
      </c>
      <c r="N50" s="238" t="b">
        <v>0</v>
      </c>
    </row>
    <row r="51" ht="13.5" customHeight="1">
      <c r="A51" s="221"/>
      <c r="B51" s="239" t="s">
        <v>33</v>
      </c>
      <c r="C51" s="232" t="s">
        <v>34</v>
      </c>
      <c r="D51" s="108"/>
      <c r="E51" s="240"/>
      <c r="F51" s="241"/>
      <c r="G51" s="241"/>
      <c r="H51" s="241"/>
      <c r="I51" s="242"/>
      <c r="J51" s="241"/>
      <c r="K51" s="243" t="s">
        <v>35</v>
      </c>
      <c r="L51" s="236">
        <f>(E51*E47)+(F51*F47)+(G51*G47)+(H51*H47)+(I51*I47)+(J51*J47)</f>
        <v>0</v>
      </c>
      <c r="M51" s="244" t="s">
        <v>36</v>
      </c>
      <c r="N51" s="238" t="b">
        <v>0</v>
      </c>
    </row>
    <row r="52" ht="13.5" customHeight="1">
      <c r="A52" s="68"/>
      <c r="B52" s="245" t="str">
        <f>IFS(L52=0,"",B52&lt;&gt;"",B52,TRUE,NOW())</f>
        <v/>
      </c>
      <c r="C52" s="232" t="s">
        <v>37</v>
      </c>
      <c r="D52" s="108"/>
      <c r="E52" s="246"/>
      <c r="F52" s="246"/>
      <c r="G52" s="246"/>
      <c r="H52" s="246"/>
      <c r="I52" s="247"/>
      <c r="J52" s="246"/>
      <c r="K52" s="248" t="s">
        <v>38</v>
      </c>
      <c r="L52" s="249">
        <f>L51-L50</f>
        <v>0</v>
      </c>
      <c r="M52" s="250" t="s">
        <v>39</v>
      </c>
      <c r="N52" s="238" t="b">
        <v>0</v>
      </c>
    </row>
    <row r="53" ht="15.0" customHeight="1">
      <c r="A53" s="230" t="s">
        <v>40</v>
      </c>
      <c r="B53" s="222" t="s">
        <v>57</v>
      </c>
      <c r="C53" s="223" t="s">
        <v>27</v>
      </c>
      <c r="D53" s="224"/>
      <c r="E53" s="225">
        <f t="shared" ref="E53:J53" si="13">E51-E54</f>
        <v>0</v>
      </c>
      <c r="F53" s="225">
        <f t="shared" si="13"/>
        <v>0</v>
      </c>
      <c r="G53" s="225">
        <f t="shared" si="13"/>
        <v>0</v>
      </c>
      <c r="H53" s="225">
        <f t="shared" si="13"/>
        <v>0</v>
      </c>
      <c r="I53" s="225">
        <f t="shared" si="13"/>
        <v>0</v>
      </c>
      <c r="J53" s="226">
        <f t="shared" si="13"/>
        <v>0</v>
      </c>
      <c r="K53" s="227"/>
      <c r="L53" s="30"/>
      <c r="M53" s="228" t="s">
        <v>28</v>
      </c>
      <c r="N53" s="229" t="b">
        <v>0</v>
      </c>
    </row>
    <row r="54" ht="13.5" customHeight="1">
      <c r="A54" s="221"/>
      <c r="B54" s="231"/>
      <c r="C54" s="232" t="s">
        <v>30</v>
      </c>
      <c r="D54" s="108"/>
      <c r="E54" s="233"/>
      <c r="F54" s="233"/>
      <c r="G54" s="233"/>
      <c r="H54" s="233"/>
      <c r="I54" s="234"/>
      <c r="J54" s="251"/>
      <c r="K54" s="235" t="s">
        <v>30</v>
      </c>
      <c r="L54" s="236">
        <f>(E54*E47)+(F54*F47)+(G54*G47)+(H54*H47)+(I54*I47)+(J54*J47)</f>
        <v>0</v>
      </c>
      <c r="M54" s="237" t="s">
        <v>31</v>
      </c>
      <c r="N54" s="238" t="b">
        <v>0</v>
      </c>
    </row>
    <row r="55" ht="13.5" customHeight="1">
      <c r="A55" s="68"/>
      <c r="B55" s="239" t="s">
        <v>42</v>
      </c>
      <c r="C55" s="232" t="s">
        <v>34</v>
      </c>
      <c r="D55" s="108"/>
      <c r="E55" s="240"/>
      <c r="F55" s="241"/>
      <c r="G55" s="241"/>
      <c r="H55" s="241"/>
      <c r="I55" s="242"/>
      <c r="J55" s="252"/>
      <c r="K55" s="243" t="s">
        <v>35</v>
      </c>
      <c r="L55" s="236">
        <f>(E55*E47)+(F55*F47)+(G55*G47)+(H55*H47)+(I55*I47)+(J55*J47)</f>
        <v>0</v>
      </c>
      <c r="M55" s="237" t="s">
        <v>36</v>
      </c>
      <c r="N55" s="238" t="b">
        <v>0</v>
      </c>
    </row>
    <row r="56" ht="13.5" customHeight="1">
      <c r="A56" s="230" t="s">
        <v>43</v>
      </c>
      <c r="B56" s="245" t="str">
        <f>IFS(L56=0,"",B56&lt;&gt;"",B56,TRUE,NOW())</f>
        <v/>
      </c>
      <c r="C56" s="232" t="s">
        <v>37</v>
      </c>
      <c r="D56" s="108"/>
      <c r="E56" s="246"/>
      <c r="F56" s="246"/>
      <c r="G56" s="246"/>
      <c r="H56" s="246"/>
      <c r="I56" s="247"/>
      <c r="J56" s="253"/>
      <c r="K56" s="248" t="s">
        <v>38</v>
      </c>
      <c r="L56" s="249">
        <f>L55-L54</f>
        <v>0</v>
      </c>
      <c r="M56" s="250" t="s">
        <v>39</v>
      </c>
      <c r="N56" s="238" t="b">
        <v>0</v>
      </c>
    </row>
    <row r="57" ht="13.5" customHeight="1">
      <c r="A57" s="230"/>
      <c r="B57" s="222" t="s">
        <v>57</v>
      </c>
      <c r="C57" s="223" t="s">
        <v>27</v>
      </c>
      <c r="D57" s="224"/>
      <c r="E57" s="254">
        <f t="shared" ref="E57:J57" si="14">E55-E58</f>
        <v>0</v>
      </c>
      <c r="F57" s="254">
        <f t="shared" si="14"/>
        <v>0</v>
      </c>
      <c r="G57" s="254">
        <f t="shared" si="14"/>
        <v>0</v>
      </c>
      <c r="H57" s="254">
        <f t="shared" si="14"/>
        <v>0</v>
      </c>
      <c r="I57" s="254">
        <f t="shared" si="14"/>
        <v>0</v>
      </c>
      <c r="J57" s="254">
        <f t="shared" si="14"/>
        <v>0</v>
      </c>
      <c r="K57" s="227"/>
      <c r="L57" s="30"/>
      <c r="M57" s="228" t="s">
        <v>28</v>
      </c>
      <c r="N57" s="229" t="b">
        <v>0</v>
      </c>
    </row>
    <row r="58" ht="15.0" customHeight="1">
      <c r="A58" s="230" t="s">
        <v>45</v>
      </c>
      <c r="B58" s="231"/>
      <c r="C58" s="232" t="s">
        <v>30</v>
      </c>
      <c r="D58" s="108"/>
      <c r="E58" s="255"/>
      <c r="F58" s="255"/>
      <c r="G58" s="255"/>
      <c r="H58" s="255"/>
      <c r="I58" s="255"/>
      <c r="J58" s="255"/>
      <c r="K58" s="235" t="s">
        <v>30</v>
      </c>
      <c r="L58" s="236">
        <f>(E58*E47)+(F58*F47)+(G58*G47)+(H58*H47)+(I58*I47)+(J58*J47)</f>
        <v>0</v>
      </c>
      <c r="M58" s="237" t="s">
        <v>31</v>
      </c>
      <c r="N58" s="238" t="b">
        <v>0</v>
      </c>
    </row>
    <row r="59" ht="13.5" customHeight="1">
      <c r="A59" s="221"/>
      <c r="B59" s="239" t="s">
        <v>47</v>
      </c>
      <c r="C59" s="232" t="s">
        <v>34</v>
      </c>
      <c r="D59" s="108"/>
      <c r="E59" s="256"/>
      <c r="F59" s="257"/>
      <c r="G59" s="257"/>
      <c r="H59" s="257"/>
      <c r="I59" s="257"/>
      <c r="J59" s="257"/>
      <c r="K59" s="243" t="s">
        <v>35</v>
      </c>
      <c r="L59" s="236">
        <f>(E59*E47)+(F59*F47)+(G59*G47)+(H59*H47)+(I59*I47)+(J59*J47)</f>
        <v>0</v>
      </c>
      <c r="M59" s="237" t="s">
        <v>36</v>
      </c>
      <c r="N59" s="238" t="b">
        <v>0</v>
      </c>
    </row>
    <row r="60" ht="13.5" customHeight="1">
      <c r="A60" s="68"/>
      <c r="B60" s="245" t="str">
        <f>IFS(L60=0,"",B60&lt;&gt;"",B60,TRUE,NOW())</f>
        <v/>
      </c>
      <c r="C60" s="232" t="s">
        <v>37</v>
      </c>
      <c r="D60" s="108"/>
      <c r="E60" s="258"/>
      <c r="F60" s="258"/>
      <c r="G60" s="258"/>
      <c r="H60" s="258"/>
      <c r="I60" s="258"/>
      <c r="J60" s="258"/>
      <c r="K60" s="248" t="s">
        <v>38</v>
      </c>
      <c r="L60" s="249">
        <f>L59-L58</f>
        <v>0</v>
      </c>
      <c r="M60" s="250" t="s">
        <v>39</v>
      </c>
      <c r="N60" s="238" t="b">
        <v>0</v>
      </c>
    </row>
    <row r="61" ht="13.5" customHeight="1">
      <c r="A61" s="259" t="s">
        <v>48</v>
      </c>
      <c r="B61" s="222" t="s">
        <v>57</v>
      </c>
      <c r="C61" s="223" t="s">
        <v>27</v>
      </c>
      <c r="D61" s="224"/>
      <c r="E61" s="254">
        <f t="shared" ref="E61:J61" si="15">E59-E62</f>
        <v>0</v>
      </c>
      <c r="F61" s="254">
        <f t="shared" si="15"/>
        <v>0</v>
      </c>
      <c r="G61" s="254">
        <f t="shared" si="15"/>
        <v>0</v>
      </c>
      <c r="H61" s="254">
        <f t="shared" si="15"/>
        <v>0</v>
      </c>
      <c r="I61" s="254">
        <f t="shared" si="15"/>
        <v>0</v>
      </c>
      <c r="J61" s="254">
        <f t="shared" si="15"/>
        <v>0</v>
      </c>
      <c r="K61" s="227"/>
      <c r="L61" s="30"/>
      <c r="M61" s="228" t="s">
        <v>28</v>
      </c>
      <c r="N61" s="229" t="b">
        <v>0</v>
      </c>
    </row>
    <row r="62" ht="13.5" customHeight="1">
      <c r="A62" s="87"/>
      <c r="B62" s="231"/>
      <c r="C62" s="232" t="s">
        <v>30</v>
      </c>
      <c r="D62" s="108"/>
      <c r="E62" s="255"/>
      <c r="F62" s="255"/>
      <c r="G62" s="255"/>
      <c r="H62" s="255"/>
      <c r="I62" s="255"/>
      <c r="J62" s="255"/>
      <c r="K62" s="235" t="s">
        <v>30</v>
      </c>
      <c r="L62" s="236">
        <f>(E62*E47)+(F62*F47)+(G62*G47)+(H62*H47)+(I62*I47)+(J62*J47)</f>
        <v>0</v>
      </c>
      <c r="M62" s="237" t="s">
        <v>31</v>
      </c>
      <c r="N62" s="238" t="b">
        <v>0</v>
      </c>
    </row>
    <row r="63" ht="15.0" customHeight="1">
      <c r="A63" s="68"/>
      <c r="B63" s="239" t="s">
        <v>49</v>
      </c>
      <c r="C63" s="232" t="s">
        <v>34</v>
      </c>
      <c r="D63" s="108"/>
      <c r="E63" s="256"/>
      <c r="F63" s="257"/>
      <c r="G63" s="257"/>
      <c r="H63" s="257"/>
      <c r="I63" s="257"/>
      <c r="J63" s="257"/>
      <c r="K63" s="243" t="s">
        <v>35</v>
      </c>
      <c r="L63" s="236">
        <f>(E63*E47)+(F63*F47)+(G63*G47)+(H63*H47)+(I63*I47)+(J63*J47)</f>
        <v>0</v>
      </c>
      <c r="M63" s="237" t="s">
        <v>36</v>
      </c>
      <c r="N63" s="238" t="b">
        <v>0</v>
      </c>
    </row>
    <row r="64" ht="13.5" customHeight="1">
      <c r="A64" s="80"/>
      <c r="B64" s="245" t="str">
        <f>IFS(L64=0,"",B64&lt;&gt;"",B64,TRUE,NOW())</f>
        <v/>
      </c>
      <c r="C64" s="232" t="s">
        <v>37</v>
      </c>
      <c r="D64" s="108"/>
      <c r="E64" s="258"/>
      <c r="F64" s="258"/>
      <c r="G64" s="258"/>
      <c r="H64" s="258"/>
      <c r="I64" s="258"/>
      <c r="J64" s="258"/>
      <c r="K64" s="248" t="s">
        <v>38</v>
      </c>
      <c r="L64" s="249">
        <f>L63-L62</f>
        <v>0</v>
      </c>
      <c r="M64" s="250" t="s">
        <v>39</v>
      </c>
      <c r="N64" s="260" t="b">
        <v>0</v>
      </c>
    </row>
    <row r="65" ht="13.5" customHeight="1">
      <c r="A65" s="261" t="s">
        <v>62</v>
      </c>
      <c r="B65" s="209" t="s">
        <v>20</v>
      </c>
      <c r="C65" s="24"/>
      <c r="D65" s="33"/>
      <c r="E65" s="262">
        <f t="shared" ref="E65:J65" si="16">E6</f>
        <v>16</v>
      </c>
      <c r="F65" s="262">
        <f t="shared" si="16"/>
        <v>26</v>
      </c>
      <c r="G65" s="263">
        <f t="shared" si="16"/>
        <v>26</v>
      </c>
      <c r="H65" s="264">
        <f t="shared" si="16"/>
        <v>26</v>
      </c>
      <c r="I65" s="213">
        <f t="shared" si="16"/>
        <v>31</v>
      </c>
      <c r="J65" s="263">
        <f t="shared" si="16"/>
        <v>36</v>
      </c>
      <c r="K65" s="214" t="s">
        <v>21</v>
      </c>
      <c r="L65" s="25"/>
      <c r="M65" s="215" t="s">
        <v>22</v>
      </c>
      <c r="N65" s="10"/>
    </row>
    <row r="66" ht="13.5" customHeight="1">
      <c r="A66" s="216" t="s">
        <v>23</v>
      </c>
      <c r="B66" s="217" t="s">
        <v>24</v>
      </c>
      <c r="C66" s="218" t="s">
        <v>25</v>
      </c>
      <c r="D66" s="117"/>
      <c r="E66" s="219"/>
      <c r="F66" s="219"/>
      <c r="G66" s="219"/>
      <c r="H66" s="219"/>
      <c r="I66" s="220"/>
      <c r="J66" s="219"/>
      <c r="K66" s="49"/>
      <c r="L66" s="25"/>
      <c r="M66" s="50"/>
      <c r="N66" s="10"/>
    </row>
    <row r="67" ht="13.5" customHeight="1">
      <c r="A67" s="221"/>
      <c r="B67" s="222" t="s">
        <v>63</v>
      </c>
      <c r="C67" s="223" t="s">
        <v>27</v>
      </c>
      <c r="D67" s="224"/>
      <c r="E67" s="225">
        <f t="shared" ref="E67:J67" si="17">E66-E68</f>
        <v>0</v>
      </c>
      <c r="F67" s="225">
        <f t="shared" si="17"/>
        <v>0</v>
      </c>
      <c r="G67" s="225">
        <f t="shared" si="17"/>
        <v>0</v>
      </c>
      <c r="H67" s="225">
        <f t="shared" si="17"/>
        <v>0</v>
      </c>
      <c r="I67" s="225">
        <f t="shared" si="17"/>
        <v>0</v>
      </c>
      <c r="J67" s="226">
        <f t="shared" si="17"/>
        <v>0</v>
      </c>
      <c r="K67" s="227"/>
      <c r="L67" s="30"/>
      <c r="M67" s="228" t="s">
        <v>28</v>
      </c>
      <c r="N67" s="229" t="b">
        <v>0</v>
      </c>
    </row>
    <row r="68" ht="15.0" customHeight="1">
      <c r="A68" s="230" t="s">
        <v>29</v>
      </c>
      <c r="B68" s="231"/>
      <c r="C68" s="232" t="s">
        <v>30</v>
      </c>
      <c r="D68" s="108"/>
      <c r="E68" s="233"/>
      <c r="F68" s="233"/>
      <c r="G68" s="233"/>
      <c r="H68" s="233"/>
      <c r="I68" s="234"/>
      <c r="J68" s="233"/>
      <c r="K68" s="235" t="s">
        <v>30</v>
      </c>
      <c r="L68" s="236">
        <f>(E68*E65)+(F68*F65)+(G68*G65)+(H68*H65)+(I68*I65)+(J68*J65)</f>
        <v>0</v>
      </c>
      <c r="M68" s="237" t="s">
        <v>31</v>
      </c>
      <c r="N68" s="238" t="b">
        <v>0</v>
      </c>
    </row>
    <row r="69" ht="13.5" customHeight="1">
      <c r="A69" s="221"/>
      <c r="B69" s="239" t="s">
        <v>33</v>
      </c>
      <c r="C69" s="232" t="s">
        <v>34</v>
      </c>
      <c r="D69" s="108"/>
      <c r="E69" s="240"/>
      <c r="F69" s="241"/>
      <c r="G69" s="241"/>
      <c r="H69" s="241"/>
      <c r="I69" s="242"/>
      <c r="J69" s="241"/>
      <c r="K69" s="243" t="s">
        <v>35</v>
      </c>
      <c r="L69" s="236">
        <f>(E69*E65)+(F69*F65)+(G69*G65)+(H69*H65)+(I69*I65)+(J69*J65)</f>
        <v>0</v>
      </c>
      <c r="M69" s="244" t="s">
        <v>36</v>
      </c>
      <c r="N69" s="238" t="b">
        <v>0</v>
      </c>
    </row>
    <row r="70" ht="13.5" customHeight="1">
      <c r="A70" s="68"/>
      <c r="B70" s="245" t="str">
        <f>IFS(L70=0,"",B70&lt;&gt;"",B70,TRUE,NOW())</f>
        <v/>
      </c>
      <c r="C70" s="232" t="s">
        <v>37</v>
      </c>
      <c r="D70" s="108"/>
      <c r="E70" s="246"/>
      <c r="F70" s="246"/>
      <c r="G70" s="246"/>
      <c r="H70" s="246"/>
      <c r="I70" s="247"/>
      <c r="J70" s="246"/>
      <c r="K70" s="248" t="s">
        <v>38</v>
      </c>
      <c r="L70" s="249">
        <f>L69-L68</f>
        <v>0</v>
      </c>
      <c r="M70" s="250" t="s">
        <v>39</v>
      </c>
      <c r="N70" s="238" t="b">
        <v>0</v>
      </c>
    </row>
    <row r="71" ht="13.5" customHeight="1">
      <c r="A71" s="230" t="s">
        <v>40</v>
      </c>
      <c r="B71" s="222" t="s">
        <v>63</v>
      </c>
      <c r="C71" s="223" t="s">
        <v>27</v>
      </c>
      <c r="D71" s="224"/>
      <c r="E71" s="225">
        <f t="shared" ref="E71:J71" si="18">E69-E72</f>
        <v>0</v>
      </c>
      <c r="F71" s="225">
        <f t="shared" si="18"/>
        <v>0</v>
      </c>
      <c r="G71" s="225">
        <f t="shared" si="18"/>
        <v>0</v>
      </c>
      <c r="H71" s="225">
        <f t="shared" si="18"/>
        <v>0</v>
      </c>
      <c r="I71" s="225">
        <f t="shared" si="18"/>
        <v>0</v>
      </c>
      <c r="J71" s="226">
        <f t="shared" si="18"/>
        <v>0</v>
      </c>
      <c r="K71" s="227"/>
      <c r="L71" s="30"/>
      <c r="M71" s="228" t="s">
        <v>28</v>
      </c>
      <c r="N71" s="229" t="b">
        <v>0</v>
      </c>
    </row>
    <row r="72" ht="13.5" customHeight="1">
      <c r="A72" s="221"/>
      <c r="B72" s="231"/>
      <c r="C72" s="232" t="s">
        <v>30</v>
      </c>
      <c r="D72" s="108"/>
      <c r="E72" s="233"/>
      <c r="F72" s="233"/>
      <c r="G72" s="233"/>
      <c r="H72" s="233"/>
      <c r="I72" s="234"/>
      <c r="J72" s="251"/>
      <c r="K72" s="235" t="s">
        <v>30</v>
      </c>
      <c r="L72" s="236">
        <f>(E72*E65)+(F72*F65)+(G72*G65)+(H72*H65)+(I72*I65)+(J72*J65)</f>
        <v>0</v>
      </c>
      <c r="M72" s="237" t="s">
        <v>31</v>
      </c>
      <c r="N72" s="238" t="b">
        <v>0</v>
      </c>
    </row>
    <row r="73" ht="13.5" customHeight="1">
      <c r="A73" s="68"/>
      <c r="B73" s="239" t="s">
        <v>42</v>
      </c>
      <c r="C73" s="232" t="s">
        <v>34</v>
      </c>
      <c r="D73" s="108"/>
      <c r="E73" s="240"/>
      <c r="F73" s="241"/>
      <c r="G73" s="241"/>
      <c r="H73" s="241"/>
      <c r="I73" s="242"/>
      <c r="J73" s="252"/>
      <c r="K73" s="243" t="s">
        <v>35</v>
      </c>
      <c r="L73" s="236">
        <f>(E73*E65)+(F73*F65)+(G73*G65)+(H73*H65)+(I73*I65)+(J73*J65)</f>
        <v>0</v>
      </c>
      <c r="M73" s="237" t="s">
        <v>36</v>
      </c>
      <c r="N73" s="238" t="b">
        <v>0</v>
      </c>
    </row>
    <row r="74" ht="13.5" customHeight="1">
      <c r="A74" s="230" t="s">
        <v>43</v>
      </c>
      <c r="B74" s="245" t="str">
        <f>IFS(L74=0,"",B74&lt;&gt;"",B74,TRUE,NOW())</f>
        <v/>
      </c>
      <c r="C74" s="232" t="s">
        <v>37</v>
      </c>
      <c r="D74" s="108"/>
      <c r="E74" s="246"/>
      <c r="F74" s="246"/>
      <c r="G74" s="246"/>
      <c r="H74" s="246"/>
      <c r="I74" s="247"/>
      <c r="J74" s="253"/>
      <c r="K74" s="248" t="s">
        <v>38</v>
      </c>
      <c r="L74" s="249">
        <f>L73-L72</f>
        <v>0</v>
      </c>
      <c r="M74" s="250" t="s">
        <v>39</v>
      </c>
      <c r="N74" s="238" t="b">
        <v>0</v>
      </c>
    </row>
    <row r="75" ht="15.0" customHeight="1">
      <c r="A75" s="230"/>
      <c r="B75" s="222" t="s">
        <v>63</v>
      </c>
      <c r="C75" s="223" t="s">
        <v>27</v>
      </c>
      <c r="D75" s="224"/>
      <c r="E75" s="254">
        <f t="shared" ref="E75:J75" si="19">E73-E76</f>
        <v>0</v>
      </c>
      <c r="F75" s="254">
        <f t="shared" si="19"/>
        <v>0</v>
      </c>
      <c r="G75" s="254">
        <f t="shared" si="19"/>
        <v>0</v>
      </c>
      <c r="H75" s="254">
        <f t="shared" si="19"/>
        <v>0</v>
      </c>
      <c r="I75" s="254">
        <f t="shared" si="19"/>
        <v>0</v>
      </c>
      <c r="J75" s="254">
        <f t="shared" si="19"/>
        <v>0</v>
      </c>
      <c r="K75" s="227"/>
      <c r="L75" s="30"/>
      <c r="M75" s="228" t="s">
        <v>28</v>
      </c>
      <c r="N75" s="229" t="b">
        <v>0</v>
      </c>
    </row>
    <row r="76" ht="13.5" customHeight="1">
      <c r="A76" s="230" t="s">
        <v>45</v>
      </c>
      <c r="B76" s="231"/>
      <c r="C76" s="232" t="s">
        <v>30</v>
      </c>
      <c r="D76" s="108"/>
      <c r="E76" s="255"/>
      <c r="F76" s="255"/>
      <c r="G76" s="255"/>
      <c r="H76" s="255"/>
      <c r="I76" s="255"/>
      <c r="J76" s="255"/>
      <c r="K76" s="235" t="s">
        <v>30</v>
      </c>
      <c r="L76" s="236">
        <f>(E76*E65)+(F76*F65)+(G76*G65)+(H76*H65)+(I76*I65)+(J76*J65)</f>
        <v>0</v>
      </c>
      <c r="M76" s="237" t="s">
        <v>31</v>
      </c>
      <c r="N76" s="238" t="b">
        <v>0</v>
      </c>
    </row>
    <row r="77" ht="13.5" customHeight="1">
      <c r="A77" s="221"/>
      <c r="B77" s="239" t="s">
        <v>47</v>
      </c>
      <c r="C77" s="232" t="s">
        <v>34</v>
      </c>
      <c r="D77" s="108"/>
      <c r="E77" s="256"/>
      <c r="F77" s="257"/>
      <c r="G77" s="257"/>
      <c r="H77" s="257"/>
      <c r="I77" s="257"/>
      <c r="J77" s="257"/>
      <c r="K77" s="243" t="s">
        <v>35</v>
      </c>
      <c r="L77" s="236">
        <f>(E77*E65)+(F77*F65)+(G77*G65)+(H77*H65)+(I77*I65)+(J77*J65)</f>
        <v>0</v>
      </c>
      <c r="M77" s="237" t="s">
        <v>36</v>
      </c>
      <c r="N77" s="238" t="b">
        <v>0</v>
      </c>
    </row>
    <row r="78" ht="13.5" customHeight="1">
      <c r="A78" s="68"/>
      <c r="B78" s="245" t="str">
        <f>IFS(L78=0,"",B78&lt;&gt;"",B78,TRUE,NOW())</f>
        <v/>
      </c>
      <c r="C78" s="232" t="s">
        <v>37</v>
      </c>
      <c r="D78" s="108"/>
      <c r="E78" s="258"/>
      <c r="F78" s="258"/>
      <c r="G78" s="258"/>
      <c r="H78" s="258"/>
      <c r="I78" s="258"/>
      <c r="J78" s="258"/>
      <c r="K78" s="248" t="s">
        <v>38</v>
      </c>
      <c r="L78" s="249">
        <f>L77-L76</f>
        <v>0</v>
      </c>
      <c r="M78" s="250" t="s">
        <v>39</v>
      </c>
      <c r="N78" s="238" t="b">
        <v>0</v>
      </c>
    </row>
    <row r="79" ht="13.5" customHeight="1">
      <c r="A79" s="259" t="s">
        <v>48</v>
      </c>
      <c r="B79" s="222" t="s">
        <v>63</v>
      </c>
      <c r="C79" s="223" t="s">
        <v>27</v>
      </c>
      <c r="D79" s="224"/>
      <c r="E79" s="254">
        <f t="shared" ref="E79:J79" si="20">E77-E80</f>
        <v>0</v>
      </c>
      <c r="F79" s="254">
        <f t="shared" si="20"/>
        <v>0</v>
      </c>
      <c r="G79" s="254">
        <f t="shared" si="20"/>
        <v>0</v>
      </c>
      <c r="H79" s="254">
        <f t="shared" si="20"/>
        <v>0</v>
      </c>
      <c r="I79" s="254">
        <f t="shared" si="20"/>
        <v>0</v>
      </c>
      <c r="J79" s="254">
        <f t="shared" si="20"/>
        <v>0</v>
      </c>
      <c r="K79" s="227"/>
      <c r="L79" s="30"/>
      <c r="M79" s="228" t="s">
        <v>28</v>
      </c>
      <c r="N79" s="229" t="b">
        <v>0</v>
      </c>
    </row>
    <row r="80" ht="15.0" customHeight="1">
      <c r="A80" s="87"/>
      <c r="B80" s="231"/>
      <c r="C80" s="232" t="s">
        <v>30</v>
      </c>
      <c r="D80" s="108"/>
      <c r="E80" s="255"/>
      <c r="F80" s="255"/>
      <c r="G80" s="255"/>
      <c r="H80" s="255"/>
      <c r="I80" s="255"/>
      <c r="J80" s="255"/>
      <c r="K80" s="235" t="s">
        <v>30</v>
      </c>
      <c r="L80" s="236">
        <f>(E80*E65)+(F80*F65)+(G80*G65)+(H80*H65)+(I80*I65)+(J80*J65)</f>
        <v>0</v>
      </c>
      <c r="M80" s="237" t="s">
        <v>31</v>
      </c>
      <c r="N80" s="238" t="b">
        <v>0</v>
      </c>
    </row>
    <row r="81" ht="13.5" customHeight="1">
      <c r="A81" s="68"/>
      <c r="B81" s="239" t="s">
        <v>49</v>
      </c>
      <c r="C81" s="232" t="s">
        <v>34</v>
      </c>
      <c r="D81" s="108"/>
      <c r="E81" s="256"/>
      <c r="F81" s="257"/>
      <c r="G81" s="257"/>
      <c r="H81" s="257"/>
      <c r="I81" s="257"/>
      <c r="J81" s="257"/>
      <c r="K81" s="243" t="s">
        <v>35</v>
      </c>
      <c r="L81" s="236">
        <f>(E81*E65)+(F81*F65)+(G81*G65)+(H81*H65)+(I81*I65)+(J81*J65)</f>
        <v>0</v>
      </c>
      <c r="M81" s="237" t="s">
        <v>36</v>
      </c>
      <c r="N81" s="238" t="b">
        <v>0</v>
      </c>
    </row>
    <row r="82" ht="13.5" customHeight="1">
      <c r="A82" s="80"/>
      <c r="B82" s="245" t="str">
        <f>IFS(L82=0,"",B82&lt;&gt;"",B82,TRUE,NOW())</f>
        <v/>
      </c>
      <c r="C82" s="265" t="s">
        <v>37</v>
      </c>
      <c r="D82" s="117"/>
      <c r="E82" s="258"/>
      <c r="F82" s="258"/>
      <c r="G82" s="258"/>
      <c r="H82" s="258"/>
      <c r="I82" s="258"/>
      <c r="J82" s="258"/>
      <c r="K82" s="248" t="s">
        <v>38</v>
      </c>
      <c r="L82" s="249">
        <f>L81-L80</f>
        <v>0</v>
      </c>
      <c r="M82" s="250" t="s">
        <v>39</v>
      </c>
      <c r="N82" s="260" t="b">
        <v>0</v>
      </c>
    </row>
    <row r="83" ht="13.5" customHeight="1">
      <c r="A83" s="261" t="s">
        <v>65</v>
      </c>
      <c r="B83" s="209" t="s">
        <v>20</v>
      </c>
      <c r="C83" s="24"/>
      <c r="D83" s="33"/>
      <c r="E83" s="262">
        <f t="shared" ref="E83:J83" si="21">E6</f>
        <v>16</v>
      </c>
      <c r="F83" s="262">
        <f t="shared" si="21"/>
        <v>26</v>
      </c>
      <c r="G83" s="263">
        <f t="shared" si="21"/>
        <v>26</v>
      </c>
      <c r="H83" s="264">
        <f t="shared" si="21"/>
        <v>26</v>
      </c>
      <c r="I83" s="213">
        <f t="shared" si="21"/>
        <v>31</v>
      </c>
      <c r="J83" s="263">
        <f t="shared" si="21"/>
        <v>36</v>
      </c>
      <c r="K83" s="214" t="s">
        <v>21</v>
      </c>
      <c r="L83" s="25"/>
      <c r="M83" s="215" t="s">
        <v>22</v>
      </c>
      <c r="N83" s="10"/>
    </row>
    <row r="84" ht="13.5" customHeight="1">
      <c r="A84" s="216" t="s">
        <v>23</v>
      </c>
      <c r="B84" s="217" t="s">
        <v>24</v>
      </c>
      <c r="C84" s="218" t="s">
        <v>25</v>
      </c>
      <c r="D84" s="117"/>
      <c r="E84" s="219"/>
      <c r="F84" s="219"/>
      <c r="G84" s="219"/>
      <c r="H84" s="219"/>
      <c r="I84" s="220"/>
      <c r="J84" s="219"/>
      <c r="K84" s="49"/>
      <c r="L84" s="25"/>
      <c r="M84" s="50"/>
      <c r="N84" s="10"/>
    </row>
    <row r="85" ht="19.5" customHeight="1">
      <c r="A85" s="221"/>
      <c r="B85" s="222" t="s">
        <v>66</v>
      </c>
      <c r="C85" s="223" t="s">
        <v>27</v>
      </c>
      <c r="D85" s="224"/>
      <c r="E85" s="225">
        <f t="shared" ref="E85:J85" si="22">E84-E86</f>
        <v>0</v>
      </c>
      <c r="F85" s="225">
        <f t="shared" si="22"/>
        <v>0</v>
      </c>
      <c r="G85" s="225">
        <f t="shared" si="22"/>
        <v>0</v>
      </c>
      <c r="H85" s="225">
        <f t="shared" si="22"/>
        <v>0</v>
      </c>
      <c r="I85" s="225">
        <f t="shared" si="22"/>
        <v>0</v>
      </c>
      <c r="J85" s="226">
        <f t="shared" si="22"/>
        <v>0</v>
      </c>
      <c r="K85" s="227"/>
      <c r="L85" s="30"/>
      <c r="M85" s="228" t="s">
        <v>28</v>
      </c>
      <c r="N85" s="229" t="b">
        <v>0</v>
      </c>
    </row>
    <row r="86" ht="13.5" customHeight="1">
      <c r="A86" s="230" t="s">
        <v>29</v>
      </c>
      <c r="B86" s="231"/>
      <c r="C86" s="232" t="s">
        <v>30</v>
      </c>
      <c r="D86" s="108"/>
      <c r="E86" s="233"/>
      <c r="F86" s="233"/>
      <c r="G86" s="233"/>
      <c r="H86" s="233"/>
      <c r="I86" s="234"/>
      <c r="J86" s="233"/>
      <c r="K86" s="235" t="s">
        <v>30</v>
      </c>
      <c r="L86" s="236">
        <f>(E86*E83)+(F86*F83)+(G86*G83)+(H86*H83)+(I86*I83)+(J86*J83)</f>
        <v>0</v>
      </c>
      <c r="M86" s="237" t="s">
        <v>31</v>
      </c>
      <c r="N86" s="238" t="b">
        <v>0</v>
      </c>
    </row>
    <row r="87" ht="13.5" customHeight="1">
      <c r="A87" s="221"/>
      <c r="B87" s="239" t="s">
        <v>33</v>
      </c>
      <c r="C87" s="232" t="s">
        <v>34</v>
      </c>
      <c r="D87" s="108"/>
      <c r="E87" s="240"/>
      <c r="F87" s="241"/>
      <c r="G87" s="241"/>
      <c r="H87" s="241"/>
      <c r="I87" s="242"/>
      <c r="J87" s="241"/>
      <c r="K87" s="243" t="s">
        <v>35</v>
      </c>
      <c r="L87" s="236">
        <f>(E87*E83)+(F87*F83)+(G87*G83)+(H87*H83)+(I87*I83)+(J87*J83)</f>
        <v>0</v>
      </c>
      <c r="M87" s="244" t="s">
        <v>36</v>
      </c>
      <c r="N87" s="238" t="b">
        <v>0</v>
      </c>
    </row>
    <row r="88" ht="13.5" customHeight="1">
      <c r="A88" s="68"/>
      <c r="B88" s="245" t="str">
        <f>IFS(L88=0,"",B88&lt;&gt;"",B88,TRUE,NOW())</f>
        <v/>
      </c>
      <c r="C88" s="232" t="s">
        <v>37</v>
      </c>
      <c r="D88" s="108"/>
      <c r="E88" s="246"/>
      <c r="F88" s="246"/>
      <c r="G88" s="246"/>
      <c r="H88" s="246"/>
      <c r="I88" s="247"/>
      <c r="J88" s="246"/>
      <c r="K88" s="248" t="s">
        <v>38</v>
      </c>
      <c r="L88" s="249">
        <f>L87-L86</f>
        <v>0</v>
      </c>
      <c r="M88" s="250" t="s">
        <v>39</v>
      </c>
      <c r="N88" s="238" t="b">
        <v>0</v>
      </c>
    </row>
    <row r="89" ht="13.5" customHeight="1">
      <c r="A89" s="230" t="s">
        <v>40</v>
      </c>
      <c r="B89" s="222" t="s">
        <v>66</v>
      </c>
      <c r="C89" s="223" t="s">
        <v>27</v>
      </c>
      <c r="D89" s="224"/>
      <c r="E89" s="225">
        <f t="shared" ref="E89:J89" si="23">E87-E90</f>
        <v>0</v>
      </c>
      <c r="F89" s="225">
        <f t="shared" si="23"/>
        <v>0</v>
      </c>
      <c r="G89" s="225">
        <f t="shared" si="23"/>
        <v>0</v>
      </c>
      <c r="H89" s="225">
        <f t="shared" si="23"/>
        <v>0</v>
      </c>
      <c r="I89" s="225">
        <f t="shared" si="23"/>
        <v>0</v>
      </c>
      <c r="J89" s="226">
        <f t="shared" si="23"/>
        <v>0</v>
      </c>
      <c r="K89" s="227"/>
      <c r="L89" s="30"/>
      <c r="M89" s="228" t="s">
        <v>28</v>
      </c>
      <c r="N89" s="229" t="b">
        <v>0</v>
      </c>
    </row>
    <row r="90" ht="15.0" customHeight="1">
      <c r="A90" s="221"/>
      <c r="B90" s="231"/>
      <c r="C90" s="232" t="s">
        <v>30</v>
      </c>
      <c r="D90" s="108"/>
      <c r="E90" s="233"/>
      <c r="F90" s="233"/>
      <c r="G90" s="233"/>
      <c r="H90" s="233"/>
      <c r="I90" s="234"/>
      <c r="J90" s="251"/>
      <c r="K90" s="235" t="s">
        <v>30</v>
      </c>
      <c r="L90" s="236">
        <f>(E90*E83)+(F90*F83)+(G90*G83)+(H90*H83)+(I90*I83)+(J90*J83)</f>
        <v>0</v>
      </c>
      <c r="M90" s="237" t="s">
        <v>31</v>
      </c>
      <c r="N90" s="238" t="b">
        <v>0</v>
      </c>
    </row>
    <row r="91" ht="13.5" customHeight="1">
      <c r="A91" s="68"/>
      <c r="B91" s="239" t="s">
        <v>42</v>
      </c>
      <c r="C91" s="232" t="s">
        <v>34</v>
      </c>
      <c r="D91" s="108"/>
      <c r="E91" s="240"/>
      <c r="F91" s="241"/>
      <c r="G91" s="241"/>
      <c r="H91" s="241"/>
      <c r="I91" s="242"/>
      <c r="J91" s="252"/>
      <c r="K91" s="243" t="s">
        <v>35</v>
      </c>
      <c r="L91" s="236">
        <f>(E91*E83)+(F91*F83)+(G91*G83)+(H91*H83)+(I91*I83)+(J91*J83)</f>
        <v>0</v>
      </c>
      <c r="M91" s="237" t="s">
        <v>36</v>
      </c>
      <c r="N91" s="238" t="b">
        <v>0</v>
      </c>
    </row>
    <row r="92" ht="13.5" customHeight="1">
      <c r="A92" s="230" t="s">
        <v>43</v>
      </c>
      <c r="B92" s="245" t="str">
        <f>IFS(L92=0,"",B92&lt;&gt;"",B92,TRUE,NOW())</f>
        <v/>
      </c>
      <c r="C92" s="232" t="s">
        <v>37</v>
      </c>
      <c r="D92" s="108"/>
      <c r="E92" s="246"/>
      <c r="F92" s="246"/>
      <c r="G92" s="246"/>
      <c r="H92" s="246"/>
      <c r="I92" s="247"/>
      <c r="J92" s="253"/>
      <c r="K92" s="248" t="s">
        <v>38</v>
      </c>
      <c r="L92" s="249">
        <f>L91-L90</f>
        <v>0</v>
      </c>
      <c r="M92" s="250" t="s">
        <v>39</v>
      </c>
      <c r="N92" s="238" t="b">
        <v>0</v>
      </c>
    </row>
    <row r="93" ht="13.5" customHeight="1">
      <c r="A93" s="230"/>
      <c r="B93" s="222" t="s">
        <v>66</v>
      </c>
      <c r="C93" s="223" t="s">
        <v>27</v>
      </c>
      <c r="D93" s="224"/>
      <c r="E93" s="254">
        <f t="shared" ref="E93:J93" si="24">E91-E94</f>
        <v>0</v>
      </c>
      <c r="F93" s="254">
        <f t="shared" si="24"/>
        <v>0</v>
      </c>
      <c r="G93" s="254">
        <f t="shared" si="24"/>
        <v>0</v>
      </c>
      <c r="H93" s="254">
        <f t="shared" si="24"/>
        <v>0</v>
      </c>
      <c r="I93" s="254">
        <f t="shared" si="24"/>
        <v>0</v>
      </c>
      <c r="J93" s="254">
        <f t="shared" si="24"/>
        <v>0</v>
      </c>
      <c r="K93" s="227"/>
      <c r="L93" s="30"/>
      <c r="M93" s="228" t="s">
        <v>28</v>
      </c>
      <c r="N93" s="229" t="b">
        <v>0</v>
      </c>
    </row>
    <row r="94" ht="13.5" customHeight="1">
      <c r="A94" s="230" t="s">
        <v>45</v>
      </c>
      <c r="B94" s="231"/>
      <c r="C94" s="232" t="s">
        <v>30</v>
      </c>
      <c r="D94" s="108"/>
      <c r="E94" s="255"/>
      <c r="F94" s="255"/>
      <c r="G94" s="255"/>
      <c r="H94" s="255"/>
      <c r="I94" s="255"/>
      <c r="J94" s="255"/>
      <c r="K94" s="235" t="s">
        <v>30</v>
      </c>
      <c r="L94" s="236">
        <f>(E94*E83)+(F94*F83)+(G94*G83)+(H94*H83)+(I94*I83)+(J94*J83)</f>
        <v>0</v>
      </c>
      <c r="M94" s="237" t="s">
        <v>31</v>
      </c>
      <c r="N94" s="238" t="b">
        <v>0</v>
      </c>
    </row>
    <row r="95" ht="13.5" customHeight="1">
      <c r="A95" s="221"/>
      <c r="B95" s="239" t="s">
        <v>47</v>
      </c>
      <c r="C95" s="232" t="s">
        <v>34</v>
      </c>
      <c r="D95" s="108"/>
      <c r="E95" s="256"/>
      <c r="F95" s="257"/>
      <c r="G95" s="257"/>
      <c r="H95" s="257"/>
      <c r="I95" s="257"/>
      <c r="J95" s="257"/>
      <c r="K95" s="243" t="s">
        <v>35</v>
      </c>
      <c r="L95" s="236">
        <f>(E95*E83)+(F95*F83)+(G95*G83)+(H95*H83)+(I95*I83)+(J95*J83)</f>
        <v>0</v>
      </c>
      <c r="M95" s="237" t="s">
        <v>36</v>
      </c>
      <c r="N95" s="238" t="b">
        <v>0</v>
      </c>
    </row>
    <row r="96" ht="13.5" customHeight="1">
      <c r="A96" s="68"/>
      <c r="B96" s="245" t="str">
        <f>IFS(L96=0,"",B96&lt;&gt;"",B96,TRUE,NOW())</f>
        <v/>
      </c>
      <c r="C96" s="232" t="s">
        <v>37</v>
      </c>
      <c r="D96" s="108"/>
      <c r="E96" s="258"/>
      <c r="F96" s="258"/>
      <c r="G96" s="258"/>
      <c r="H96" s="258"/>
      <c r="I96" s="258"/>
      <c r="J96" s="258"/>
      <c r="K96" s="248" t="s">
        <v>38</v>
      </c>
      <c r="L96" s="249">
        <f>L95-L94</f>
        <v>0</v>
      </c>
      <c r="M96" s="250" t="s">
        <v>39</v>
      </c>
      <c r="N96" s="238" t="b">
        <v>0</v>
      </c>
    </row>
    <row r="97" ht="18.0" customHeight="1">
      <c r="A97" s="259" t="s">
        <v>48</v>
      </c>
      <c r="B97" s="222" t="s">
        <v>66</v>
      </c>
      <c r="C97" s="223" t="s">
        <v>27</v>
      </c>
      <c r="D97" s="224"/>
      <c r="E97" s="254">
        <f t="shared" ref="E97:J97" si="25">E95-E98</f>
        <v>0</v>
      </c>
      <c r="F97" s="254">
        <f t="shared" si="25"/>
        <v>0</v>
      </c>
      <c r="G97" s="254">
        <f t="shared" si="25"/>
        <v>0</v>
      </c>
      <c r="H97" s="254">
        <f t="shared" si="25"/>
        <v>0</v>
      </c>
      <c r="I97" s="254">
        <f t="shared" si="25"/>
        <v>0</v>
      </c>
      <c r="J97" s="254">
        <f t="shared" si="25"/>
        <v>0</v>
      </c>
      <c r="K97" s="227"/>
      <c r="L97" s="30"/>
      <c r="M97" s="228" t="s">
        <v>28</v>
      </c>
      <c r="N97" s="229" t="b">
        <v>0</v>
      </c>
    </row>
    <row r="98" ht="13.5" customHeight="1">
      <c r="A98" s="87"/>
      <c r="B98" s="231"/>
      <c r="C98" s="232" t="s">
        <v>30</v>
      </c>
      <c r="D98" s="108"/>
      <c r="E98" s="255"/>
      <c r="F98" s="255"/>
      <c r="G98" s="255"/>
      <c r="H98" s="255"/>
      <c r="I98" s="255"/>
      <c r="J98" s="255"/>
      <c r="K98" s="235" t="s">
        <v>30</v>
      </c>
      <c r="L98" s="236">
        <f>(E98*E83)+(F98*F83)+(G98*G83)+(H98*H83)+(I98*I83)+(J98*J83)</f>
        <v>0</v>
      </c>
      <c r="M98" s="237" t="s">
        <v>31</v>
      </c>
      <c r="N98" s="238" t="b">
        <v>0</v>
      </c>
    </row>
    <row r="99" ht="13.5" customHeight="1">
      <c r="A99" s="68"/>
      <c r="B99" s="239" t="s">
        <v>49</v>
      </c>
      <c r="C99" s="232" t="s">
        <v>34</v>
      </c>
      <c r="D99" s="108"/>
      <c r="E99" s="256"/>
      <c r="F99" s="257"/>
      <c r="G99" s="257"/>
      <c r="H99" s="257"/>
      <c r="I99" s="257"/>
      <c r="J99" s="257"/>
      <c r="K99" s="243" t="s">
        <v>35</v>
      </c>
      <c r="L99" s="236">
        <f>(E99*E83)+(F99*F83)+(G99*G83)+(H99*H83)+(I99*I83)+(J99*J83)</f>
        <v>0</v>
      </c>
      <c r="M99" s="237" t="s">
        <v>36</v>
      </c>
      <c r="N99" s="238" t="b">
        <v>0</v>
      </c>
    </row>
    <row r="100" ht="13.5" customHeight="1">
      <c r="A100" s="80"/>
      <c r="B100" s="245" t="str">
        <f>IFS(L100=0,"",B100&lt;&gt;"",B100,TRUE,NOW())</f>
        <v/>
      </c>
      <c r="C100" s="265" t="s">
        <v>37</v>
      </c>
      <c r="D100" s="117"/>
      <c r="E100" s="258"/>
      <c r="F100" s="258"/>
      <c r="G100" s="258"/>
      <c r="H100" s="258"/>
      <c r="I100" s="258"/>
      <c r="J100" s="258"/>
      <c r="K100" s="248" t="s">
        <v>38</v>
      </c>
      <c r="L100" s="249">
        <f>L99-L98</f>
        <v>0</v>
      </c>
      <c r="M100" s="250" t="s">
        <v>39</v>
      </c>
      <c r="N100" s="260" t="b">
        <v>0</v>
      </c>
    </row>
    <row r="101" ht="13.5" customHeight="1">
      <c r="A101" s="261" t="s">
        <v>68</v>
      </c>
      <c r="B101" s="209" t="s">
        <v>20</v>
      </c>
      <c r="C101" s="24"/>
      <c r="D101" s="33"/>
      <c r="E101" s="262">
        <f t="shared" ref="E101:J101" si="26">E6</f>
        <v>16</v>
      </c>
      <c r="F101" s="262">
        <f t="shared" si="26"/>
        <v>26</v>
      </c>
      <c r="G101" s="263">
        <f t="shared" si="26"/>
        <v>26</v>
      </c>
      <c r="H101" s="264">
        <f t="shared" si="26"/>
        <v>26</v>
      </c>
      <c r="I101" s="213">
        <f t="shared" si="26"/>
        <v>31</v>
      </c>
      <c r="J101" s="263">
        <f t="shared" si="26"/>
        <v>36</v>
      </c>
      <c r="K101" s="214" t="s">
        <v>21</v>
      </c>
      <c r="L101" s="25"/>
      <c r="M101" s="215" t="s">
        <v>22</v>
      </c>
      <c r="N101" s="10"/>
    </row>
    <row r="102" ht="19.5" customHeight="1">
      <c r="A102" s="216" t="s">
        <v>23</v>
      </c>
      <c r="B102" s="217" t="s">
        <v>24</v>
      </c>
      <c r="C102" s="218" t="s">
        <v>25</v>
      </c>
      <c r="D102" s="117"/>
      <c r="E102" s="219"/>
      <c r="F102" s="219"/>
      <c r="G102" s="219"/>
      <c r="H102" s="219"/>
      <c r="I102" s="220"/>
      <c r="J102" s="219"/>
      <c r="K102" s="49"/>
      <c r="L102" s="25"/>
      <c r="M102" s="50"/>
      <c r="N102" s="10"/>
    </row>
    <row r="103" ht="13.5" customHeight="1">
      <c r="A103" s="221"/>
      <c r="B103" s="222" t="s">
        <v>69</v>
      </c>
      <c r="C103" s="223" t="s">
        <v>27</v>
      </c>
      <c r="D103" s="224"/>
      <c r="E103" s="225">
        <f t="shared" ref="E103:J103" si="27">E102-E104</f>
        <v>0</v>
      </c>
      <c r="F103" s="225">
        <f t="shared" si="27"/>
        <v>0</v>
      </c>
      <c r="G103" s="225">
        <f t="shared" si="27"/>
        <v>0</v>
      </c>
      <c r="H103" s="225">
        <f t="shared" si="27"/>
        <v>0</v>
      </c>
      <c r="I103" s="225">
        <f t="shared" si="27"/>
        <v>0</v>
      </c>
      <c r="J103" s="226">
        <f t="shared" si="27"/>
        <v>0</v>
      </c>
      <c r="K103" s="227"/>
      <c r="L103" s="30"/>
      <c r="M103" s="228" t="s">
        <v>28</v>
      </c>
      <c r="N103" s="229" t="b">
        <v>0</v>
      </c>
    </row>
    <row r="104" ht="13.5" customHeight="1">
      <c r="A104" s="230" t="s">
        <v>29</v>
      </c>
      <c r="B104" s="231"/>
      <c r="C104" s="232" t="s">
        <v>30</v>
      </c>
      <c r="D104" s="108"/>
      <c r="E104" s="233"/>
      <c r="F104" s="233"/>
      <c r="G104" s="233"/>
      <c r="H104" s="233"/>
      <c r="I104" s="234"/>
      <c r="J104" s="233"/>
      <c r="K104" s="235" t="s">
        <v>30</v>
      </c>
      <c r="L104" s="236">
        <f>(E104*E101)+(F104*F101)+(G104*G101)+(H104*H101)+(I104*I101)+(J104*J101)</f>
        <v>0</v>
      </c>
      <c r="M104" s="237" t="s">
        <v>31</v>
      </c>
      <c r="N104" s="238" t="b">
        <v>0</v>
      </c>
    </row>
    <row r="105" ht="13.5" customHeight="1">
      <c r="A105" s="221"/>
      <c r="B105" s="239" t="s">
        <v>33</v>
      </c>
      <c r="C105" s="232" t="s">
        <v>34</v>
      </c>
      <c r="D105" s="108"/>
      <c r="E105" s="240"/>
      <c r="F105" s="241"/>
      <c r="G105" s="241"/>
      <c r="H105" s="241"/>
      <c r="I105" s="242"/>
      <c r="J105" s="241"/>
      <c r="K105" s="243" t="s">
        <v>35</v>
      </c>
      <c r="L105" s="236">
        <f>(E105*E101)+(F105*F101)+(G105*G101)+(H105*H101)+(I105*I101)+(J105*J101)</f>
        <v>0</v>
      </c>
      <c r="M105" s="244" t="s">
        <v>36</v>
      </c>
      <c r="N105" s="238" t="b">
        <v>0</v>
      </c>
    </row>
    <row r="106" ht="13.5" customHeight="1">
      <c r="A106" s="68"/>
      <c r="B106" s="245" t="str">
        <f>IFS(L106=0,"",B106&lt;&gt;"",B106,TRUE,NOW())</f>
        <v/>
      </c>
      <c r="C106" s="232" t="s">
        <v>37</v>
      </c>
      <c r="D106" s="108"/>
      <c r="E106" s="246"/>
      <c r="F106" s="246"/>
      <c r="G106" s="246"/>
      <c r="H106" s="246"/>
      <c r="I106" s="247"/>
      <c r="J106" s="246"/>
      <c r="K106" s="248" t="s">
        <v>38</v>
      </c>
      <c r="L106" s="249">
        <f>L105-L104</f>
        <v>0</v>
      </c>
      <c r="M106" s="250" t="s">
        <v>39</v>
      </c>
      <c r="N106" s="238" t="b">
        <v>0</v>
      </c>
    </row>
    <row r="107" ht="18.75" customHeight="1">
      <c r="A107" s="230" t="s">
        <v>40</v>
      </c>
      <c r="B107" s="222" t="s">
        <v>69</v>
      </c>
      <c r="C107" s="223" t="s">
        <v>27</v>
      </c>
      <c r="D107" s="224"/>
      <c r="E107" s="225">
        <f t="shared" ref="E107:J107" si="28">E105-E108</f>
        <v>0</v>
      </c>
      <c r="F107" s="225">
        <f t="shared" si="28"/>
        <v>0</v>
      </c>
      <c r="G107" s="225">
        <f t="shared" si="28"/>
        <v>0</v>
      </c>
      <c r="H107" s="225">
        <f t="shared" si="28"/>
        <v>0</v>
      </c>
      <c r="I107" s="225">
        <f t="shared" si="28"/>
        <v>0</v>
      </c>
      <c r="J107" s="226">
        <f t="shared" si="28"/>
        <v>0</v>
      </c>
      <c r="K107" s="227"/>
      <c r="L107" s="30"/>
      <c r="M107" s="228" t="s">
        <v>28</v>
      </c>
      <c r="N107" s="229" t="b">
        <v>0</v>
      </c>
    </row>
    <row r="108" ht="13.5" customHeight="1">
      <c r="A108" s="221"/>
      <c r="B108" s="231"/>
      <c r="C108" s="232" t="s">
        <v>30</v>
      </c>
      <c r="D108" s="108"/>
      <c r="E108" s="233"/>
      <c r="F108" s="233"/>
      <c r="G108" s="233"/>
      <c r="H108" s="233"/>
      <c r="I108" s="234"/>
      <c r="J108" s="251"/>
      <c r="K108" s="235" t="s">
        <v>30</v>
      </c>
      <c r="L108" s="236">
        <f>(E108*E101)+(F108*F101)+(G108*G101)+(H108*H101)+(I108*I101)+(J108*J101)</f>
        <v>0</v>
      </c>
      <c r="M108" s="237" t="s">
        <v>31</v>
      </c>
      <c r="N108" s="238" t="b">
        <v>0</v>
      </c>
    </row>
    <row r="109" ht="13.5" customHeight="1">
      <c r="A109" s="68"/>
      <c r="B109" s="239" t="s">
        <v>42</v>
      </c>
      <c r="C109" s="232" t="s">
        <v>34</v>
      </c>
      <c r="D109" s="108"/>
      <c r="E109" s="240"/>
      <c r="F109" s="241"/>
      <c r="G109" s="241"/>
      <c r="H109" s="241"/>
      <c r="I109" s="242"/>
      <c r="J109" s="252"/>
      <c r="K109" s="243" t="s">
        <v>35</v>
      </c>
      <c r="L109" s="236">
        <f>(E109*E101)+(F109*F101)+(G109*G101)+(H109*H101)+(I109*I101)+(J109*J101)</f>
        <v>0</v>
      </c>
      <c r="M109" s="237" t="s">
        <v>36</v>
      </c>
      <c r="N109" s="238" t="b">
        <v>0</v>
      </c>
    </row>
    <row r="110" ht="13.5" customHeight="1">
      <c r="A110" s="230" t="s">
        <v>43</v>
      </c>
      <c r="B110" s="245" t="str">
        <f>IFS(L110=0,"",B110&lt;&gt;"",B110,TRUE,NOW())</f>
        <v/>
      </c>
      <c r="C110" s="232" t="s">
        <v>37</v>
      </c>
      <c r="D110" s="108"/>
      <c r="E110" s="246"/>
      <c r="F110" s="246"/>
      <c r="G110" s="246"/>
      <c r="H110" s="246"/>
      <c r="I110" s="247"/>
      <c r="J110" s="253"/>
      <c r="K110" s="248" t="s">
        <v>38</v>
      </c>
      <c r="L110" s="249">
        <f>L109-L108</f>
        <v>0</v>
      </c>
      <c r="M110" s="250" t="s">
        <v>39</v>
      </c>
      <c r="N110" s="238" t="b">
        <v>0</v>
      </c>
    </row>
    <row r="111" ht="13.5" customHeight="1">
      <c r="A111" s="230"/>
      <c r="B111" s="222" t="s">
        <v>69</v>
      </c>
      <c r="C111" s="223" t="s">
        <v>27</v>
      </c>
      <c r="D111" s="224"/>
      <c r="E111" s="254">
        <f t="shared" ref="E111:J111" si="29">E109-E112</f>
        <v>0</v>
      </c>
      <c r="F111" s="254">
        <f t="shared" si="29"/>
        <v>0</v>
      </c>
      <c r="G111" s="254">
        <f t="shared" si="29"/>
        <v>0</v>
      </c>
      <c r="H111" s="254">
        <f t="shared" si="29"/>
        <v>0</v>
      </c>
      <c r="I111" s="254">
        <f t="shared" si="29"/>
        <v>0</v>
      </c>
      <c r="J111" s="254">
        <f t="shared" si="29"/>
        <v>0</v>
      </c>
      <c r="K111" s="227"/>
      <c r="L111" s="30"/>
      <c r="M111" s="228" t="s">
        <v>28</v>
      </c>
      <c r="N111" s="229" t="b">
        <v>0</v>
      </c>
    </row>
    <row r="112" ht="15.0" customHeight="1">
      <c r="A112" s="230" t="s">
        <v>45</v>
      </c>
      <c r="B112" s="231"/>
      <c r="C112" s="232" t="s">
        <v>30</v>
      </c>
      <c r="D112" s="108"/>
      <c r="E112" s="255"/>
      <c r="F112" s="255"/>
      <c r="G112" s="255"/>
      <c r="H112" s="255"/>
      <c r="I112" s="255"/>
      <c r="J112" s="255"/>
      <c r="K112" s="235" t="s">
        <v>30</v>
      </c>
      <c r="L112" s="236">
        <f>(E112*E101)+(F112*F101)+(G112*G101)+(H112*H101)+(I112*I101)+(J112*J101)</f>
        <v>0</v>
      </c>
      <c r="M112" s="237" t="s">
        <v>31</v>
      </c>
      <c r="N112" s="238" t="b">
        <v>0</v>
      </c>
    </row>
    <row r="113" ht="13.5" customHeight="1">
      <c r="A113" s="221"/>
      <c r="B113" s="239" t="s">
        <v>47</v>
      </c>
      <c r="C113" s="232" t="s">
        <v>34</v>
      </c>
      <c r="D113" s="108"/>
      <c r="E113" s="256"/>
      <c r="F113" s="257"/>
      <c r="G113" s="257"/>
      <c r="H113" s="257"/>
      <c r="I113" s="257"/>
      <c r="J113" s="257"/>
      <c r="K113" s="243" t="s">
        <v>35</v>
      </c>
      <c r="L113" s="236">
        <f>(E113*E101)+(F113*F101)+(G113*G101)+(H113*H101)+(I113*I101)+(J113*J101)</f>
        <v>0</v>
      </c>
      <c r="M113" s="237" t="s">
        <v>36</v>
      </c>
      <c r="N113" s="238" t="b">
        <v>0</v>
      </c>
    </row>
    <row r="114" ht="13.5" customHeight="1">
      <c r="A114" s="68"/>
      <c r="B114" s="245" t="str">
        <f>IFS(L114=0,"",B114&lt;&gt;"",B114,TRUE,NOW())</f>
        <v/>
      </c>
      <c r="C114" s="232" t="s">
        <v>37</v>
      </c>
      <c r="D114" s="108"/>
      <c r="E114" s="258"/>
      <c r="F114" s="258"/>
      <c r="G114" s="258"/>
      <c r="H114" s="258"/>
      <c r="I114" s="258"/>
      <c r="J114" s="258"/>
      <c r="K114" s="248" t="s">
        <v>38</v>
      </c>
      <c r="L114" s="249">
        <f>L113-L112</f>
        <v>0</v>
      </c>
      <c r="M114" s="250" t="s">
        <v>39</v>
      </c>
      <c r="N114" s="238" t="b">
        <v>0</v>
      </c>
    </row>
    <row r="115" ht="13.5" customHeight="1">
      <c r="A115" s="259" t="s">
        <v>48</v>
      </c>
      <c r="B115" s="222" t="s">
        <v>69</v>
      </c>
      <c r="C115" s="223" t="s">
        <v>27</v>
      </c>
      <c r="D115" s="224"/>
      <c r="E115" s="254">
        <f t="shared" ref="E115:J115" si="30">E113-E116</f>
        <v>0</v>
      </c>
      <c r="F115" s="254">
        <f t="shared" si="30"/>
        <v>0</v>
      </c>
      <c r="G115" s="254">
        <f t="shared" si="30"/>
        <v>0</v>
      </c>
      <c r="H115" s="254">
        <f t="shared" si="30"/>
        <v>0</v>
      </c>
      <c r="I115" s="254">
        <f t="shared" si="30"/>
        <v>0</v>
      </c>
      <c r="J115" s="254">
        <f t="shared" si="30"/>
        <v>0</v>
      </c>
      <c r="K115" s="227"/>
      <c r="L115" s="30"/>
      <c r="M115" s="228" t="s">
        <v>28</v>
      </c>
      <c r="N115" s="229" t="b">
        <v>0</v>
      </c>
    </row>
    <row r="116" ht="13.5" customHeight="1">
      <c r="A116" s="87"/>
      <c r="B116" s="231"/>
      <c r="C116" s="232" t="s">
        <v>30</v>
      </c>
      <c r="D116" s="108"/>
      <c r="E116" s="255"/>
      <c r="F116" s="255"/>
      <c r="G116" s="255"/>
      <c r="H116" s="255"/>
      <c r="I116" s="255"/>
      <c r="J116" s="255"/>
      <c r="K116" s="235" t="s">
        <v>30</v>
      </c>
      <c r="L116" s="236">
        <f>(E116*E101)+(F116*F101)+(G116*G101)+(H116*H101)+(I116*I101)+(J116*J101)</f>
        <v>0</v>
      </c>
      <c r="M116" s="237" t="s">
        <v>31</v>
      </c>
      <c r="N116" s="238" t="b">
        <v>0</v>
      </c>
    </row>
    <row r="117" ht="13.5" customHeight="1">
      <c r="A117" s="68"/>
      <c r="B117" s="239" t="s">
        <v>49</v>
      </c>
      <c r="C117" s="232" t="s">
        <v>34</v>
      </c>
      <c r="D117" s="108"/>
      <c r="E117" s="256"/>
      <c r="F117" s="257"/>
      <c r="G117" s="257"/>
      <c r="H117" s="257"/>
      <c r="I117" s="257"/>
      <c r="J117" s="257"/>
      <c r="K117" s="243" t="s">
        <v>35</v>
      </c>
      <c r="L117" s="236">
        <f>(E117*E101)+(F117*F101)+(G117*G101)+(H117*H101)+(I117*I101)+(J117*J101)</f>
        <v>0</v>
      </c>
      <c r="M117" s="237" t="s">
        <v>36</v>
      </c>
      <c r="N117" s="238" t="b">
        <v>0</v>
      </c>
    </row>
    <row r="118" ht="13.5" customHeight="1">
      <c r="A118" s="80"/>
      <c r="B118" s="245" t="str">
        <f>IFS(L118=0,"",B118&lt;&gt;"",B118,TRUE,NOW())</f>
        <v/>
      </c>
      <c r="C118" s="232" t="s">
        <v>37</v>
      </c>
      <c r="D118" s="108"/>
      <c r="E118" s="258"/>
      <c r="F118" s="258"/>
      <c r="G118" s="258"/>
      <c r="H118" s="258"/>
      <c r="I118" s="258"/>
      <c r="J118" s="258"/>
      <c r="K118" s="248" t="s">
        <v>38</v>
      </c>
      <c r="L118" s="249">
        <f>L117-L116</f>
        <v>0</v>
      </c>
      <c r="M118" s="250" t="s">
        <v>39</v>
      </c>
      <c r="N118" s="260" t="b">
        <v>0</v>
      </c>
    </row>
    <row r="119" ht="15.0" customHeight="1">
      <c r="A119" s="261" t="s">
        <v>71</v>
      </c>
      <c r="B119" s="209" t="s">
        <v>20</v>
      </c>
      <c r="C119" s="24"/>
      <c r="D119" s="33"/>
      <c r="E119" s="262">
        <f t="shared" ref="E119:J119" si="31">E6</f>
        <v>16</v>
      </c>
      <c r="F119" s="262">
        <f t="shared" si="31"/>
        <v>26</v>
      </c>
      <c r="G119" s="263">
        <f t="shared" si="31"/>
        <v>26</v>
      </c>
      <c r="H119" s="264">
        <f t="shared" si="31"/>
        <v>26</v>
      </c>
      <c r="I119" s="213">
        <f t="shared" si="31"/>
        <v>31</v>
      </c>
      <c r="J119" s="263">
        <f t="shared" si="31"/>
        <v>36</v>
      </c>
      <c r="K119" s="214" t="s">
        <v>21</v>
      </c>
      <c r="L119" s="25"/>
      <c r="M119" s="215" t="s">
        <v>22</v>
      </c>
      <c r="N119" s="10"/>
    </row>
    <row r="120" ht="13.5" customHeight="1">
      <c r="A120" s="216" t="s">
        <v>23</v>
      </c>
      <c r="B120" s="217" t="s">
        <v>24</v>
      </c>
      <c r="C120" s="218" t="s">
        <v>25</v>
      </c>
      <c r="D120" s="117"/>
      <c r="E120" s="219"/>
      <c r="F120" s="219"/>
      <c r="G120" s="219"/>
      <c r="H120" s="219"/>
      <c r="I120" s="220"/>
      <c r="J120" s="219"/>
      <c r="K120" s="49"/>
      <c r="L120" s="25"/>
      <c r="M120" s="50"/>
      <c r="N120" s="10"/>
    </row>
    <row r="121" ht="13.5" customHeight="1">
      <c r="A121" s="221"/>
      <c r="B121" s="222" t="s">
        <v>72</v>
      </c>
      <c r="C121" s="223" t="s">
        <v>27</v>
      </c>
      <c r="D121" s="224"/>
      <c r="E121" s="225">
        <f t="shared" ref="E121:J121" si="32">E120-E122</f>
        <v>0</v>
      </c>
      <c r="F121" s="225">
        <f t="shared" si="32"/>
        <v>0</v>
      </c>
      <c r="G121" s="225">
        <f t="shared" si="32"/>
        <v>0</v>
      </c>
      <c r="H121" s="225">
        <f t="shared" si="32"/>
        <v>0</v>
      </c>
      <c r="I121" s="225">
        <f t="shared" si="32"/>
        <v>0</v>
      </c>
      <c r="J121" s="226">
        <f t="shared" si="32"/>
        <v>0</v>
      </c>
      <c r="K121" s="227"/>
      <c r="L121" s="30"/>
      <c r="M121" s="228" t="s">
        <v>28</v>
      </c>
      <c r="N121" s="229" t="b">
        <v>0</v>
      </c>
    </row>
    <row r="122" ht="13.5" customHeight="1">
      <c r="A122" s="230" t="s">
        <v>29</v>
      </c>
      <c r="B122" s="231"/>
      <c r="C122" s="232" t="s">
        <v>30</v>
      </c>
      <c r="D122" s="108"/>
      <c r="E122" s="233"/>
      <c r="F122" s="233"/>
      <c r="G122" s="233"/>
      <c r="H122" s="233"/>
      <c r="I122" s="234"/>
      <c r="J122" s="233"/>
      <c r="K122" s="235" t="s">
        <v>30</v>
      </c>
      <c r="L122" s="236">
        <f>(E122*E119)+(F122*F119)+(G122*G119)+(H122*H119)+(I122*I119)+(J122*J119)</f>
        <v>0</v>
      </c>
      <c r="M122" s="237" t="s">
        <v>31</v>
      </c>
      <c r="N122" s="238" t="b">
        <v>0</v>
      </c>
    </row>
    <row r="123" ht="13.5" customHeight="1">
      <c r="A123" s="221"/>
      <c r="B123" s="239" t="s">
        <v>33</v>
      </c>
      <c r="C123" s="232" t="s">
        <v>34</v>
      </c>
      <c r="D123" s="108"/>
      <c r="E123" s="240"/>
      <c r="F123" s="241"/>
      <c r="G123" s="241"/>
      <c r="H123" s="241"/>
      <c r="I123" s="242"/>
      <c r="J123" s="241"/>
      <c r="K123" s="243" t="s">
        <v>35</v>
      </c>
      <c r="L123" s="236">
        <f>(E123*E119)+(F123*F119)+(G123*G119)+(H123*H119)+(I123*I119)+(J123*J119)</f>
        <v>0</v>
      </c>
      <c r="M123" s="244" t="s">
        <v>36</v>
      </c>
      <c r="N123" s="238" t="b">
        <v>0</v>
      </c>
    </row>
    <row r="124" ht="15.0" customHeight="1">
      <c r="A124" s="68"/>
      <c r="B124" s="245" t="str">
        <f>IFS(L124=0,"",B124&lt;&gt;"",B124,TRUE,NOW())</f>
        <v/>
      </c>
      <c r="C124" s="232" t="s">
        <v>37</v>
      </c>
      <c r="D124" s="108"/>
      <c r="E124" s="246"/>
      <c r="F124" s="246"/>
      <c r="G124" s="246"/>
      <c r="H124" s="246"/>
      <c r="I124" s="247"/>
      <c r="J124" s="246"/>
      <c r="K124" s="248" t="s">
        <v>38</v>
      </c>
      <c r="L124" s="249">
        <f>L123-L122</f>
        <v>0</v>
      </c>
      <c r="M124" s="250" t="s">
        <v>39</v>
      </c>
      <c r="N124" s="238" t="b">
        <v>0</v>
      </c>
    </row>
    <row r="125" ht="13.5" customHeight="1">
      <c r="A125" s="230" t="s">
        <v>40</v>
      </c>
      <c r="B125" s="222" t="s">
        <v>72</v>
      </c>
      <c r="C125" s="223" t="s">
        <v>27</v>
      </c>
      <c r="D125" s="224"/>
      <c r="E125" s="225">
        <f t="shared" ref="E125:J125" si="33">E123-E126</f>
        <v>0</v>
      </c>
      <c r="F125" s="225">
        <f t="shared" si="33"/>
        <v>0</v>
      </c>
      <c r="G125" s="225">
        <f t="shared" si="33"/>
        <v>0</v>
      </c>
      <c r="H125" s="225">
        <f t="shared" si="33"/>
        <v>0</v>
      </c>
      <c r="I125" s="225">
        <f t="shared" si="33"/>
        <v>0</v>
      </c>
      <c r="J125" s="226">
        <f t="shared" si="33"/>
        <v>0</v>
      </c>
      <c r="K125" s="227"/>
      <c r="L125" s="30"/>
      <c r="M125" s="228" t="s">
        <v>28</v>
      </c>
      <c r="N125" s="229" t="b">
        <v>0</v>
      </c>
    </row>
    <row r="126" ht="13.5" customHeight="1">
      <c r="A126" s="221"/>
      <c r="B126" s="231"/>
      <c r="C126" s="232" t="s">
        <v>30</v>
      </c>
      <c r="D126" s="108"/>
      <c r="E126" s="233"/>
      <c r="F126" s="233"/>
      <c r="G126" s="233"/>
      <c r="H126" s="233"/>
      <c r="I126" s="234"/>
      <c r="J126" s="251"/>
      <c r="K126" s="235" t="s">
        <v>30</v>
      </c>
      <c r="L126" s="236">
        <f>(E126*E119)+(F126*F119)+(G126*G119)+(H126*H119)+(I126*I119)+(J126*J119)</f>
        <v>0</v>
      </c>
      <c r="M126" s="237" t="s">
        <v>31</v>
      </c>
      <c r="N126" s="238" t="b">
        <v>0</v>
      </c>
    </row>
    <row r="127" ht="13.5" customHeight="1">
      <c r="A127" s="68"/>
      <c r="B127" s="239" t="s">
        <v>42</v>
      </c>
      <c r="C127" s="232" t="s">
        <v>34</v>
      </c>
      <c r="D127" s="108"/>
      <c r="E127" s="240"/>
      <c r="F127" s="241"/>
      <c r="G127" s="241"/>
      <c r="H127" s="241"/>
      <c r="I127" s="242"/>
      <c r="J127" s="252"/>
      <c r="K127" s="243" t="s">
        <v>35</v>
      </c>
      <c r="L127" s="236">
        <f>(E127*E119)+(F127*F119)+(G127*G119)+(H127*H119)+(I127*I119)+(J127*J119)</f>
        <v>0</v>
      </c>
      <c r="M127" s="237" t="s">
        <v>36</v>
      </c>
      <c r="N127" s="238" t="b">
        <v>0</v>
      </c>
    </row>
    <row r="128" ht="13.5" customHeight="1">
      <c r="A128" s="230" t="s">
        <v>43</v>
      </c>
      <c r="B128" s="245" t="str">
        <f>IFS(L128=0,"",B128&lt;&gt;"",B128,TRUE,NOW())</f>
        <v/>
      </c>
      <c r="C128" s="232" t="s">
        <v>37</v>
      </c>
      <c r="D128" s="108"/>
      <c r="E128" s="246"/>
      <c r="F128" s="246"/>
      <c r="G128" s="246"/>
      <c r="H128" s="246"/>
      <c r="I128" s="247"/>
      <c r="J128" s="253"/>
      <c r="K128" s="248" t="s">
        <v>38</v>
      </c>
      <c r="L128" s="249">
        <f>L127-L126</f>
        <v>0</v>
      </c>
      <c r="M128" s="250" t="s">
        <v>39</v>
      </c>
      <c r="N128" s="238" t="b">
        <v>0</v>
      </c>
    </row>
    <row r="129" ht="18.0" customHeight="1">
      <c r="A129" s="230"/>
      <c r="B129" s="222" t="s">
        <v>72</v>
      </c>
      <c r="C129" s="223" t="s">
        <v>27</v>
      </c>
      <c r="D129" s="224"/>
      <c r="E129" s="254">
        <f t="shared" ref="E129:J129" si="34">E127-E130</f>
        <v>0</v>
      </c>
      <c r="F129" s="254">
        <f t="shared" si="34"/>
        <v>0</v>
      </c>
      <c r="G129" s="254">
        <f t="shared" si="34"/>
        <v>0</v>
      </c>
      <c r="H129" s="254">
        <f t="shared" si="34"/>
        <v>0</v>
      </c>
      <c r="I129" s="254">
        <f t="shared" si="34"/>
        <v>0</v>
      </c>
      <c r="J129" s="254">
        <f t="shared" si="34"/>
        <v>0</v>
      </c>
      <c r="K129" s="227"/>
      <c r="L129" s="30"/>
      <c r="M129" s="228" t="s">
        <v>28</v>
      </c>
      <c r="N129" s="229" t="b">
        <v>0</v>
      </c>
    </row>
    <row r="130" ht="13.5" customHeight="1">
      <c r="A130" s="230" t="s">
        <v>45</v>
      </c>
      <c r="B130" s="231"/>
      <c r="C130" s="232" t="s">
        <v>30</v>
      </c>
      <c r="D130" s="108"/>
      <c r="E130" s="255"/>
      <c r="F130" s="255"/>
      <c r="G130" s="255"/>
      <c r="H130" s="255"/>
      <c r="I130" s="255"/>
      <c r="J130" s="255"/>
      <c r="K130" s="235" t="s">
        <v>30</v>
      </c>
      <c r="L130" s="236">
        <f>(E130*E119)+(F130*F119)+(G130*G119)+(H130*H119)+(I130*I119)+(J130*J119)</f>
        <v>0</v>
      </c>
      <c r="M130" s="237" t="s">
        <v>31</v>
      </c>
      <c r="N130" s="238" t="b">
        <v>0</v>
      </c>
    </row>
    <row r="131" ht="13.5" customHeight="1">
      <c r="A131" s="221"/>
      <c r="B131" s="239" t="s">
        <v>47</v>
      </c>
      <c r="C131" s="232" t="s">
        <v>34</v>
      </c>
      <c r="D131" s="108"/>
      <c r="E131" s="256"/>
      <c r="F131" s="257"/>
      <c r="G131" s="257"/>
      <c r="H131" s="257"/>
      <c r="I131" s="257"/>
      <c r="J131" s="257"/>
      <c r="K131" s="243" t="s">
        <v>35</v>
      </c>
      <c r="L131" s="236">
        <f>(E131*E119)+(F131*F119)+(G131*G119)+(H131*H119)+(I131*I119)+(J131*J119)</f>
        <v>0</v>
      </c>
      <c r="M131" s="237" t="s">
        <v>36</v>
      </c>
      <c r="N131" s="238" t="b">
        <v>0</v>
      </c>
    </row>
    <row r="132" ht="13.5" customHeight="1">
      <c r="A132" s="68"/>
      <c r="B132" s="245" t="str">
        <f>IFS(L132=0,"",B132&lt;&gt;"",B132,TRUE,NOW())</f>
        <v/>
      </c>
      <c r="C132" s="232" t="s">
        <v>37</v>
      </c>
      <c r="D132" s="108"/>
      <c r="E132" s="258"/>
      <c r="F132" s="258"/>
      <c r="G132" s="258"/>
      <c r="H132" s="258"/>
      <c r="I132" s="258"/>
      <c r="J132" s="258"/>
      <c r="K132" s="248" t="s">
        <v>38</v>
      </c>
      <c r="L132" s="249">
        <f>L131-L130</f>
        <v>0</v>
      </c>
      <c r="M132" s="250" t="s">
        <v>39</v>
      </c>
      <c r="N132" s="238" t="b">
        <v>0</v>
      </c>
    </row>
    <row r="133" ht="13.5" customHeight="1">
      <c r="A133" s="259" t="s">
        <v>48</v>
      </c>
      <c r="B133" s="222" t="s">
        <v>72</v>
      </c>
      <c r="C133" s="223" t="s">
        <v>27</v>
      </c>
      <c r="D133" s="224"/>
      <c r="E133" s="254">
        <f t="shared" ref="E133:J133" si="35">E131-E134</f>
        <v>0</v>
      </c>
      <c r="F133" s="254">
        <f t="shared" si="35"/>
        <v>0</v>
      </c>
      <c r="G133" s="254">
        <f t="shared" si="35"/>
        <v>0</v>
      </c>
      <c r="H133" s="254">
        <f t="shared" si="35"/>
        <v>0</v>
      </c>
      <c r="I133" s="254">
        <f t="shared" si="35"/>
        <v>0</v>
      </c>
      <c r="J133" s="254">
        <f t="shared" si="35"/>
        <v>0</v>
      </c>
      <c r="K133" s="227"/>
      <c r="L133" s="30"/>
      <c r="M133" s="228" t="s">
        <v>28</v>
      </c>
      <c r="N133" s="229" t="b">
        <v>0</v>
      </c>
    </row>
    <row r="134" ht="18.75" customHeight="1">
      <c r="A134" s="87"/>
      <c r="B134" s="231"/>
      <c r="C134" s="232" t="s">
        <v>30</v>
      </c>
      <c r="D134" s="108"/>
      <c r="E134" s="255"/>
      <c r="F134" s="255"/>
      <c r="G134" s="255"/>
      <c r="H134" s="255"/>
      <c r="I134" s="255"/>
      <c r="J134" s="255"/>
      <c r="K134" s="235" t="s">
        <v>30</v>
      </c>
      <c r="L134" s="236">
        <f>(E134*E119)+(F134*F119)+(G134*G119)+(H134*H119)+(I134*I119)+(J134*J119)</f>
        <v>0</v>
      </c>
      <c r="M134" s="237" t="s">
        <v>31</v>
      </c>
      <c r="N134" s="238" t="b">
        <v>0</v>
      </c>
    </row>
    <row r="135" ht="13.5" customHeight="1">
      <c r="A135" s="68"/>
      <c r="B135" s="239" t="s">
        <v>49</v>
      </c>
      <c r="C135" s="232" t="s">
        <v>34</v>
      </c>
      <c r="D135" s="108"/>
      <c r="E135" s="256"/>
      <c r="F135" s="257"/>
      <c r="G135" s="257"/>
      <c r="H135" s="257"/>
      <c r="I135" s="257"/>
      <c r="J135" s="257"/>
      <c r="K135" s="243" t="s">
        <v>35</v>
      </c>
      <c r="L135" s="236">
        <f>(E135*E119)+(F135*F119)+(G135*G119)+(H135*H119)+(I135*I119)+(J135*J119)</f>
        <v>0</v>
      </c>
      <c r="M135" s="237" t="s">
        <v>36</v>
      </c>
      <c r="N135" s="238" t="b">
        <v>0</v>
      </c>
    </row>
    <row r="136" ht="13.5" customHeight="1">
      <c r="A136" s="80"/>
      <c r="B136" s="245" t="str">
        <f>IFS(L136=0,"",B136&lt;&gt;"",B136,TRUE,NOW())</f>
        <v/>
      </c>
      <c r="C136" s="232" t="s">
        <v>37</v>
      </c>
      <c r="D136" s="108"/>
      <c r="E136" s="258"/>
      <c r="F136" s="258"/>
      <c r="G136" s="258"/>
      <c r="H136" s="258"/>
      <c r="I136" s="258"/>
      <c r="J136" s="258"/>
      <c r="K136" s="248" t="s">
        <v>38</v>
      </c>
      <c r="L136" s="249">
        <f>L135-L134</f>
        <v>0</v>
      </c>
      <c r="M136" s="250" t="s">
        <v>39</v>
      </c>
      <c r="N136" s="260" t="b">
        <v>0</v>
      </c>
    </row>
    <row r="137" ht="13.5" customHeight="1">
      <c r="A137" s="261" t="s">
        <v>74</v>
      </c>
      <c r="B137" s="209" t="s">
        <v>20</v>
      </c>
      <c r="C137" s="24"/>
      <c r="D137" s="33"/>
      <c r="E137" s="262">
        <f t="shared" ref="E137:J137" si="36">E6</f>
        <v>16</v>
      </c>
      <c r="F137" s="262">
        <f t="shared" si="36"/>
        <v>26</v>
      </c>
      <c r="G137" s="263">
        <f t="shared" si="36"/>
        <v>26</v>
      </c>
      <c r="H137" s="264">
        <f t="shared" si="36"/>
        <v>26</v>
      </c>
      <c r="I137" s="213">
        <f t="shared" si="36"/>
        <v>31</v>
      </c>
      <c r="J137" s="263">
        <f t="shared" si="36"/>
        <v>36</v>
      </c>
      <c r="K137" s="214" t="s">
        <v>21</v>
      </c>
      <c r="L137" s="25"/>
      <c r="M137" s="215" t="s">
        <v>22</v>
      </c>
      <c r="N137" s="10"/>
    </row>
    <row r="138" ht="13.5" customHeight="1">
      <c r="A138" s="216" t="s">
        <v>23</v>
      </c>
      <c r="B138" s="217" t="s">
        <v>24</v>
      </c>
      <c r="C138" s="218" t="s">
        <v>25</v>
      </c>
      <c r="D138" s="117"/>
      <c r="E138" s="219"/>
      <c r="F138" s="219"/>
      <c r="G138" s="219"/>
      <c r="H138" s="219"/>
      <c r="I138" s="220"/>
      <c r="J138" s="219"/>
      <c r="K138" s="49"/>
      <c r="L138" s="25"/>
      <c r="M138" s="50"/>
      <c r="N138" s="10"/>
    </row>
    <row r="139" ht="13.5" customHeight="1">
      <c r="A139" s="221"/>
      <c r="B139" s="222" t="s">
        <v>75</v>
      </c>
      <c r="C139" s="223" t="s">
        <v>27</v>
      </c>
      <c r="D139" s="224"/>
      <c r="E139" s="225">
        <f t="shared" ref="E139:J139" si="37">E138-E140</f>
        <v>0</v>
      </c>
      <c r="F139" s="225">
        <f t="shared" si="37"/>
        <v>0</v>
      </c>
      <c r="G139" s="225">
        <f t="shared" si="37"/>
        <v>0</v>
      </c>
      <c r="H139" s="225">
        <f t="shared" si="37"/>
        <v>0</v>
      </c>
      <c r="I139" s="225">
        <f t="shared" si="37"/>
        <v>0</v>
      </c>
      <c r="J139" s="226">
        <f t="shared" si="37"/>
        <v>0</v>
      </c>
      <c r="K139" s="227"/>
      <c r="L139" s="30"/>
      <c r="M139" s="228" t="s">
        <v>28</v>
      </c>
      <c r="N139" s="229" t="b">
        <v>0</v>
      </c>
    </row>
    <row r="140" ht="13.5" customHeight="1">
      <c r="A140" s="230" t="s">
        <v>29</v>
      </c>
      <c r="B140" s="231"/>
      <c r="C140" s="232" t="s">
        <v>30</v>
      </c>
      <c r="D140" s="108"/>
      <c r="E140" s="233"/>
      <c r="F140" s="233"/>
      <c r="G140" s="233"/>
      <c r="H140" s="233"/>
      <c r="I140" s="234"/>
      <c r="J140" s="233"/>
      <c r="K140" s="235" t="s">
        <v>30</v>
      </c>
      <c r="L140" s="236">
        <f>(E140*E137)+(F140*F137)+(G140*G137)+(H140*H137)+(I140*I137)+(J140*J137)</f>
        <v>0</v>
      </c>
      <c r="M140" s="237" t="s">
        <v>31</v>
      </c>
      <c r="N140" s="238" t="b">
        <v>0</v>
      </c>
    </row>
    <row r="141" ht="15.0" customHeight="1">
      <c r="A141" s="221"/>
      <c r="B141" s="239" t="s">
        <v>33</v>
      </c>
      <c r="C141" s="232" t="s">
        <v>34</v>
      </c>
      <c r="D141" s="108"/>
      <c r="E141" s="240"/>
      <c r="F141" s="241"/>
      <c r="G141" s="241"/>
      <c r="H141" s="241"/>
      <c r="I141" s="242"/>
      <c r="J141" s="241"/>
      <c r="K141" s="243" t="s">
        <v>35</v>
      </c>
      <c r="L141" s="236">
        <f>(E141*E137)+(F141*F137)+(G141*G137)+(H141*H137)+(I141*I137)+(J141*J137)</f>
        <v>0</v>
      </c>
      <c r="M141" s="244" t="s">
        <v>36</v>
      </c>
      <c r="N141" s="238" t="b">
        <v>0</v>
      </c>
    </row>
    <row r="142" ht="13.5" customHeight="1">
      <c r="A142" s="68"/>
      <c r="B142" s="245" t="str">
        <f>IFS(L142=0,"",B142&lt;&gt;"",B142,TRUE,NOW())</f>
        <v/>
      </c>
      <c r="C142" s="232" t="s">
        <v>37</v>
      </c>
      <c r="D142" s="108"/>
      <c r="E142" s="246"/>
      <c r="F142" s="246"/>
      <c r="G142" s="246"/>
      <c r="H142" s="246"/>
      <c r="I142" s="247"/>
      <c r="J142" s="246"/>
      <c r="K142" s="248" t="s">
        <v>38</v>
      </c>
      <c r="L142" s="249">
        <f>L141-L140</f>
        <v>0</v>
      </c>
      <c r="M142" s="250" t="s">
        <v>39</v>
      </c>
      <c r="N142" s="238" t="b">
        <v>0</v>
      </c>
    </row>
    <row r="143" ht="13.5" customHeight="1">
      <c r="A143" s="230" t="s">
        <v>40</v>
      </c>
      <c r="B143" s="222" t="s">
        <v>75</v>
      </c>
      <c r="C143" s="223" t="s">
        <v>27</v>
      </c>
      <c r="D143" s="224"/>
      <c r="E143" s="225">
        <f t="shared" ref="E143:J143" si="38">E141-E144</f>
        <v>0</v>
      </c>
      <c r="F143" s="225">
        <f t="shared" si="38"/>
        <v>0</v>
      </c>
      <c r="G143" s="225">
        <f t="shared" si="38"/>
        <v>0</v>
      </c>
      <c r="H143" s="225">
        <f t="shared" si="38"/>
        <v>0</v>
      </c>
      <c r="I143" s="225">
        <f t="shared" si="38"/>
        <v>0</v>
      </c>
      <c r="J143" s="226">
        <f t="shared" si="38"/>
        <v>0</v>
      </c>
      <c r="K143" s="227"/>
      <c r="L143" s="30"/>
      <c r="M143" s="228" t="s">
        <v>28</v>
      </c>
      <c r="N143" s="229" t="b">
        <v>0</v>
      </c>
    </row>
    <row r="144" ht="13.5" customHeight="1">
      <c r="A144" s="221"/>
      <c r="B144" s="231"/>
      <c r="C144" s="232" t="s">
        <v>30</v>
      </c>
      <c r="D144" s="108"/>
      <c r="E144" s="233"/>
      <c r="F144" s="233"/>
      <c r="G144" s="233"/>
      <c r="H144" s="233"/>
      <c r="I144" s="234"/>
      <c r="J144" s="251"/>
      <c r="K144" s="235" t="s">
        <v>30</v>
      </c>
      <c r="L144" s="236">
        <f>(E144*E137)+(F144*F137)+(G144*G137)+(H144*H137)+(I144*I137)+(J144*J137)</f>
        <v>0</v>
      </c>
      <c r="M144" s="237" t="s">
        <v>31</v>
      </c>
      <c r="N144" s="238" t="b">
        <v>0</v>
      </c>
    </row>
    <row r="145" ht="13.5" customHeight="1">
      <c r="A145" s="68"/>
      <c r="B145" s="239" t="s">
        <v>42</v>
      </c>
      <c r="C145" s="232" t="s">
        <v>34</v>
      </c>
      <c r="D145" s="108"/>
      <c r="E145" s="240"/>
      <c r="F145" s="241"/>
      <c r="G145" s="241"/>
      <c r="H145" s="241"/>
      <c r="I145" s="242"/>
      <c r="J145" s="252"/>
      <c r="K145" s="243" t="s">
        <v>35</v>
      </c>
      <c r="L145" s="236">
        <f>(E145*E137)+(F145*F137)+(G145*G137)+(H145*H137)+(I145*I137)+(J145*J137)</f>
        <v>0</v>
      </c>
      <c r="M145" s="237" t="s">
        <v>36</v>
      </c>
      <c r="N145" s="238" t="b">
        <v>0</v>
      </c>
    </row>
    <row r="146" ht="15.0" customHeight="1">
      <c r="A146" s="230" t="s">
        <v>43</v>
      </c>
      <c r="B146" s="245" t="str">
        <f>IFS(L146=0,"",B146&lt;&gt;"",B146,TRUE,NOW())</f>
        <v/>
      </c>
      <c r="C146" s="232" t="s">
        <v>37</v>
      </c>
      <c r="D146" s="108"/>
      <c r="E146" s="246"/>
      <c r="F146" s="246"/>
      <c r="G146" s="246"/>
      <c r="H146" s="246"/>
      <c r="I146" s="247"/>
      <c r="J146" s="253"/>
      <c r="K146" s="248" t="s">
        <v>38</v>
      </c>
      <c r="L146" s="249">
        <f>L145-L144</f>
        <v>0</v>
      </c>
      <c r="M146" s="250" t="s">
        <v>39</v>
      </c>
      <c r="N146" s="238" t="b">
        <v>0</v>
      </c>
    </row>
    <row r="147" ht="13.5" customHeight="1">
      <c r="A147" s="230"/>
      <c r="B147" s="222" t="s">
        <v>75</v>
      </c>
      <c r="C147" s="223" t="s">
        <v>27</v>
      </c>
      <c r="D147" s="224"/>
      <c r="E147" s="254">
        <f t="shared" ref="E147:J147" si="39">E145-E148</f>
        <v>0</v>
      </c>
      <c r="F147" s="254">
        <f t="shared" si="39"/>
        <v>0</v>
      </c>
      <c r="G147" s="254">
        <f t="shared" si="39"/>
        <v>0</v>
      </c>
      <c r="H147" s="254">
        <f t="shared" si="39"/>
        <v>0</v>
      </c>
      <c r="I147" s="254">
        <f t="shared" si="39"/>
        <v>0</v>
      </c>
      <c r="J147" s="254">
        <f t="shared" si="39"/>
        <v>0</v>
      </c>
      <c r="K147" s="227"/>
      <c r="L147" s="30"/>
      <c r="M147" s="228" t="s">
        <v>28</v>
      </c>
      <c r="N147" s="229" t="b">
        <v>0</v>
      </c>
    </row>
    <row r="148" ht="13.5" customHeight="1">
      <c r="A148" s="230" t="s">
        <v>45</v>
      </c>
      <c r="B148" s="231"/>
      <c r="C148" s="232" t="s">
        <v>30</v>
      </c>
      <c r="D148" s="108"/>
      <c r="E148" s="255"/>
      <c r="F148" s="255"/>
      <c r="G148" s="255"/>
      <c r="H148" s="255"/>
      <c r="I148" s="255"/>
      <c r="J148" s="255"/>
      <c r="K148" s="235" t="s">
        <v>30</v>
      </c>
      <c r="L148" s="236">
        <f>(E148*E137)+(F148*F137)+(G148*G137)+(H148*H137)+(I148*I137)+(J148*J137)</f>
        <v>0</v>
      </c>
      <c r="M148" s="237" t="s">
        <v>31</v>
      </c>
      <c r="N148" s="238" t="b">
        <v>0</v>
      </c>
    </row>
    <row r="149" ht="13.5" customHeight="1">
      <c r="A149" s="221"/>
      <c r="B149" s="239" t="s">
        <v>47</v>
      </c>
      <c r="C149" s="232" t="s">
        <v>34</v>
      </c>
      <c r="D149" s="108"/>
      <c r="E149" s="256"/>
      <c r="F149" s="257"/>
      <c r="G149" s="257"/>
      <c r="H149" s="257"/>
      <c r="I149" s="257"/>
      <c r="J149" s="257"/>
      <c r="K149" s="243" t="s">
        <v>35</v>
      </c>
      <c r="L149" s="236">
        <f>(E149*E137)+(F149*F137)+(G149*G137)+(H149*H137)+(I149*I137)+(J149*J137)</f>
        <v>0</v>
      </c>
      <c r="M149" s="237" t="s">
        <v>36</v>
      </c>
      <c r="N149" s="238" t="b">
        <v>0</v>
      </c>
    </row>
    <row r="150" ht="13.5" customHeight="1">
      <c r="A150" s="68"/>
      <c r="B150" s="245" t="str">
        <f>IFS(L150=0,"",B150&lt;&gt;"",B150,TRUE,NOW())</f>
        <v/>
      </c>
      <c r="C150" s="232" t="s">
        <v>37</v>
      </c>
      <c r="D150" s="108"/>
      <c r="E150" s="258"/>
      <c r="F150" s="258"/>
      <c r="G150" s="258"/>
      <c r="H150" s="258"/>
      <c r="I150" s="258"/>
      <c r="J150" s="258"/>
      <c r="K150" s="248" t="s">
        <v>38</v>
      </c>
      <c r="L150" s="249">
        <f>L149-L148</f>
        <v>0</v>
      </c>
      <c r="M150" s="250" t="s">
        <v>39</v>
      </c>
      <c r="N150" s="238" t="b">
        <v>0</v>
      </c>
    </row>
    <row r="151" ht="15.0" customHeight="1">
      <c r="A151" s="259" t="s">
        <v>48</v>
      </c>
      <c r="B151" s="222" t="s">
        <v>75</v>
      </c>
      <c r="C151" s="223" t="s">
        <v>27</v>
      </c>
      <c r="D151" s="224"/>
      <c r="E151" s="254">
        <f t="shared" ref="E151:J151" si="40">E149-E152</f>
        <v>0</v>
      </c>
      <c r="F151" s="254">
        <f t="shared" si="40"/>
        <v>0</v>
      </c>
      <c r="G151" s="254">
        <f t="shared" si="40"/>
        <v>0</v>
      </c>
      <c r="H151" s="254">
        <f t="shared" si="40"/>
        <v>0</v>
      </c>
      <c r="I151" s="254">
        <f t="shared" si="40"/>
        <v>0</v>
      </c>
      <c r="J151" s="254">
        <f t="shared" si="40"/>
        <v>0</v>
      </c>
      <c r="K151" s="227"/>
      <c r="L151" s="30"/>
      <c r="M151" s="228" t="s">
        <v>28</v>
      </c>
      <c r="N151" s="229" t="b">
        <v>0</v>
      </c>
    </row>
    <row r="152" ht="13.5" customHeight="1">
      <c r="A152" s="87"/>
      <c r="B152" s="231"/>
      <c r="C152" s="232" t="s">
        <v>30</v>
      </c>
      <c r="D152" s="108"/>
      <c r="E152" s="255"/>
      <c r="F152" s="255"/>
      <c r="G152" s="255"/>
      <c r="H152" s="255"/>
      <c r="I152" s="255"/>
      <c r="J152" s="255"/>
      <c r="K152" s="235" t="s">
        <v>30</v>
      </c>
      <c r="L152" s="236">
        <f>(E152*E137)+(F152*F137)+(G152*G137)+(H152*H137)+(I152*I137)+(J152*J137)</f>
        <v>0</v>
      </c>
      <c r="M152" s="237" t="s">
        <v>31</v>
      </c>
      <c r="N152" s="238" t="b">
        <v>0</v>
      </c>
    </row>
    <row r="153" ht="13.5" customHeight="1">
      <c r="A153" s="68"/>
      <c r="B153" s="239" t="s">
        <v>49</v>
      </c>
      <c r="C153" s="232" t="s">
        <v>34</v>
      </c>
      <c r="D153" s="108"/>
      <c r="E153" s="256"/>
      <c r="F153" s="257"/>
      <c r="G153" s="257"/>
      <c r="H153" s="257"/>
      <c r="I153" s="257"/>
      <c r="J153" s="257"/>
      <c r="K153" s="243" t="s">
        <v>35</v>
      </c>
      <c r="L153" s="236">
        <f>(E153*E137)+(F153*F137)+(G153*G137)+(H153*H137)+(I153*I137)+(J153*J137)</f>
        <v>0</v>
      </c>
      <c r="M153" s="237" t="s">
        <v>36</v>
      </c>
      <c r="N153" s="238" t="b">
        <v>0</v>
      </c>
    </row>
    <row r="154" ht="13.5" customHeight="1">
      <c r="A154" s="80"/>
      <c r="B154" s="245" t="str">
        <f>IFS(L154=0,"",B154&lt;&gt;"",B154,TRUE,NOW())</f>
        <v/>
      </c>
      <c r="C154" s="232" t="s">
        <v>37</v>
      </c>
      <c r="D154" s="108"/>
      <c r="E154" s="258"/>
      <c r="F154" s="258"/>
      <c r="G154" s="258"/>
      <c r="H154" s="258"/>
      <c r="I154" s="258"/>
      <c r="J154" s="258"/>
      <c r="K154" s="248" t="s">
        <v>38</v>
      </c>
      <c r="L154" s="249">
        <f>L153-L152</f>
        <v>0</v>
      </c>
      <c r="M154" s="250" t="s">
        <v>39</v>
      </c>
      <c r="N154" s="260" t="b">
        <v>0</v>
      </c>
    </row>
    <row r="155" ht="13.5" customHeight="1">
      <c r="A155" s="261" t="s">
        <v>77</v>
      </c>
      <c r="B155" s="209" t="s">
        <v>20</v>
      </c>
      <c r="C155" s="24"/>
      <c r="D155" s="33"/>
      <c r="E155" s="262">
        <f t="shared" ref="E155:J155" si="41">E6</f>
        <v>16</v>
      </c>
      <c r="F155" s="262">
        <f t="shared" si="41"/>
        <v>26</v>
      </c>
      <c r="G155" s="263">
        <f t="shared" si="41"/>
        <v>26</v>
      </c>
      <c r="H155" s="264">
        <f t="shared" si="41"/>
        <v>26</v>
      </c>
      <c r="I155" s="213">
        <f t="shared" si="41"/>
        <v>31</v>
      </c>
      <c r="J155" s="263">
        <f t="shared" si="41"/>
        <v>36</v>
      </c>
      <c r="K155" s="214" t="s">
        <v>21</v>
      </c>
      <c r="L155" s="25"/>
      <c r="M155" s="215" t="s">
        <v>22</v>
      </c>
      <c r="N155" s="10"/>
    </row>
    <row r="156" ht="18.75" customHeight="1">
      <c r="A156" s="216" t="s">
        <v>23</v>
      </c>
      <c r="B156" s="217" t="s">
        <v>24</v>
      </c>
      <c r="C156" s="218" t="s">
        <v>25</v>
      </c>
      <c r="D156" s="117"/>
      <c r="E156" s="219"/>
      <c r="F156" s="219"/>
      <c r="G156" s="219"/>
      <c r="H156" s="219"/>
      <c r="I156" s="220"/>
      <c r="J156" s="219"/>
      <c r="K156" s="49"/>
      <c r="L156" s="25"/>
      <c r="M156" s="50"/>
      <c r="N156" s="10"/>
    </row>
    <row r="157" ht="13.5" customHeight="1">
      <c r="A157" s="221"/>
      <c r="B157" s="222" t="s">
        <v>78</v>
      </c>
      <c r="C157" s="223" t="s">
        <v>27</v>
      </c>
      <c r="D157" s="224"/>
      <c r="E157" s="225">
        <f t="shared" ref="E157:J157" si="42">E156-E158</f>
        <v>0</v>
      </c>
      <c r="F157" s="225">
        <f t="shared" si="42"/>
        <v>0</v>
      </c>
      <c r="G157" s="225">
        <f t="shared" si="42"/>
        <v>0</v>
      </c>
      <c r="H157" s="225">
        <f t="shared" si="42"/>
        <v>0</v>
      </c>
      <c r="I157" s="225">
        <f t="shared" si="42"/>
        <v>0</v>
      </c>
      <c r="J157" s="226">
        <f t="shared" si="42"/>
        <v>0</v>
      </c>
      <c r="K157" s="227"/>
      <c r="L157" s="30"/>
      <c r="M157" s="228" t="s">
        <v>28</v>
      </c>
      <c r="N157" s="229" t="b">
        <v>0</v>
      </c>
    </row>
    <row r="158" ht="13.5" customHeight="1">
      <c r="A158" s="230" t="s">
        <v>29</v>
      </c>
      <c r="B158" s="231"/>
      <c r="C158" s="232" t="s">
        <v>30</v>
      </c>
      <c r="D158" s="108"/>
      <c r="E158" s="233"/>
      <c r="F158" s="233"/>
      <c r="G158" s="233"/>
      <c r="H158" s="233"/>
      <c r="I158" s="234"/>
      <c r="J158" s="233"/>
      <c r="K158" s="235" t="s">
        <v>30</v>
      </c>
      <c r="L158" s="236">
        <f>(E158*E155)+(F158*F155)+(G158*G155)+(H158*H155)+(I158*I155)+(J158*J155)</f>
        <v>0</v>
      </c>
      <c r="M158" s="237" t="s">
        <v>31</v>
      </c>
      <c r="N158" s="238" t="b">
        <v>0</v>
      </c>
    </row>
    <row r="159" ht="13.5" customHeight="1">
      <c r="A159" s="221"/>
      <c r="B159" s="239" t="s">
        <v>33</v>
      </c>
      <c r="C159" s="232" t="s">
        <v>34</v>
      </c>
      <c r="D159" s="108"/>
      <c r="E159" s="240"/>
      <c r="F159" s="241"/>
      <c r="G159" s="241"/>
      <c r="H159" s="241"/>
      <c r="I159" s="242"/>
      <c r="J159" s="241"/>
      <c r="K159" s="243" t="s">
        <v>35</v>
      </c>
      <c r="L159" s="236">
        <f>(E159*E155)+(F159*F155)+(G159*G155)+(H159*H155)+(I159*I155)+(J159*J155)</f>
        <v>0</v>
      </c>
      <c r="M159" s="244" t="s">
        <v>36</v>
      </c>
      <c r="N159" s="238" t="b">
        <v>0</v>
      </c>
    </row>
    <row r="160" ht="13.5" customHeight="1">
      <c r="A160" s="68"/>
      <c r="B160" s="245" t="str">
        <f>IFS(L160=0,"",B160&lt;&gt;"",B160,TRUE,NOW())</f>
        <v/>
      </c>
      <c r="C160" s="232" t="s">
        <v>37</v>
      </c>
      <c r="D160" s="108"/>
      <c r="E160" s="246"/>
      <c r="F160" s="246"/>
      <c r="G160" s="246"/>
      <c r="H160" s="246"/>
      <c r="I160" s="247"/>
      <c r="J160" s="246"/>
      <c r="K160" s="248" t="s">
        <v>38</v>
      </c>
      <c r="L160" s="249">
        <f>L159-L158</f>
        <v>0</v>
      </c>
      <c r="M160" s="250" t="s">
        <v>39</v>
      </c>
      <c r="N160" s="238" t="b">
        <v>0</v>
      </c>
    </row>
    <row r="161" ht="13.5" customHeight="1">
      <c r="A161" s="230" t="s">
        <v>40</v>
      </c>
      <c r="B161" s="222" t="s">
        <v>78</v>
      </c>
      <c r="C161" s="223" t="s">
        <v>27</v>
      </c>
      <c r="D161" s="224"/>
      <c r="E161" s="225">
        <f t="shared" ref="E161:J161" si="43">E159-E162</f>
        <v>0</v>
      </c>
      <c r="F161" s="225">
        <f t="shared" si="43"/>
        <v>0</v>
      </c>
      <c r="G161" s="225">
        <f t="shared" si="43"/>
        <v>0</v>
      </c>
      <c r="H161" s="225">
        <f t="shared" si="43"/>
        <v>0</v>
      </c>
      <c r="I161" s="225">
        <f t="shared" si="43"/>
        <v>0</v>
      </c>
      <c r="J161" s="226">
        <f t="shared" si="43"/>
        <v>0</v>
      </c>
      <c r="K161" s="227"/>
      <c r="L161" s="30"/>
      <c r="M161" s="228" t="s">
        <v>28</v>
      </c>
      <c r="N161" s="229" t="b">
        <v>0</v>
      </c>
    </row>
    <row r="162" ht="13.5" customHeight="1">
      <c r="A162" s="221"/>
      <c r="B162" s="231"/>
      <c r="C162" s="232" t="s">
        <v>30</v>
      </c>
      <c r="D162" s="108"/>
      <c r="E162" s="233"/>
      <c r="F162" s="233"/>
      <c r="G162" s="233"/>
      <c r="H162" s="233"/>
      <c r="I162" s="234"/>
      <c r="J162" s="251"/>
      <c r="K162" s="235" t="s">
        <v>30</v>
      </c>
      <c r="L162" s="236">
        <f>(E162*E155)+(F162*F155)+(G162*G155)+(H162*H155)+(I162*I155)+(J162*J155)</f>
        <v>0</v>
      </c>
      <c r="M162" s="237" t="s">
        <v>31</v>
      </c>
      <c r="N162" s="238" t="b">
        <v>0</v>
      </c>
    </row>
    <row r="163" ht="17.25" customHeight="1">
      <c r="A163" s="68"/>
      <c r="B163" s="239" t="s">
        <v>42</v>
      </c>
      <c r="C163" s="232" t="s">
        <v>34</v>
      </c>
      <c r="D163" s="108"/>
      <c r="E163" s="240"/>
      <c r="F163" s="241"/>
      <c r="G163" s="241"/>
      <c r="H163" s="241"/>
      <c r="I163" s="242"/>
      <c r="J163" s="252"/>
      <c r="K163" s="243" t="s">
        <v>35</v>
      </c>
      <c r="L163" s="236">
        <f>(E163*E155)+(F163*F155)+(G163*G155)+(H163*H155)+(I163*I155)+(J163*J155)</f>
        <v>0</v>
      </c>
      <c r="M163" s="237" t="s">
        <v>36</v>
      </c>
      <c r="N163" s="238" t="b">
        <v>0</v>
      </c>
    </row>
    <row r="164" ht="13.5" customHeight="1">
      <c r="A164" s="230" t="s">
        <v>43</v>
      </c>
      <c r="B164" s="245" t="str">
        <f>IFS(L164=0,"",B164&lt;&gt;"",B164,TRUE,NOW())</f>
        <v/>
      </c>
      <c r="C164" s="232" t="s">
        <v>37</v>
      </c>
      <c r="D164" s="108"/>
      <c r="E164" s="246"/>
      <c r="F164" s="246"/>
      <c r="G164" s="246"/>
      <c r="H164" s="246"/>
      <c r="I164" s="247"/>
      <c r="J164" s="253"/>
      <c r="K164" s="248" t="s">
        <v>38</v>
      </c>
      <c r="L164" s="249">
        <f>L163-L162</f>
        <v>0</v>
      </c>
      <c r="M164" s="250" t="s">
        <v>39</v>
      </c>
      <c r="N164" s="238" t="b">
        <v>0</v>
      </c>
    </row>
    <row r="165" ht="13.5" customHeight="1">
      <c r="A165" s="230"/>
      <c r="B165" s="222" t="s">
        <v>78</v>
      </c>
      <c r="C165" s="223" t="s">
        <v>27</v>
      </c>
      <c r="D165" s="224"/>
      <c r="E165" s="254">
        <f t="shared" ref="E165:J165" si="44">E163-E166</f>
        <v>0</v>
      </c>
      <c r="F165" s="254">
        <f t="shared" si="44"/>
        <v>0</v>
      </c>
      <c r="G165" s="254">
        <f t="shared" si="44"/>
        <v>0</v>
      </c>
      <c r="H165" s="254">
        <f t="shared" si="44"/>
        <v>0</v>
      </c>
      <c r="I165" s="254">
        <f t="shared" si="44"/>
        <v>0</v>
      </c>
      <c r="J165" s="254">
        <f t="shared" si="44"/>
        <v>0</v>
      </c>
      <c r="K165" s="227"/>
      <c r="L165" s="30"/>
      <c r="M165" s="228" t="s">
        <v>28</v>
      </c>
      <c r="N165" s="229" t="b">
        <v>0</v>
      </c>
    </row>
    <row r="166" ht="13.5" customHeight="1">
      <c r="A166" s="230" t="s">
        <v>45</v>
      </c>
      <c r="B166" s="231"/>
      <c r="C166" s="232" t="s">
        <v>30</v>
      </c>
      <c r="D166" s="108"/>
      <c r="E166" s="255"/>
      <c r="F166" s="255"/>
      <c r="G166" s="255"/>
      <c r="H166" s="255"/>
      <c r="I166" s="255"/>
      <c r="J166" s="255"/>
      <c r="K166" s="235" t="s">
        <v>30</v>
      </c>
      <c r="L166" s="236">
        <f>(E166*E155)+(F166*F155)+(G166*G155)+(H166*H155)+(I166*I155)+(J166*J155)</f>
        <v>0</v>
      </c>
      <c r="M166" s="237" t="s">
        <v>31</v>
      </c>
      <c r="N166" s="238" t="b">
        <v>0</v>
      </c>
    </row>
    <row r="167" ht="13.5" customHeight="1">
      <c r="A167" s="221"/>
      <c r="B167" s="239" t="s">
        <v>47</v>
      </c>
      <c r="C167" s="232" t="s">
        <v>34</v>
      </c>
      <c r="D167" s="108"/>
      <c r="E167" s="256"/>
      <c r="F167" s="257"/>
      <c r="G167" s="257"/>
      <c r="H167" s="257"/>
      <c r="I167" s="257"/>
      <c r="J167" s="257"/>
      <c r="K167" s="243" t="s">
        <v>35</v>
      </c>
      <c r="L167" s="236">
        <f>(E167*E155)+(F167*F155)+(G167*G155)+(H167*H155)+(I167*I155)+(J167*J155)</f>
        <v>0</v>
      </c>
      <c r="M167" s="237" t="s">
        <v>36</v>
      </c>
      <c r="N167" s="238" t="b">
        <v>0</v>
      </c>
    </row>
    <row r="168" ht="15.0" customHeight="1">
      <c r="A168" s="68"/>
      <c r="B168" s="245" t="str">
        <f>IFS(L168=0,"",B168&lt;&gt;"",B168,TRUE,NOW())</f>
        <v/>
      </c>
      <c r="C168" s="232" t="s">
        <v>37</v>
      </c>
      <c r="D168" s="108"/>
      <c r="E168" s="258"/>
      <c r="F168" s="258"/>
      <c r="G168" s="258"/>
      <c r="H168" s="258"/>
      <c r="I168" s="258"/>
      <c r="J168" s="258"/>
      <c r="K168" s="248" t="s">
        <v>38</v>
      </c>
      <c r="L168" s="249">
        <f>L167-L166</f>
        <v>0</v>
      </c>
      <c r="M168" s="250" t="s">
        <v>39</v>
      </c>
      <c r="N168" s="238" t="b">
        <v>0</v>
      </c>
    </row>
    <row r="169" ht="13.5" customHeight="1">
      <c r="A169" s="259" t="s">
        <v>48</v>
      </c>
      <c r="B169" s="222" t="s">
        <v>78</v>
      </c>
      <c r="C169" s="223" t="s">
        <v>27</v>
      </c>
      <c r="D169" s="224"/>
      <c r="E169" s="254">
        <f t="shared" ref="E169:J169" si="45">E167-E170</f>
        <v>0</v>
      </c>
      <c r="F169" s="254">
        <f t="shared" si="45"/>
        <v>0</v>
      </c>
      <c r="G169" s="254">
        <f t="shared" si="45"/>
        <v>0</v>
      </c>
      <c r="H169" s="254">
        <f t="shared" si="45"/>
        <v>0</v>
      </c>
      <c r="I169" s="254">
        <f t="shared" si="45"/>
        <v>0</v>
      </c>
      <c r="J169" s="254">
        <f t="shared" si="45"/>
        <v>0</v>
      </c>
      <c r="K169" s="227"/>
      <c r="L169" s="30"/>
      <c r="M169" s="228" t="s">
        <v>28</v>
      </c>
      <c r="N169" s="229" t="b">
        <v>0</v>
      </c>
    </row>
    <row r="170" ht="13.5" customHeight="1">
      <c r="A170" s="87"/>
      <c r="B170" s="231"/>
      <c r="C170" s="232" t="s">
        <v>30</v>
      </c>
      <c r="D170" s="108"/>
      <c r="E170" s="255"/>
      <c r="F170" s="255"/>
      <c r="G170" s="255"/>
      <c r="H170" s="255"/>
      <c r="I170" s="255"/>
      <c r="J170" s="255"/>
      <c r="K170" s="235" t="s">
        <v>30</v>
      </c>
      <c r="L170" s="236">
        <f>(E170*E155)+(F170*F155)+(G170*G155)+(H170*H155)+(I170*I155)+(J170*J155)</f>
        <v>0</v>
      </c>
      <c r="M170" s="237" t="s">
        <v>31</v>
      </c>
      <c r="N170" s="238" t="b">
        <v>0</v>
      </c>
    </row>
    <row r="171" ht="13.5" customHeight="1">
      <c r="A171" s="68"/>
      <c r="B171" s="239" t="s">
        <v>49</v>
      </c>
      <c r="C171" s="232" t="s">
        <v>34</v>
      </c>
      <c r="D171" s="108"/>
      <c r="E171" s="256"/>
      <c r="F171" s="257"/>
      <c r="G171" s="257"/>
      <c r="H171" s="257"/>
      <c r="I171" s="257"/>
      <c r="J171" s="257"/>
      <c r="K171" s="243" t="s">
        <v>35</v>
      </c>
      <c r="L171" s="236">
        <f>(E171*E155)+(F171*F155)+(G171*G155)+(H171*H155)+(I171*I155)+(J171*J155)</f>
        <v>0</v>
      </c>
      <c r="M171" s="237" t="s">
        <v>36</v>
      </c>
      <c r="N171" s="238" t="b">
        <v>0</v>
      </c>
    </row>
    <row r="172" ht="13.5" customHeight="1">
      <c r="A172" s="80"/>
      <c r="B172" s="245" t="str">
        <f>IFS(L172=0,"",B172&lt;&gt;"",B172,TRUE,NOW())</f>
        <v/>
      </c>
      <c r="C172" s="265" t="s">
        <v>37</v>
      </c>
      <c r="D172" s="117"/>
      <c r="E172" s="258"/>
      <c r="F172" s="258"/>
      <c r="G172" s="258"/>
      <c r="H172" s="258"/>
      <c r="I172" s="258"/>
      <c r="J172" s="258"/>
      <c r="K172" s="248" t="s">
        <v>38</v>
      </c>
      <c r="L172" s="249">
        <f>L171-L170</f>
        <v>0</v>
      </c>
      <c r="M172" s="250" t="s">
        <v>39</v>
      </c>
      <c r="N172" s="260" t="b">
        <v>0</v>
      </c>
    </row>
    <row r="173" ht="15.0" customHeight="1">
      <c r="A173" s="261" t="s">
        <v>80</v>
      </c>
      <c r="B173" s="209" t="s">
        <v>20</v>
      </c>
      <c r="C173" s="24"/>
      <c r="D173" s="33"/>
      <c r="E173" s="262">
        <f t="shared" ref="E173:J173" si="46">E6</f>
        <v>16</v>
      </c>
      <c r="F173" s="262">
        <f t="shared" si="46"/>
        <v>26</v>
      </c>
      <c r="G173" s="263">
        <f t="shared" si="46"/>
        <v>26</v>
      </c>
      <c r="H173" s="264">
        <f t="shared" si="46"/>
        <v>26</v>
      </c>
      <c r="I173" s="213">
        <f t="shared" si="46"/>
        <v>31</v>
      </c>
      <c r="J173" s="263">
        <f t="shared" si="46"/>
        <v>36</v>
      </c>
      <c r="K173" s="214" t="s">
        <v>21</v>
      </c>
      <c r="L173" s="25"/>
      <c r="M173" s="215" t="s">
        <v>22</v>
      </c>
      <c r="N173" s="10"/>
    </row>
    <row r="174" ht="13.5" customHeight="1">
      <c r="A174" s="216" t="s">
        <v>23</v>
      </c>
      <c r="B174" s="217" t="s">
        <v>24</v>
      </c>
      <c r="C174" s="218" t="s">
        <v>25</v>
      </c>
      <c r="D174" s="117"/>
      <c r="E174" s="219"/>
      <c r="F174" s="219"/>
      <c r="G174" s="219"/>
      <c r="H174" s="219"/>
      <c r="I174" s="220"/>
      <c r="J174" s="219"/>
      <c r="K174" s="49"/>
      <c r="L174" s="25"/>
      <c r="M174" s="50"/>
      <c r="N174" s="10"/>
    </row>
    <row r="175" ht="13.5" customHeight="1">
      <c r="A175" s="221"/>
      <c r="B175" s="222" t="s">
        <v>81</v>
      </c>
      <c r="C175" s="223" t="s">
        <v>27</v>
      </c>
      <c r="D175" s="224"/>
      <c r="E175" s="225">
        <f t="shared" ref="E175:J175" si="47">E174-E176</f>
        <v>0</v>
      </c>
      <c r="F175" s="225">
        <f t="shared" si="47"/>
        <v>0</v>
      </c>
      <c r="G175" s="225">
        <f t="shared" si="47"/>
        <v>0</v>
      </c>
      <c r="H175" s="225">
        <f t="shared" si="47"/>
        <v>0</v>
      </c>
      <c r="I175" s="225">
        <f t="shared" si="47"/>
        <v>0</v>
      </c>
      <c r="J175" s="226">
        <f t="shared" si="47"/>
        <v>0</v>
      </c>
      <c r="K175" s="227"/>
      <c r="L175" s="30"/>
      <c r="M175" s="228" t="s">
        <v>28</v>
      </c>
      <c r="N175" s="229" t="b">
        <v>0</v>
      </c>
    </row>
    <row r="176" ht="13.5" customHeight="1">
      <c r="A176" s="230" t="s">
        <v>29</v>
      </c>
      <c r="B176" s="231"/>
      <c r="C176" s="232" t="s">
        <v>30</v>
      </c>
      <c r="D176" s="108"/>
      <c r="E176" s="233"/>
      <c r="F176" s="233"/>
      <c r="G176" s="233"/>
      <c r="H176" s="233"/>
      <c r="I176" s="234"/>
      <c r="J176" s="233"/>
      <c r="K176" s="235" t="s">
        <v>30</v>
      </c>
      <c r="L176" s="236">
        <f>(E176*E173)+(F176*F173)+(G176*G173)+(H176*H173)+(I176*I173)+(J176*J173)</f>
        <v>0</v>
      </c>
      <c r="M176" s="237" t="s">
        <v>31</v>
      </c>
      <c r="N176" s="238" t="b">
        <v>0</v>
      </c>
    </row>
    <row r="177" ht="13.5" customHeight="1">
      <c r="A177" s="221"/>
      <c r="B177" s="239" t="s">
        <v>33</v>
      </c>
      <c r="C177" s="232" t="s">
        <v>34</v>
      </c>
      <c r="D177" s="108"/>
      <c r="E177" s="240"/>
      <c r="F177" s="241"/>
      <c r="G177" s="241"/>
      <c r="H177" s="241"/>
      <c r="I177" s="242"/>
      <c r="J177" s="241"/>
      <c r="K177" s="243" t="s">
        <v>35</v>
      </c>
      <c r="L177" s="236">
        <f>(E177*E173)+(F177*F173)+(G177*G173)+(H177*H173)+(I177*I173)+(J177*J173)</f>
        <v>0</v>
      </c>
      <c r="M177" s="244" t="s">
        <v>36</v>
      </c>
      <c r="N177" s="238" t="b">
        <v>0</v>
      </c>
    </row>
    <row r="178" ht="15.0" customHeight="1">
      <c r="A178" s="68"/>
      <c r="B178" s="245" t="str">
        <f>IFS(L178=0,"",B178&lt;&gt;"",B178,TRUE,NOW())</f>
        <v/>
      </c>
      <c r="C178" s="232" t="s">
        <v>37</v>
      </c>
      <c r="D178" s="108"/>
      <c r="E178" s="246"/>
      <c r="F178" s="246"/>
      <c r="G178" s="246"/>
      <c r="H178" s="246"/>
      <c r="I178" s="247"/>
      <c r="J178" s="246"/>
      <c r="K178" s="248" t="s">
        <v>38</v>
      </c>
      <c r="L178" s="249">
        <f>L177-L176</f>
        <v>0</v>
      </c>
      <c r="M178" s="250" t="s">
        <v>39</v>
      </c>
      <c r="N178" s="238" t="b">
        <v>0</v>
      </c>
    </row>
    <row r="179" ht="13.5" customHeight="1">
      <c r="A179" s="230" t="s">
        <v>40</v>
      </c>
      <c r="B179" s="222" t="s">
        <v>81</v>
      </c>
      <c r="C179" s="223" t="s">
        <v>27</v>
      </c>
      <c r="D179" s="224"/>
      <c r="E179" s="225">
        <f t="shared" ref="E179:J179" si="48">E177-E180</f>
        <v>0</v>
      </c>
      <c r="F179" s="225">
        <f t="shared" si="48"/>
        <v>0</v>
      </c>
      <c r="G179" s="225">
        <f t="shared" si="48"/>
        <v>0</v>
      </c>
      <c r="H179" s="225">
        <f t="shared" si="48"/>
        <v>0</v>
      </c>
      <c r="I179" s="225">
        <f t="shared" si="48"/>
        <v>0</v>
      </c>
      <c r="J179" s="226">
        <f t="shared" si="48"/>
        <v>0</v>
      </c>
      <c r="K179" s="227"/>
      <c r="L179" s="30"/>
      <c r="M179" s="228" t="s">
        <v>28</v>
      </c>
      <c r="N179" s="229" t="b">
        <v>0</v>
      </c>
    </row>
    <row r="180" ht="13.5" customHeight="1">
      <c r="A180" s="221"/>
      <c r="B180" s="231"/>
      <c r="C180" s="232" t="s">
        <v>30</v>
      </c>
      <c r="D180" s="108"/>
      <c r="E180" s="233"/>
      <c r="F180" s="233"/>
      <c r="G180" s="233"/>
      <c r="H180" s="233"/>
      <c r="I180" s="234"/>
      <c r="J180" s="251"/>
      <c r="K180" s="235" t="s">
        <v>30</v>
      </c>
      <c r="L180" s="236">
        <f>(E180*E173)+(F180*F173)+(G180*G173)+(H180*H173)+(I180*I173)+(J180*J173)</f>
        <v>0</v>
      </c>
      <c r="M180" s="237" t="s">
        <v>31</v>
      </c>
      <c r="N180" s="238" t="b">
        <v>0</v>
      </c>
    </row>
    <row r="181" ht="13.5" customHeight="1">
      <c r="A181" s="68"/>
      <c r="B181" s="239" t="s">
        <v>42</v>
      </c>
      <c r="C181" s="232" t="s">
        <v>34</v>
      </c>
      <c r="D181" s="108"/>
      <c r="E181" s="240"/>
      <c r="F181" s="241"/>
      <c r="G181" s="241"/>
      <c r="H181" s="241"/>
      <c r="I181" s="242"/>
      <c r="J181" s="252"/>
      <c r="K181" s="243" t="s">
        <v>35</v>
      </c>
      <c r="L181" s="236">
        <f>(E181*E173)+(F181*F173)+(G181*G173)+(H181*H173)+(I181*I173)+(J181*J173)</f>
        <v>0</v>
      </c>
      <c r="M181" s="237" t="s">
        <v>36</v>
      </c>
      <c r="N181" s="238" t="b">
        <v>0</v>
      </c>
    </row>
    <row r="182" ht="13.5" customHeight="1">
      <c r="A182" s="230" t="s">
        <v>43</v>
      </c>
      <c r="B182" s="245" t="str">
        <f>IFS(L182=0,"",B182&lt;&gt;"",B182,TRUE,NOW())</f>
        <v/>
      </c>
      <c r="C182" s="232" t="s">
        <v>37</v>
      </c>
      <c r="D182" s="108"/>
      <c r="E182" s="246"/>
      <c r="F182" s="246"/>
      <c r="G182" s="246"/>
      <c r="H182" s="246"/>
      <c r="I182" s="247"/>
      <c r="J182" s="253"/>
      <c r="K182" s="248" t="s">
        <v>38</v>
      </c>
      <c r="L182" s="249">
        <f>L181-L180</f>
        <v>0</v>
      </c>
      <c r="M182" s="250" t="s">
        <v>39</v>
      </c>
      <c r="N182" s="238" t="b">
        <v>0</v>
      </c>
    </row>
    <row r="183" ht="13.5" customHeight="1">
      <c r="A183" s="230"/>
      <c r="B183" s="222" t="s">
        <v>81</v>
      </c>
      <c r="C183" s="223" t="s">
        <v>27</v>
      </c>
      <c r="D183" s="224"/>
      <c r="E183" s="254">
        <f t="shared" ref="E183:J183" si="49">E181-E184</f>
        <v>0</v>
      </c>
      <c r="F183" s="254">
        <f t="shared" si="49"/>
        <v>0</v>
      </c>
      <c r="G183" s="254">
        <f t="shared" si="49"/>
        <v>0</v>
      </c>
      <c r="H183" s="254">
        <f t="shared" si="49"/>
        <v>0</v>
      </c>
      <c r="I183" s="254">
        <f t="shared" si="49"/>
        <v>0</v>
      </c>
      <c r="J183" s="254">
        <f t="shared" si="49"/>
        <v>0</v>
      </c>
      <c r="K183" s="227"/>
      <c r="L183" s="30"/>
      <c r="M183" s="228" t="s">
        <v>28</v>
      </c>
      <c r="N183" s="229" t="b">
        <v>0</v>
      </c>
    </row>
    <row r="184" ht="13.5" customHeight="1">
      <c r="A184" s="230" t="s">
        <v>45</v>
      </c>
      <c r="B184" s="231"/>
      <c r="C184" s="232" t="s">
        <v>30</v>
      </c>
      <c r="D184" s="108"/>
      <c r="E184" s="255"/>
      <c r="F184" s="255"/>
      <c r="G184" s="255"/>
      <c r="H184" s="255"/>
      <c r="I184" s="255"/>
      <c r="J184" s="255"/>
      <c r="K184" s="235" t="s">
        <v>30</v>
      </c>
      <c r="L184" s="236">
        <f>(E184*E173)+(F184*F173)+(G184*G173)+(H184*H173)+(I184*I173)+(J184*J173)</f>
        <v>0</v>
      </c>
      <c r="M184" s="237" t="s">
        <v>31</v>
      </c>
      <c r="N184" s="238" t="b">
        <v>0</v>
      </c>
    </row>
    <row r="185" ht="18.0" customHeight="1">
      <c r="A185" s="221"/>
      <c r="B185" s="239" t="s">
        <v>47</v>
      </c>
      <c r="C185" s="232" t="s">
        <v>34</v>
      </c>
      <c r="D185" s="108"/>
      <c r="E185" s="256"/>
      <c r="F185" s="257"/>
      <c r="G185" s="257"/>
      <c r="H185" s="257"/>
      <c r="I185" s="257"/>
      <c r="J185" s="257"/>
      <c r="K185" s="243" t="s">
        <v>35</v>
      </c>
      <c r="L185" s="236">
        <f>(E185*E173)+(F185*F173)+(G185*G173)+(H185*H173)+(I185*I173)+(J185*J173)</f>
        <v>0</v>
      </c>
      <c r="M185" s="237" t="s">
        <v>36</v>
      </c>
      <c r="N185" s="238" t="b">
        <v>0</v>
      </c>
    </row>
    <row r="186" ht="13.5" customHeight="1">
      <c r="A186" s="68"/>
      <c r="B186" s="245" t="str">
        <f>IFS(L186=0,"",B186&lt;&gt;"",B186,TRUE,NOW())</f>
        <v/>
      </c>
      <c r="C186" s="232" t="s">
        <v>37</v>
      </c>
      <c r="D186" s="108"/>
      <c r="E186" s="258"/>
      <c r="F186" s="258"/>
      <c r="G186" s="258"/>
      <c r="H186" s="258"/>
      <c r="I186" s="258"/>
      <c r="J186" s="258"/>
      <c r="K186" s="248" t="s">
        <v>38</v>
      </c>
      <c r="L186" s="249">
        <f>L185-L184</f>
        <v>0</v>
      </c>
      <c r="M186" s="250" t="s">
        <v>39</v>
      </c>
      <c r="N186" s="238" t="b">
        <v>0</v>
      </c>
    </row>
    <row r="187" ht="13.5" customHeight="1">
      <c r="A187" s="259" t="s">
        <v>48</v>
      </c>
      <c r="B187" s="222" t="s">
        <v>81</v>
      </c>
      <c r="C187" s="223" t="s">
        <v>27</v>
      </c>
      <c r="D187" s="224"/>
      <c r="E187" s="254">
        <f t="shared" ref="E187:J187" si="50">E185-E188</f>
        <v>0</v>
      </c>
      <c r="F187" s="254">
        <f t="shared" si="50"/>
        <v>0</v>
      </c>
      <c r="G187" s="254">
        <f t="shared" si="50"/>
        <v>0</v>
      </c>
      <c r="H187" s="254">
        <f t="shared" si="50"/>
        <v>0</v>
      </c>
      <c r="I187" s="254">
        <f t="shared" si="50"/>
        <v>0</v>
      </c>
      <c r="J187" s="254">
        <f t="shared" si="50"/>
        <v>0</v>
      </c>
      <c r="K187" s="227"/>
      <c r="L187" s="30"/>
      <c r="M187" s="228" t="s">
        <v>28</v>
      </c>
      <c r="N187" s="229" t="b">
        <v>0</v>
      </c>
    </row>
    <row r="188" ht="13.5" customHeight="1">
      <c r="A188" s="87"/>
      <c r="B188" s="231"/>
      <c r="C188" s="232" t="s">
        <v>30</v>
      </c>
      <c r="D188" s="108"/>
      <c r="E188" s="255"/>
      <c r="F188" s="255"/>
      <c r="G188" s="255"/>
      <c r="H188" s="255"/>
      <c r="I188" s="255"/>
      <c r="J188" s="255"/>
      <c r="K188" s="235" t="s">
        <v>30</v>
      </c>
      <c r="L188" s="236">
        <f>(E188*E173)+(F188*F173)+(G188*G173)+(H188*H173)+(I188*I173)+(J188*J173)</f>
        <v>0</v>
      </c>
      <c r="M188" s="237" t="s">
        <v>31</v>
      </c>
      <c r="N188" s="238" t="b">
        <v>0</v>
      </c>
    </row>
    <row r="189" ht="13.5" customHeight="1">
      <c r="A189" s="68"/>
      <c r="B189" s="239" t="s">
        <v>49</v>
      </c>
      <c r="C189" s="232" t="s">
        <v>34</v>
      </c>
      <c r="D189" s="108"/>
      <c r="E189" s="256"/>
      <c r="F189" s="257"/>
      <c r="G189" s="257"/>
      <c r="H189" s="257"/>
      <c r="I189" s="257"/>
      <c r="J189" s="257"/>
      <c r="K189" s="243" t="s">
        <v>35</v>
      </c>
      <c r="L189" s="236">
        <f>(E189*E173)+(F189*F173)+(G189*G173)+(H189*H173)+(I189*I173)+(J189*J173)</f>
        <v>0</v>
      </c>
      <c r="M189" s="237" t="s">
        <v>36</v>
      </c>
      <c r="N189" s="238" t="b">
        <v>0</v>
      </c>
    </row>
    <row r="190" ht="15.0" customHeight="1">
      <c r="A190" s="80"/>
      <c r="B190" s="245" t="str">
        <f>IFS(L190=0,"",B190&lt;&gt;"",B190,TRUE,NOW())</f>
        <v/>
      </c>
      <c r="C190" s="232" t="s">
        <v>37</v>
      </c>
      <c r="D190" s="108"/>
      <c r="E190" s="258"/>
      <c r="F190" s="258"/>
      <c r="G190" s="258"/>
      <c r="H190" s="258"/>
      <c r="I190" s="258"/>
      <c r="J190" s="258"/>
      <c r="K190" s="248" t="s">
        <v>38</v>
      </c>
      <c r="L190" s="249">
        <f>L189-L188</f>
        <v>0</v>
      </c>
      <c r="M190" s="250" t="s">
        <v>39</v>
      </c>
      <c r="N190" s="260" t="b">
        <v>0</v>
      </c>
    </row>
    <row r="191" ht="13.5" customHeight="1">
      <c r="A191" s="261" t="s">
        <v>83</v>
      </c>
      <c r="B191" s="209" t="s">
        <v>20</v>
      </c>
      <c r="C191" s="24"/>
      <c r="D191" s="33"/>
      <c r="E191" s="262">
        <f t="shared" ref="E191:J191" si="51">E6</f>
        <v>16</v>
      </c>
      <c r="F191" s="262">
        <f t="shared" si="51"/>
        <v>26</v>
      </c>
      <c r="G191" s="263">
        <f t="shared" si="51"/>
        <v>26</v>
      </c>
      <c r="H191" s="264">
        <f t="shared" si="51"/>
        <v>26</v>
      </c>
      <c r="I191" s="213">
        <f t="shared" si="51"/>
        <v>31</v>
      </c>
      <c r="J191" s="263">
        <f t="shared" si="51"/>
        <v>36</v>
      </c>
      <c r="K191" s="214" t="s">
        <v>21</v>
      </c>
      <c r="L191" s="25"/>
      <c r="M191" s="215" t="s">
        <v>22</v>
      </c>
      <c r="N191" s="10"/>
    </row>
    <row r="192" ht="13.5" customHeight="1">
      <c r="A192" s="216" t="s">
        <v>23</v>
      </c>
      <c r="B192" s="217" t="s">
        <v>24</v>
      </c>
      <c r="C192" s="218" t="s">
        <v>25</v>
      </c>
      <c r="D192" s="117"/>
      <c r="E192" s="219"/>
      <c r="F192" s="219"/>
      <c r="G192" s="219"/>
      <c r="H192" s="219"/>
      <c r="I192" s="220"/>
      <c r="J192" s="219"/>
      <c r="K192" s="49"/>
      <c r="L192" s="25"/>
      <c r="M192" s="50"/>
      <c r="N192" s="10"/>
    </row>
    <row r="193" ht="13.5" customHeight="1">
      <c r="A193" s="221"/>
      <c r="B193" s="222" t="s">
        <v>84</v>
      </c>
      <c r="C193" s="223" t="s">
        <v>27</v>
      </c>
      <c r="D193" s="224"/>
      <c r="E193" s="225">
        <f t="shared" ref="E193:J193" si="52">E192-E194</f>
        <v>0</v>
      </c>
      <c r="F193" s="225">
        <f t="shared" si="52"/>
        <v>0</v>
      </c>
      <c r="G193" s="225">
        <f t="shared" si="52"/>
        <v>0</v>
      </c>
      <c r="H193" s="225">
        <f t="shared" si="52"/>
        <v>0</v>
      </c>
      <c r="I193" s="225">
        <f t="shared" si="52"/>
        <v>0</v>
      </c>
      <c r="J193" s="226">
        <f t="shared" si="52"/>
        <v>0</v>
      </c>
      <c r="K193" s="227"/>
      <c r="L193" s="30"/>
      <c r="M193" s="228" t="s">
        <v>28</v>
      </c>
      <c r="N193" s="229" t="b">
        <v>0</v>
      </c>
    </row>
    <row r="194" ht="13.5" customHeight="1">
      <c r="A194" s="230" t="s">
        <v>29</v>
      </c>
      <c r="B194" s="231"/>
      <c r="C194" s="232" t="s">
        <v>30</v>
      </c>
      <c r="D194" s="108"/>
      <c r="E194" s="233"/>
      <c r="F194" s="233"/>
      <c r="G194" s="233"/>
      <c r="H194" s="233"/>
      <c r="I194" s="234"/>
      <c r="J194" s="233"/>
      <c r="K194" s="235" t="s">
        <v>30</v>
      </c>
      <c r="L194" s="236">
        <f>(E194*E191)+(F194*F191)+(G194*G191)+(H194*H191)+(I194*I191)+(J194*J191)</f>
        <v>0</v>
      </c>
      <c r="M194" s="237" t="s">
        <v>31</v>
      </c>
      <c r="N194" s="238" t="b">
        <v>0</v>
      </c>
    </row>
    <row r="195" ht="18.0" customHeight="1">
      <c r="A195" s="221"/>
      <c r="B195" s="239" t="s">
        <v>33</v>
      </c>
      <c r="C195" s="232" t="s">
        <v>34</v>
      </c>
      <c r="D195" s="108"/>
      <c r="E195" s="240"/>
      <c r="F195" s="241"/>
      <c r="G195" s="241"/>
      <c r="H195" s="241"/>
      <c r="I195" s="242"/>
      <c r="J195" s="241"/>
      <c r="K195" s="243" t="s">
        <v>35</v>
      </c>
      <c r="L195" s="236">
        <f>(E195*E191)+(F195*F191)+(G195*G191)+(H195*H191)+(I195*I191)+(J195*J191)</f>
        <v>0</v>
      </c>
      <c r="M195" s="244" t="s">
        <v>36</v>
      </c>
      <c r="N195" s="238" t="b">
        <v>0</v>
      </c>
    </row>
    <row r="196" ht="13.5" customHeight="1">
      <c r="A196" s="68"/>
      <c r="B196" s="245" t="str">
        <f>IFS(L196=0,"",B196&lt;&gt;"",B196,TRUE,NOW())</f>
        <v/>
      </c>
      <c r="C196" s="232" t="s">
        <v>37</v>
      </c>
      <c r="D196" s="108"/>
      <c r="E196" s="246"/>
      <c r="F196" s="246"/>
      <c r="G196" s="246"/>
      <c r="H196" s="246"/>
      <c r="I196" s="247"/>
      <c r="J196" s="246"/>
      <c r="K196" s="248" t="s">
        <v>38</v>
      </c>
      <c r="L196" s="249">
        <f>L195-L194</f>
        <v>0</v>
      </c>
      <c r="M196" s="250" t="s">
        <v>39</v>
      </c>
      <c r="N196" s="238" t="b">
        <v>0</v>
      </c>
    </row>
    <row r="197" ht="13.5" customHeight="1">
      <c r="A197" s="230" t="s">
        <v>40</v>
      </c>
      <c r="B197" s="222" t="s">
        <v>84</v>
      </c>
      <c r="C197" s="223" t="s">
        <v>27</v>
      </c>
      <c r="D197" s="224"/>
      <c r="E197" s="225">
        <f t="shared" ref="E197:J197" si="53">E195-E198</f>
        <v>0</v>
      </c>
      <c r="F197" s="225">
        <f t="shared" si="53"/>
        <v>0</v>
      </c>
      <c r="G197" s="225">
        <f t="shared" si="53"/>
        <v>0</v>
      </c>
      <c r="H197" s="225">
        <f t="shared" si="53"/>
        <v>0</v>
      </c>
      <c r="I197" s="225">
        <f t="shared" si="53"/>
        <v>0</v>
      </c>
      <c r="J197" s="226">
        <f t="shared" si="53"/>
        <v>0</v>
      </c>
      <c r="K197" s="227"/>
      <c r="L197" s="30"/>
      <c r="M197" s="228" t="s">
        <v>28</v>
      </c>
      <c r="N197" s="229" t="b">
        <v>0</v>
      </c>
    </row>
    <row r="198" ht="13.5" customHeight="1">
      <c r="A198" s="221"/>
      <c r="B198" s="231"/>
      <c r="C198" s="232" t="s">
        <v>30</v>
      </c>
      <c r="D198" s="108"/>
      <c r="E198" s="233"/>
      <c r="F198" s="233"/>
      <c r="G198" s="233"/>
      <c r="H198" s="233"/>
      <c r="I198" s="234"/>
      <c r="J198" s="251"/>
      <c r="K198" s="235" t="s">
        <v>30</v>
      </c>
      <c r="L198" s="236">
        <f>(E198*E191)+(F198*F191)+(G198*G191)+(H198*H191)+(I198*I191)+(J198*J191)</f>
        <v>0</v>
      </c>
      <c r="M198" s="237" t="s">
        <v>31</v>
      </c>
      <c r="N198" s="238" t="b">
        <v>0</v>
      </c>
    </row>
    <row r="199" ht="13.5" customHeight="1">
      <c r="A199" s="68"/>
      <c r="B199" s="239" t="s">
        <v>42</v>
      </c>
      <c r="C199" s="232" t="s">
        <v>34</v>
      </c>
      <c r="D199" s="108"/>
      <c r="E199" s="240"/>
      <c r="F199" s="241"/>
      <c r="G199" s="241"/>
      <c r="H199" s="241"/>
      <c r="I199" s="242"/>
      <c r="J199" s="252"/>
      <c r="K199" s="243" t="s">
        <v>35</v>
      </c>
      <c r="L199" s="236">
        <f>(E199*E191)+(F199*F191)+(G199*G191)+(H199*H191)+(I199*I191)+(J199*J191)</f>
        <v>0</v>
      </c>
      <c r="M199" s="237" t="s">
        <v>36</v>
      </c>
      <c r="N199" s="238" t="b">
        <v>0</v>
      </c>
    </row>
    <row r="200" ht="15.0" customHeight="1">
      <c r="A200" s="230" t="s">
        <v>43</v>
      </c>
      <c r="B200" s="245" t="str">
        <f>IFS(L200=0,"",B200&lt;&gt;"",B200,TRUE,NOW())</f>
        <v/>
      </c>
      <c r="C200" s="232" t="s">
        <v>37</v>
      </c>
      <c r="D200" s="108"/>
      <c r="E200" s="246"/>
      <c r="F200" s="246"/>
      <c r="G200" s="246"/>
      <c r="H200" s="246"/>
      <c r="I200" s="247"/>
      <c r="J200" s="253"/>
      <c r="K200" s="248" t="s">
        <v>38</v>
      </c>
      <c r="L200" s="249">
        <f>L199-L198</f>
        <v>0</v>
      </c>
      <c r="M200" s="250" t="s">
        <v>39</v>
      </c>
      <c r="N200" s="238" t="b">
        <v>0</v>
      </c>
    </row>
    <row r="201" ht="13.5" customHeight="1">
      <c r="A201" s="230"/>
      <c r="B201" s="222" t="s">
        <v>84</v>
      </c>
      <c r="C201" s="223" t="s">
        <v>27</v>
      </c>
      <c r="D201" s="224"/>
      <c r="E201" s="254">
        <f t="shared" ref="E201:J201" si="54">E199-E202</f>
        <v>0</v>
      </c>
      <c r="F201" s="254">
        <f t="shared" si="54"/>
        <v>0</v>
      </c>
      <c r="G201" s="254">
        <f t="shared" si="54"/>
        <v>0</v>
      </c>
      <c r="H201" s="254">
        <f t="shared" si="54"/>
        <v>0</v>
      </c>
      <c r="I201" s="254">
        <f t="shared" si="54"/>
        <v>0</v>
      </c>
      <c r="J201" s="254">
        <f t="shared" si="54"/>
        <v>0</v>
      </c>
      <c r="K201" s="227"/>
      <c r="L201" s="30"/>
      <c r="M201" s="228" t="s">
        <v>28</v>
      </c>
      <c r="N201" s="229" t="b">
        <v>0</v>
      </c>
    </row>
    <row r="202" ht="13.5" customHeight="1">
      <c r="A202" s="230" t="s">
        <v>45</v>
      </c>
      <c r="B202" s="231"/>
      <c r="C202" s="232" t="s">
        <v>30</v>
      </c>
      <c r="D202" s="108"/>
      <c r="E202" s="255"/>
      <c r="F202" s="255"/>
      <c r="G202" s="255"/>
      <c r="H202" s="255"/>
      <c r="I202" s="255"/>
      <c r="J202" s="255"/>
      <c r="K202" s="235" t="s">
        <v>30</v>
      </c>
      <c r="L202" s="236">
        <f>(E202*E191)+(F202*F191)+(G202*G191)+(H202*H191)+(I202*I191)+(J202*J191)</f>
        <v>0</v>
      </c>
      <c r="M202" s="237" t="s">
        <v>31</v>
      </c>
      <c r="N202" s="238" t="b">
        <v>0</v>
      </c>
    </row>
    <row r="203" ht="13.5" customHeight="1">
      <c r="A203" s="221"/>
      <c r="B203" s="239" t="s">
        <v>47</v>
      </c>
      <c r="C203" s="232" t="s">
        <v>34</v>
      </c>
      <c r="D203" s="108"/>
      <c r="E203" s="256"/>
      <c r="F203" s="257"/>
      <c r="G203" s="257"/>
      <c r="H203" s="257"/>
      <c r="I203" s="257"/>
      <c r="J203" s="257"/>
      <c r="K203" s="243" t="s">
        <v>35</v>
      </c>
      <c r="L203" s="236">
        <f>(E203*E191)+(F203*F191)+(G203*G191)+(H203*H191)+(I203*I191)+(J203*J191)</f>
        <v>0</v>
      </c>
      <c r="M203" s="237" t="s">
        <v>36</v>
      </c>
      <c r="N203" s="238" t="b">
        <v>0</v>
      </c>
    </row>
    <row r="204" ht="13.5" customHeight="1">
      <c r="A204" s="68"/>
      <c r="B204" s="245" t="str">
        <f>IFS(L204=0,"",B204&lt;&gt;"",B204,TRUE,NOW())</f>
        <v/>
      </c>
      <c r="C204" s="232" t="s">
        <v>37</v>
      </c>
      <c r="D204" s="108"/>
      <c r="E204" s="258"/>
      <c r="F204" s="258"/>
      <c r="G204" s="258"/>
      <c r="H204" s="258"/>
      <c r="I204" s="258"/>
      <c r="J204" s="258"/>
      <c r="K204" s="248" t="s">
        <v>38</v>
      </c>
      <c r="L204" s="249">
        <f>L203-L202</f>
        <v>0</v>
      </c>
      <c r="M204" s="250" t="s">
        <v>39</v>
      </c>
      <c r="N204" s="238" t="b">
        <v>0</v>
      </c>
    </row>
    <row r="205" ht="13.5" customHeight="1">
      <c r="A205" s="259" t="s">
        <v>48</v>
      </c>
      <c r="B205" s="222" t="s">
        <v>84</v>
      </c>
      <c r="C205" s="223" t="s">
        <v>27</v>
      </c>
      <c r="D205" s="224"/>
      <c r="E205" s="254">
        <f t="shared" ref="E205:J205" si="55">E203-E206</f>
        <v>0</v>
      </c>
      <c r="F205" s="254">
        <f t="shared" si="55"/>
        <v>0</v>
      </c>
      <c r="G205" s="254">
        <f t="shared" si="55"/>
        <v>0</v>
      </c>
      <c r="H205" s="254">
        <f t="shared" si="55"/>
        <v>0</v>
      </c>
      <c r="I205" s="254">
        <f t="shared" si="55"/>
        <v>0</v>
      </c>
      <c r="J205" s="254">
        <f t="shared" si="55"/>
        <v>0</v>
      </c>
      <c r="K205" s="227"/>
      <c r="L205" s="30"/>
      <c r="M205" s="228" t="s">
        <v>28</v>
      </c>
      <c r="N205" s="229" t="b">
        <v>0</v>
      </c>
    </row>
    <row r="206" ht="13.5" customHeight="1">
      <c r="A206" s="87"/>
      <c r="B206" s="231"/>
      <c r="C206" s="232" t="s">
        <v>30</v>
      </c>
      <c r="D206" s="108"/>
      <c r="E206" s="255"/>
      <c r="F206" s="255"/>
      <c r="G206" s="255"/>
      <c r="H206" s="255"/>
      <c r="I206" s="255"/>
      <c r="J206" s="255"/>
      <c r="K206" s="235" t="s">
        <v>30</v>
      </c>
      <c r="L206" s="236">
        <f>(E206*E191)+(F206*F191)+(G206*G191)+(H206*H191)+(I206*I191)+(J206*J191)</f>
        <v>0</v>
      </c>
      <c r="M206" s="237" t="s">
        <v>31</v>
      </c>
      <c r="N206" s="238" t="b">
        <v>0</v>
      </c>
    </row>
    <row r="207" ht="18.0" customHeight="1">
      <c r="A207" s="68"/>
      <c r="B207" s="239" t="s">
        <v>49</v>
      </c>
      <c r="C207" s="232" t="s">
        <v>34</v>
      </c>
      <c r="D207" s="108"/>
      <c r="E207" s="256"/>
      <c r="F207" s="257"/>
      <c r="G207" s="257"/>
      <c r="H207" s="257"/>
      <c r="I207" s="257"/>
      <c r="J207" s="257"/>
      <c r="K207" s="243" t="s">
        <v>35</v>
      </c>
      <c r="L207" s="236">
        <f>(E207*E191)+(F207*F191)+(G207*G191)+(H207*H191)+(I207*I191)+(J207*J191)</f>
        <v>0</v>
      </c>
      <c r="M207" s="237" t="s">
        <v>36</v>
      </c>
      <c r="N207" s="238" t="b">
        <v>0</v>
      </c>
    </row>
    <row r="208" ht="13.5" customHeight="1">
      <c r="A208" s="80"/>
      <c r="B208" s="245" t="str">
        <f>IFS(L208=0,"",B208&lt;&gt;"",B208,TRUE,NOW())</f>
        <v/>
      </c>
      <c r="C208" s="232" t="s">
        <v>37</v>
      </c>
      <c r="D208" s="108"/>
      <c r="E208" s="258"/>
      <c r="F208" s="258"/>
      <c r="G208" s="258"/>
      <c r="H208" s="258"/>
      <c r="I208" s="258"/>
      <c r="J208" s="258"/>
      <c r="K208" s="248" t="s">
        <v>38</v>
      </c>
      <c r="L208" s="249">
        <f>L207-L206</f>
        <v>0</v>
      </c>
      <c r="M208" s="250" t="s">
        <v>39</v>
      </c>
      <c r="N208" s="260" t="b">
        <v>0</v>
      </c>
    </row>
    <row r="209" ht="13.5" customHeight="1">
      <c r="A209" s="261" t="s">
        <v>86</v>
      </c>
      <c r="B209" s="209" t="s">
        <v>20</v>
      </c>
      <c r="C209" s="24"/>
      <c r="D209" s="33"/>
      <c r="E209" s="262">
        <f t="shared" ref="E209:J209" si="56">E6</f>
        <v>16</v>
      </c>
      <c r="F209" s="262">
        <f t="shared" si="56"/>
        <v>26</v>
      </c>
      <c r="G209" s="263">
        <f t="shared" si="56"/>
        <v>26</v>
      </c>
      <c r="H209" s="264">
        <f t="shared" si="56"/>
        <v>26</v>
      </c>
      <c r="I209" s="213">
        <f t="shared" si="56"/>
        <v>31</v>
      </c>
      <c r="J209" s="263">
        <f t="shared" si="56"/>
        <v>36</v>
      </c>
      <c r="K209" s="214" t="s">
        <v>21</v>
      </c>
      <c r="L209" s="25"/>
      <c r="M209" s="215" t="s">
        <v>22</v>
      </c>
      <c r="N209" s="10"/>
    </row>
    <row r="210" ht="13.5" customHeight="1">
      <c r="A210" s="216" t="s">
        <v>23</v>
      </c>
      <c r="B210" s="217" t="s">
        <v>24</v>
      </c>
      <c r="C210" s="218" t="s">
        <v>25</v>
      </c>
      <c r="D210" s="117"/>
      <c r="E210" s="219"/>
      <c r="F210" s="219"/>
      <c r="G210" s="219"/>
      <c r="H210" s="219"/>
      <c r="I210" s="220"/>
      <c r="J210" s="219"/>
      <c r="K210" s="49"/>
      <c r="L210" s="25"/>
      <c r="M210" s="50"/>
      <c r="N210" s="10"/>
    </row>
    <row r="211" ht="13.5" customHeight="1">
      <c r="A211" s="221"/>
      <c r="B211" s="222" t="s">
        <v>87</v>
      </c>
      <c r="C211" s="223" t="s">
        <v>27</v>
      </c>
      <c r="D211" s="224"/>
      <c r="E211" s="225">
        <f t="shared" ref="E211:J211" si="57">E210-E212</f>
        <v>0</v>
      </c>
      <c r="F211" s="225">
        <f t="shared" si="57"/>
        <v>0</v>
      </c>
      <c r="G211" s="225">
        <f t="shared" si="57"/>
        <v>0</v>
      </c>
      <c r="H211" s="225">
        <f t="shared" si="57"/>
        <v>0</v>
      </c>
      <c r="I211" s="225">
        <f t="shared" si="57"/>
        <v>0</v>
      </c>
      <c r="J211" s="226">
        <f t="shared" si="57"/>
        <v>0</v>
      </c>
      <c r="K211" s="227"/>
      <c r="L211" s="30"/>
      <c r="M211" s="228" t="s">
        <v>28</v>
      </c>
      <c r="N211" s="229" t="b">
        <v>0</v>
      </c>
    </row>
    <row r="212" ht="18.0" customHeight="1">
      <c r="A212" s="230" t="s">
        <v>29</v>
      </c>
      <c r="B212" s="231"/>
      <c r="C212" s="232" t="s">
        <v>30</v>
      </c>
      <c r="D212" s="108"/>
      <c r="E212" s="233"/>
      <c r="F212" s="233"/>
      <c r="G212" s="233"/>
      <c r="H212" s="233"/>
      <c r="I212" s="234"/>
      <c r="J212" s="233"/>
      <c r="K212" s="235" t="s">
        <v>30</v>
      </c>
      <c r="L212" s="236">
        <f>(E212*E209)+(F212*F209)+(G212*G209)+(H212*H209)+(I212*I209)+(J212*J209)</f>
        <v>0</v>
      </c>
      <c r="M212" s="237" t="s">
        <v>31</v>
      </c>
      <c r="N212" s="238" t="b">
        <v>0</v>
      </c>
    </row>
    <row r="213" ht="13.5" customHeight="1">
      <c r="A213" s="221"/>
      <c r="B213" s="239" t="s">
        <v>33</v>
      </c>
      <c r="C213" s="232" t="s">
        <v>34</v>
      </c>
      <c r="D213" s="108"/>
      <c r="E213" s="240"/>
      <c r="F213" s="241"/>
      <c r="G213" s="241"/>
      <c r="H213" s="241"/>
      <c r="I213" s="242"/>
      <c r="J213" s="241"/>
      <c r="K213" s="243" t="s">
        <v>35</v>
      </c>
      <c r="L213" s="236">
        <f>(E213*E209)+(F213*F209)+(G213*G209)+(H213*H209)+(I213*I209)+(J213*J209)</f>
        <v>0</v>
      </c>
      <c r="M213" s="244" t="s">
        <v>36</v>
      </c>
      <c r="N213" s="238" t="b">
        <v>0</v>
      </c>
    </row>
    <row r="214" ht="13.5" customHeight="1">
      <c r="A214" s="68"/>
      <c r="B214" s="245" t="str">
        <f>IFS(L214=0,"",B214&lt;&gt;"",B214,TRUE,NOW())</f>
        <v/>
      </c>
      <c r="C214" s="232" t="s">
        <v>37</v>
      </c>
      <c r="D214" s="108"/>
      <c r="E214" s="246"/>
      <c r="F214" s="246"/>
      <c r="G214" s="246"/>
      <c r="H214" s="246"/>
      <c r="I214" s="247"/>
      <c r="J214" s="246"/>
      <c r="K214" s="248" t="s">
        <v>38</v>
      </c>
      <c r="L214" s="249">
        <f>L213-L212</f>
        <v>0</v>
      </c>
      <c r="M214" s="250" t="s">
        <v>39</v>
      </c>
      <c r="N214" s="238" t="b">
        <v>0</v>
      </c>
    </row>
    <row r="215" ht="13.5" customHeight="1">
      <c r="A215" s="230" t="s">
        <v>40</v>
      </c>
      <c r="B215" s="222" t="s">
        <v>87</v>
      </c>
      <c r="C215" s="223" t="s">
        <v>27</v>
      </c>
      <c r="D215" s="224"/>
      <c r="E215" s="225">
        <f t="shared" ref="E215:J215" si="58">E213-E216</f>
        <v>0</v>
      </c>
      <c r="F215" s="225">
        <f t="shared" si="58"/>
        <v>0</v>
      </c>
      <c r="G215" s="225">
        <f t="shared" si="58"/>
        <v>0</v>
      </c>
      <c r="H215" s="225">
        <f t="shared" si="58"/>
        <v>0</v>
      </c>
      <c r="I215" s="225">
        <f t="shared" si="58"/>
        <v>0</v>
      </c>
      <c r="J215" s="226">
        <f t="shared" si="58"/>
        <v>0</v>
      </c>
      <c r="K215" s="227"/>
      <c r="L215" s="30"/>
      <c r="M215" s="228" t="s">
        <v>28</v>
      </c>
      <c r="N215" s="229" t="b">
        <v>0</v>
      </c>
    </row>
    <row r="216" ht="13.5" customHeight="1">
      <c r="A216" s="221"/>
      <c r="B216" s="231"/>
      <c r="C216" s="232" t="s">
        <v>30</v>
      </c>
      <c r="D216" s="108"/>
      <c r="E216" s="233"/>
      <c r="F216" s="233"/>
      <c r="G216" s="233"/>
      <c r="H216" s="233"/>
      <c r="I216" s="234"/>
      <c r="J216" s="251"/>
      <c r="K216" s="235" t="s">
        <v>30</v>
      </c>
      <c r="L216" s="236">
        <f>(E216*E209)+(F216*F209)+(G216*G209)+(H216*H209)+(I216*I209)+(J216*J209)</f>
        <v>0</v>
      </c>
      <c r="M216" s="237" t="s">
        <v>31</v>
      </c>
      <c r="N216" s="238" t="b">
        <v>0</v>
      </c>
    </row>
    <row r="217" ht="15.0" customHeight="1">
      <c r="A217" s="68"/>
      <c r="B217" s="239" t="s">
        <v>42</v>
      </c>
      <c r="C217" s="232" t="s">
        <v>34</v>
      </c>
      <c r="D217" s="108"/>
      <c r="E217" s="240"/>
      <c r="F217" s="241"/>
      <c r="G217" s="241"/>
      <c r="H217" s="241"/>
      <c r="I217" s="242"/>
      <c r="J217" s="252"/>
      <c r="K217" s="243" t="s">
        <v>35</v>
      </c>
      <c r="L217" s="236">
        <f>(E217*E209)+(F217*F209)+(G217*G209)+(H217*H209)+(I217*I209)+(J217*J209)</f>
        <v>0</v>
      </c>
      <c r="M217" s="237" t="s">
        <v>36</v>
      </c>
      <c r="N217" s="238" t="b">
        <v>0</v>
      </c>
    </row>
    <row r="218" ht="13.5" customHeight="1">
      <c r="A218" s="230" t="s">
        <v>43</v>
      </c>
      <c r="B218" s="245" t="str">
        <f>IFS(L218=0,"",B218&lt;&gt;"",B218,TRUE,NOW())</f>
        <v/>
      </c>
      <c r="C218" s="232" t="s">
        <v>37</v>
      </c>
      <c r="D218" s="108"/>
      <c r="E218" s="246"/>
      <c r="F218" s="246"/>
      <c r="G218" s="246"/>
      <c r="H218" s="246"/>
      <c r="I218" s="247"/>
      <c r="J218" s="253"/>
      <c r="K218" s="248" t="s">
        <v>38</v>
      </c>
      <c r="L218" s="249">
        <f>L217-L216</f>
        <v>0</v>
      </c>
      <c r="M218" s="250" t="s">
        <v>39</v>
      </c>
      <c r="N218" s="238" t="b">
        <v>0</v>
      </c>
    </row>
    <row r="219" ht="13.5" customHeight="1">
      <c r="A219" s="230"/>
      <c r="B219" s="222" t="s">
        <v>87</v>
      </c>
      <c r="C219" s="223" t="s">
        <v>27</v>
      </c>
      <c r="D219" s="224"/>
      <c r="E219" s="254">
        <f t="shared" ref="E219:J219" si="59">E217-E220</f>
        <v>0</v>
      </c>
      <c r="F219" s="254">
        <f t="shared" si="59"/>
        <v>0</v>
      </c>
      <c r="G219" s="254">
        <f t="shared" si="59"/>
        <v>0</v>
      </c>
      <c r="H219" s="254">
        <f t="shared" si="59"/>
        <v>0</v>
      </c>
      <c r="I219" s="254">
        <f t="shared" si="59"/>
        <v>0</v>
      </c>
      <c r="J219" s="254">
        <f t="shared" si="59"/>
        <v>0</v>
      </c>
      <c r="K219" s="227"/>
      <c r="L219" s="30"/>
      <c r="M219" s="228" t="s">
        <v>28</v>
      </c>
      <c r="N219" s="229" t="b">
        <v>0</v>
      </c>
    </row>
    <row r="220" ht="13.5" customHeight="1">
      <c r="A220" s="230" t="s">
        <v>45</v>
      </c>
      <c r="B220" s="231"/>
      <c r="C220" s="232" t="s">
        <v>30</v>
      </c>
      <c r="D220" s="108"/>
      <c r="E220" s="255"/>
      <c r="F220" s="255"/>
      <c r="G220" s="255"/>
      <c r="H220" s="255"/>
      <c r="I220" s="255"/>
      <c r="J220" s="255"/>
      <c r="K220" s="235" t="s">
        <v>30</v>
      </c>
      <c r="L220" s="236">
        <f>(E220*E209)+(F220*F209)+(G220*G209)+(H220*H209)+(I220*I209)+(J220*J209)</f>
        <v>0</v>
      </c>
      <c r="M220" s="237" t="s">
        <v>31</v>
      </c>
      <c r="N220" s="238" t="b">
        <v>0</v>
      </c>
    </row>
    <row r="221" ht="13.5" customHeight="1">
      <c r="A221" s="221"/>
      <c r="B221" s="239" t="s">
        <v>47</v>
      </c>
      <c r="C221" s="232" t="s">
        <v>34</v>
      </c>
      <c r="D221" s="108"/>
      <c r="E221" s="256"/>
      <c r="F221" s="257"/>
      <c r="G221" s="257"/>
      <c r="H221" s="257"/>
      <c r="I221" s="257"/>
      <c r="J221" s="257"/>
      <c r="K221" s="243" t="s">
        <v>35</v>
      </c>
      <c r="L221" s="236">
        <f>(E221*E209)+(F221*F209)+(G221*G209)+(H221*H209)+(I221*I209)+(J221*J209)</f>
        <v>0</v>
      </c>
      <c r="M221" s="237" t="s">
        <v>36</v>
      </c>
      <c r="N221" s="238" t="b">
        <v>0</v>
      </c>
    </row>
    <row r="222" ht="15.0" customHeight="1">
      <c r="A222" s="68"/>
      <c r="B222" s="245" t="str">
        <f>IFS(L222=0,"",B222&lt;&gt;"",B222,TRUE,NOW())</f>
        <v/>
      </c>
      <c r="C222" s="232" t="s">
        <v>37</v>
      </c>
      <c r="D222" s="108"/>
      <c r="E222" s="258"/>
      <c r="F222" s="258"/>
      <c r="G222" s="258"/>
      <c r="H222" s="258"/>
      <c r="I222" s="258"/>
      <c r="J222" s="258"/>
      <c r="K222" s="248" t="s">
        <v>38</v>
      </c>
      <c r="L222" s="249">
        <f>L221-L220</f>
        <v>0</v>
      </c>
      <c r="M222" s="250" t="s">
        <v>39</v>
      </c>
      <c r="N222" s="238" t="b">
        <v>0</v>
      </c>
    </row>
    <row r="223" ht="13.5" customHeight="1">
      <c r="A223" s="259" t="s">
        <v>48</v>
      </c>
      <c r="B223" s="222" t="s">
        <v>87</v>
      </c>
      <c r="C223" s="223" t="s">
        <v>27</v>
      </c>
      <c r="D223" s="224"/>
      <c r="E223" s="254">
        <f t="shared" ref="E223:J223" si="60">E221-E224</f>
        <v>0</v>
      </c>
      <c r="F223" s="254">
        <f t="shared" si="60"/>
        <v>0</v>
      </c>
      <c r="G223" s="254">
        <f t="shared" si="60"/>
        <v>0</v>
      </c>
      <c r="H223" s="254">
        <f t="shared" si="60"/>
        <v>0</v>
      </c>
      <c r="I223" s="254">
        <f t="shared" si="60"/>
        <v>0</v>
      </c>
      <c r="J223" s="254">
        <f t="shared" si="60"/>
        <v>0</v>
      </c>
      <c r="K223" s="227"/>
      <c r="L223" s="30"/>
      <c r="M223" s="228" t="s">
        <v>28</v>
      </c>
      <c r="N223" s="229" t="b">
        <v>0</v>
      </c>
    </row>
    <row r="224" ht="13.5" customHeight="1">
      <c r="A224" s="87"/>
      <c r="B224" s="231"/>
      <c r="C224" s="232" t="s">
        <v>30</v>
      </c>
      <c r="D224" s="108"/>
      <c r="E224" s="255"/>
      <c r="F224" s="255"/>
      <c r="G224" s="255"/>
      <c r="H224" s="255"/>
      <c r="I224" s="255"/>
      <c r="J224" s="255"/>
      <c r="K224" s="235" t="s">
        <v>30</v>
      </c>
      <c r="L224" s="236">
        <f>(E224*E209)+(F224*F209)+(G224*G209)+(H224*H209)+(I224*I209)+(J224*J209)</f>
        <v>0</v>
      </c>
      <c r="M224" s="237" t="s">
        <v>31</v>
      </c>
      <c r="N224" s="238" t="b">
        <v>0</v>
      </c>
    </row>
    <row r="225" ht="13.5" customHeight="1">
      <c r="A225" s="68"/>
      <c r="B225" s="239" t="s">
        <v>49</v>
      </c>
      <c r="C225" s="232" t="s">
        <v>34</v>
      </c>
      <c r="D225" s="108"/>
      <c r="E225" s="256"/>
      <c r="F225" s="257"/>
      <c r="G225" s="257"/>
      <c r="H225" s="257"/>
      <c r="I225" s="257"/>
      <c r="J225" s="257"/>
      <c r="K225" s="243" t="s">
        <v>35</v>
      </c>
      <c r="L225" s="236">
        <f>(E225*E209)+(F225*F209)+(G225*G209)+(H225*H209)+(I225*I209)+(J225*J209)</f>
        <v>0</v>
      </c>
      <c r="M225" s="237" t="s">
        <v>36</v>
      </c>
      <c r="N225" s="238" t="b">
        <v>0</v>
      </c>
    </row>
    <row r="226" ht="13.5" customHeight="1">
      <c r="A226" s="80"/>
      <c r="B226" s="245" t="str">
        <f>IFS(L226=0,"",B226&lt;&gt;"",B226,TRUE,NOW())</f>
        <v/>
      </c>
      <c r="C226" s="232" t="s">
        <v>37</v>
      </c>
      <c r="D226" s="108"/>
      <c r="E226" s="258"/>
      <c r="F226" s="258"/>
      <c r="G226" s="258"/>
      <c r="H226" s="258"/>
      <c r="I226" s="258"/>
      <c r="J226" s="258"/>
      <c r="K226" s="248" t="s">
        <v>38</v>
      </c>
      <c r="L226" s="249">
        <f>L225-L224</f>
        <v>0</v>
      </c>
      <c r="M226" s="250" t="s">
        <v>39</v>
      </c>
      <c r="N226" s="260" t="b">
        <v>0</v>
      </c>
    </row>
    <row r="227" ht="13.5" customHeight="1">
      <c r="A227" s="261" t="s">
        <v>89</v>
      </c>
      <c r="B227" s="209" t="s">
        <v>20</v>
      </c>
      <c r="C227" s="24"/>
      <c r="D227" s="33"/>
      <c r="E227" s="262">
        <f t="shared" ref="E227:J227" si="61">E6</f>
        <v>16</v>
      </c>
      <c r="F227" s="262">
        <f t="shared" si="61"/>
        <v>26</v>
      </c>
      <c r="G227" s="263">
        <f t="shared" si="61"/>
        <v>26</v>
      </c>
      <c r="H227" s="264">
        <f t="shared" si="61"/>
        <v>26</v>
      </c>
      <c r="I227" s="213">
        <f t="shared" si="61"/>
        <v>31</v>
      </c>
      <c r="J227" s="263">
        <f t="shared" si="61"/>
        <v>36</v>
      </c>
      <c r="K227" s="214" t="s">
        <v>21</v>
      </c>
      <c r="L227" s="25"/>
      <c r="M227" s="215" t="s">
        <v>22</v>
      </c>
      <c r="N227" s="10"/>
    </row>
    <row r="228" ht="13.5" customHeight="1">
      <c r="A228" s="216" t="s">
        <v>23</v>
      </c>
      <c r="B228" s="217" t="s">
        <v>24</v>
      </c>
      <c r="C228" s="218" t="s">
        <v>25</v>
      </c>
      <c r="D228" s="117"/>
      <c r="E228" s="219"/>
      <c r="F228" s="219"/>
      <c r="G228" s="219"/>
      <c r="H228" s="219"/>
      <c r="I228" s="220"/>
      <c r="J228" s="219"/>
      <c r="K228" s="49"/>
      <c r="L228" s="25"/>
      <c r="M228" s="50"/>
      <c r="N228" s="10"/>
    </row>
    <row r="229" ht="15.0" customHeight="1">
      <c r="A229" s="221"/>
      <c r="B229" s="222" t="s">
        <v>90</v>
      </c>
      <c r="C229" s="223" t="s">
        <v>27</v>
      </c>
      <c r="D229" s="224"/>
      <c r="E229" s="225">
        <f t="shared" ref="E229:J229" si="62">E228-E230</f>
        <v>0</v>
      </c>
      <c r="F229" s="225">
        <f t="shared" si="62"/>
        <v>0</v>
      </c>
      <c r="G229" s="225">
        <f t="shared" si="62"/>
        <v>0</v>
      </c>
      <c r="H229" s="225">
        <f t="shared" si="62"/>
        <v>0</v>
      </c>
      <c r="I229" s="225">
        <f t="shared" si="62"/>
        <v>0</v>
      </c>
      <c r="J229" s="226">
        <f t="shared" si="62"/>
        <v>0</v>
      </c>
      <c r="K229" s="227"/>
      <c r="L229" s="30"/>
      <c r="M229" s="228" t="s">
        <v>28</v>
      </c>
      <c r="N229" s="229" t="b">
        <v>0</v>
      </c>
    </row>
    <row r="230" ht="13.5" customHeight="1">
      <c r="A230" s="230" t="s">
        <v>29</v>
      </c>
      <c r="B230" s="231"/>
      <c r="C230" s="232" t="s">
        <v>30</v>
      </c>
      <c r="D230" s="108"/>
      <c r="E230" s="233"/>
      <c r="F230" s="233"/>
      <c r="G230" s="233"/>
      <c r="H230" s="233"/>
      <c r="I230" s="234"/>
      <c r="J230" s="233"/>
      <c r="K230" s="235" t="s">
        <v>30</v>
      </c>
      <c r="L230" s="236">
        <f>(E230*E227)+(F230*F227)+(G230*G227)+(H230*H227)+(I230*I227)+(J230*J227)</f>
        <v>0</v>
      </c>
      <c r="M230" s="237" t="s">
        <v>31</v>
      </c>
      <c r="N230" s="238" t="b">
        <v>0</v>
      </c>
    </row>
    <row r="231" ht="13.5" customHeight="1">
      <c r="A231" s="221"/>
      <c r="B231" s="239" t="s">
        <v>33</v>
      </c>
      <c r="C231" s="232" t="s">
        <v>34</v>
      </c>
      <c r="D231" s="108"/>
      <c r="E231" s="240"/>
      <c r="F231" s="241"/>
      <c r="G231" s="241"/>
      <c r="H231" s="241"/>
      <c r="I231" s="242"/>
      <c r="J231" s="241"/>
      <c r="K231" s="243" t="s">
        <v>35</v>
      </c>
      <c r="L231" s="236">
        <f>(E231*E227)+(F231*F227)+(G231*G227)+(H231*H227)+(I231*I227)+(J231*J227)</f>
        <v>0</v>
      </c>
      <c r="M231" s="244" t="s">
        <v>36</v>
      </c>
      <c r="N231" s="238" t="b">
        <v>0</v>
      </c>
    </row>
    <row r="232" ht="13.5" customHeight="1">
      <c r="A232" s="68"/>
      <c r="B232" s="245" t="str">
        <f>IFS(L232=0,"",B232&lt;&gt;"",B232,TRUE,NOW())</f>
        <v/>
      </c>
      <c r="C232" s="232" t="s">
        <v>37</v>
      </c>
      <c r="D232" s="108"/>
      <c r="E232" s="246"/>
      <c r="F232" s="246"/>
      <c r="G232" s="246"/>
      <c r="H232" s="246"/>
      <c r="I232" s="247"/>
      <c r="J232" s="246"/>
      <c r="K232" s="248" t="s">
        <v>38</v>
      </c>
      <c r="L232" s="249">
        <f>L231-L230</f>
        <v>0</v>
      </c>
      <c r="M232" s="250" t="s">
        <v>39</v>
      </c>
      <c r="N232" s="238" t="b">
        <v>0</v>
      </c>
    </row>
    <row r="233" ht="13.5" customHeight="1">
      <c r="A233" s="230" t="s">
        <v>40</v>
      </c>
      <c r="B233" s="222" t="s">
        <v>90</v>
      </c>
      <c r="C233" s="223" t="s">
        <v>27</v>
      </c>
      <c r="D233" s="224"/>
      <c r="E233" s="225">
        <f t="shared" ref="E233:J233" si="63">E231-E234</f>
        <v>0</v>
      </c>
      <c r="F233" s="225">
        <f t="shared" si="63"/>
        <v>0</v>
      </c>
      <c r="G233" s="225">
        <f t="shared" si="63"/>
        <v>0</v>
      </c>
      <c r="H233" s="225">
        <f t="shared" si="63"/>
        <v>0</v>
      </c>
      <c r="I233" s="225">
        <f t="shared" si="63"/>
        <v>0</v>
      </c>
      <c r="J233" s="226">
        <f t="shared" si="63"/>
        <v>0</v>
      </c>
      <c r="K233" s="227"/>
      <c r="L233" s="30"/>
      <c r="M233" s="228" t="s">
        <v>28</v>
      </c>
      <c r="N233" s="229" t="b">
        <v>0</v>
      </c>
    </row>
    <row r="234" ht="15.0" customHeight="1">
      <c r="A234" s="221"/>
      <c r="B234" s="231"/>
      <c r="C234" s="232" t="s">
        <v>30</v>
      </c>
      <c r="D234" s="108"/>
      <c r="E234" s="233"/>
      <c r="F234" s="233"/>
      <c r="G234" s="233"/>
      <c r="H234" s="233"/>
      <c r="I234" s="234"/>
      <c r="J234" s="251"/>
      <c r="K234" s="235" t="s">
        <v>30</v>
      </c>
      <c r="L234" s="236">
        <f>(E234*E227)+(F234*F227)+(G234*G227)+(H234*H227)+(I234*I227)+(J234*J227)</f>
        <v>0</v>
      </c>
      <c r="M234" s="237" t="s">
        <v>31</v>
      </c>
      <c r="N234" s="238" t="b">
        <v>0</v>
      </c>
    </row>
    <row r="235" ht="13.5" customHeight="1">
      <c r="A235" s="68"/>
      <c r="B235" s="239" t="s">
        <v>42</v>
      </c>
      <c r="C235" s="232" t="s">
        <v>34</v>
      </c>
      <c r="D235" s="108"/>
      <c r="E235" s="240"/>
      <c r="F235" s="241"/>
      <c r="G235" s="241"/>
      <c r="H235" s="241"/>
      <c r="I235" s="242"/>
      <c r="J235" s="252"/>
      <c r="K235" s="243" t="s">
        <v>35</v>
      </c>
      <c r="L235" s="236">
        <f>(E235*E227)+(F235*F227)+(G235*G227)+(H235*H227)+(I235*I227)+(J235*J227)</f>
        <v>0</v>
      </c>
      <c r="M235" s="237" t="s">
        <v>36</v>
      </c>
      <c r="N235" s="238" t="b">
        <v>0</v>
      </c>
    </row>
    <row r="236" ht="13.5" customHeight="1">
      <c r="A236" s="230" t="s">
        <v>43</v>
      </c>
      <c r="B236" s="245" t="str">
        <f>IFS(L236=0,"",B236&lt;&gt;"",B236,TRUE,NOW())</f>
        <v/>
      </c>
      <c r="C236" s="232" t="s">
        <v>37</v>
      </c>
      <c r="D236" s="108"/>
      <c r="E236" s="246"/>
      <c r="F236" s="246"/>
      <c r="G236" s="246"/>
      <c r="H236" s="246"/>
      <c r="I236" s="247"/>
      <c r="J236" s="253"/>
      <c r="K236" s="248" t="s">
        <v>38</v>
      </c>
      <c r="L236" s="249">
        <f>L235-L234</f>
        <v>0</v>
      </c>
      <c r="M236" s="250" t="s">
        <v>39</v>
      </c>
      <c r="N236" s="238" t="b">
        <v>0</v>
      </c>
    </row>
    <row r="237" ht="13.5" customHeight="1">
      <c r="A237" s="230"/>
      <c r="B237" s="222" t="s">
        <v>90</v>
      </c>
      <c r="C237" s="223" t="s">
        <v>27</v>
      </c>
      <c r="D237" s="224"/>
      <c r="E237" s="254">
        <f t="shared" ref="E237:J237" si="64">E235-E238</f>
        <v>0</v>
      </c>
      <c r="F237" s="254">
        <f t="shared" si="64"/>
        <v>0</v>
      </c>
      <c r="G237" s="254">
        <f t="shared" si="64"/>
        <v>0</v>
      </c>
      <c r="H237" s="254">
        <f t="shared" si="64"/>
        <v>0</v>
      </c>
      <c r="I237" s="254">
        <f t="shared" si="64"/>
        <v>0</v>
      </c>
      <c r="J237" s="254">
        <f t="shared" si="64"/>
        <v>0</v>
      </c>
      <c r="K237" s="227"/>
      <c r="L237" s="30"/>
      <c r="M237" s="228" t="s">
        <v>28</v>
      </c>
      <c r="N237" s="229" t="b">
        <v>0</v>
      </c>
    </row>
    <row r="238" ht="13.5" customHeight="1">
      <c r="A238" s="230" t="s">
        <v>45</v>
      </c>
      <c r="B238" s="231"/>
      <c r="C238" s="232" t="s">
        <v>30</v>
      </c>
      <c r="D238" s="108"/>
      <c r="E238" s="255"/>
      <c r="F238" s="255"/>
      <c r="G238" s="255"/>
      <c r="H238" s="255"/>
      <c r="I238" s="255"/>
      <c r="J238" s="255"/>
      <c r="K238" s="235" t="s">
        <v>30</v>
      </c>
      <c r="L238" s="236">
        <f>(E238*E227)+(F238*F227)+(G238*G227)+(H238*H227)+(I238*I227)+(J238*J227)</f>
        <v>0</v>
      </c>
      <c r="M238" s="237" t="s">
        <v>31</v>
      </c>
      <c r="N238" s="238" t="b">
        <v>0</v>
      </c>
    </row>
    <row r="239" ht="15.0" customHeight="1">
      <c r="A239" s="221"/>
      <c r="B239" s="239" t="s">
        <v>47</v>
      </c>
      <c r="C239" s="232" t="s">
        <v>34</v>
      </c>
      <c r="D239" s="108"/>
      <c r="E239" s="256"/>
      <c r="F239" s="257"/>
      <c r="G239" s="257"/>
      <c r="H239" s="257"/>
      <c r="I239" s="257"/>
      <c r="J239" s="257"/>
      <c r="K239" s="243" t="s">
        <v>35</v>
      </c>
      <c r="L239" s="236">
        <f>(E239*E227)+(F239*F227)+(G239*G227)+(H239*H227)+(I239*I227)+(J239*J227)</f>
        <v>0</v>
      </c>
      <c r="M239" s="237" t="s">
        <v>36</v>
      </c>
      <c r="N239" s="238" t="b">
        <v>0</v>
      </c>
    </row>
    <row r="240" ht="13.5" customHeight="1">
      <c r="A240" s="68"/>
      <c r="B240" s="245" t="str">
        <f>IFS(L240=0,"",B240&lt;&gt;"",B240,TRUE,NOW())</f>
        <v/>
      </c>
      <c r="C240" s="232" t="s">
        <v>37</v>
      </c>
      <c r="D240" s="108"/>
      <c r="E240" s="258"/>
      <c r="F240" s="258"/>
      <c r="G240" s="258"/>
      <c r="H240" s="258"/>
      <c r="I240" s="258"/>
      <c r="J240" s="258"/>
      <c r="K240" s="248" t="s">
        <v>38</v>
      </c>
      <c r="L240" s="249">
        <f>L239-L238</f>
        <v>0</v>
      </c>
      <c r="M240" s="250" t="s">
        <v>39</v>
      </c>
      <c r="N240" s="238" t="b">
        <v>0</v>
      </c>
    </row>
    <row r="241" ht="13.5" customHeight="1">
      <c r="A241" s="259" t="s">
        <v>48</v>
      </c>
      <c r="B241" s="222" t="s">
        <v>90</v>
      </c>
      <c r="C241" s="223" t="s">
        <v>27</v>
      </c>
      <c r="D241" s="224"/>
      <c r="E241" s="254">
        <f t="shared" ref="E241:J241" si="65">E239-E242</f>
        <v>0</v>
      </c>
      <c r="F241" s="254">
        <f t="shared" si="65"/>
        <v>0</v>
      </c>
      <c r="G241" s="254">
        <f t="shared" si="65"/>
        <v>0</v>
      </c>
      <c r="H241" s="254">
        <f t="shared" si="65"/>
        <v>0</v>
      </c>
      <c r="I241" s="254">
        <f t="shared" si="65"/>
        <v>0</v>
      </c>
      <c r="J241" s="254">
        <f t="shared" si="65"/>
        <v>0</v>
      </c>
      <c r="K241" s="227"/>
      <c r="L241" s="30"/>
      <c r="M241" s="228" t="s">
        <v>28</v>
      </c>
      <c r="N241" s="229" t="b">
        <v>0</v>
      </c>
    </row>
    <row r="242" ht="13.5" customHeight="1">
      <c r="A242" s="87"/>
      <c r="B242" s="231"/>
      <c r="C242" s="232" t="s">
        <v>30</v>
      </c>
      <c r="D242" s="108"/>
      <c r="E242" s="255"/>
      <c r="F242" s="255"/>
      <c r="G242" s="255"/>
      <c r="H242" s="255"/>
      <c r="I242" s="255"/>
      <c r="J242" s="255"/>
      <c r="K242" s="235" t="s">
        <v>30</v>
      </c>
      <c r="L242" s="236">
        <f>(E242*E227)+(F242*F227)+(G242*G227)+(H242*H227)+(I242*I227)+(J242*J227)</f>
        <v>0</v>
      </c>
      <c r="M242" s="237" t="s">
        <v>31</v>
      </c>
      <c r="N242" s="238" t="b">
        <v>0</v>
      </c>
    </row>
    <row r="243" ht="13.5" customHeight="1">
      <c r="A243" s="68"/>
      <c r="B243" s="239" t="s">
        <v>49</v>
      </c>
      <c r="C243" s="232" t="s">
        <v>34</v>
      </c>
      <c r="D243" s="108"/>
      <c r="E243" s="256"/>
      <c r="F243" s="257"/>
      <c r="G243" s="257"/>
      <c r="H243" s="257"/>
      <c r="I243" s="257"/>
      <c r="J243" s="257"/>
      <c r="K243" s="243" t="s">
        <v>35</v>
      </c>
      <c r="L243" s="236">
        <f>(E243*E227)+(F243*F227)+(G243*G227)+(H243*H227)+(I243*I227)+(J243*J227)</f>
        <v>0</v>
      </c>
      <c r="M243" s="237" t="s">
        <v>36</v>
      </c>
      <c r="N243" s="238" t="b">
        <v>0</v>
      </c>
    </row>
    <row r="244" ht="15.0" customHeight="1">
      <c r="A244" s="80"/>
      <c r="B244" s="245" t="str">
        <f>IFS(L244=0,"",B244&lt;&gt;"",B244,TRUE,NOW())</f>
        <v/>
      </c>
      <c r="C244" s="265" t="s">
        <v>37</v>
      </c>
      <c r="D244" s="117"/>
      <c r="E244" s="258"/>
      <c r="F244" s="258"/>
      <c r="G244" s="258"/>
      <c r="H244" s="258"/>
      <c r="I244" s="258"/>
      <c r="J244" s="258"/>
      <c r="K244" s="248" t="s">
        <v>38</v>
      </c>
      <c r="L244" s="249">
        <f>L243-L242</f>
        <v>0</v>
      </c>
      <c r="M244" s="250" t="s">
        <v>39</v>
      </c>
      <c r="N244" s="260" t="b">
        <v>0</v>
      </c>
    </row>
    <row r="245" ht="13.5" customHeight="1">
      <c r="A245" s="261" t="s">
        <v>92</v>
      </c>
      <c r="B245" s="209" t="s">
        <v>20</v>
      </c>
      <c r="C245" s="24"/>
      <c r="D245" s="33"/>
      <c r="E245" s="262">
        <f t="shared" ref="E245:J245" si="66">E6</f>
        <v>16</v>
      </c>
      <c r="F245" s="262">
        <f t="shared" si="66"/>
        <v>26</v>
      </c>
      <c r="G245" s="263">
        <f t="shared" si="66"/>
        <v>26</v>
      </c>
      <c r="H245" s="264">
        <f t="shared" si="66"/>
        <v>26</v>
      </c>
      <c r="I245" s="213">
        <f t="shared" si="66"/>
        <v>31</v>
      </c>
      <c r="J245" s="263">
        <f t="shared" si="66"/>
        <v>36</v>
      </c>
      <c r="K245" s="214" t="s">
        <v>21</v>
      </c>
      <c r="L245" s="25"/>
      <c r="M245" s="215" t="s">
        <v>22</v>
      </c>
      <c r="N245" s="10"/>
    </row>
    <row r="246" ht="13.5" customHeight="1">
      <c r="A246" s="216" t="s">
        <v>23</v>
      </c>
      <c r="B246" s="217" t="s">
        <v>24</v>
      </c>
      <c r="C246" s="218" t="s">
        <v>25</v>
      </c>
      <c r="D246" s="117"/>
      <c r="E246" s="219"/>
      <c r="F246" s="219"/>
      <c r="G246" s="219"/>
      <c r="H246" s="219"/>
      <c r="I246" s="220"/>
      <c r="J246" s="219"/>
      <c r="K246" s="49"/>
      <c r="L246" s="25"/>
      <c r="M246" s="50"/>
      <c r="N246" s="10"/>
    </row>
    <row r="247" ht="13.5" customHeight="1">
      <c r="A247" s="221"/>
      <c r="B247" s="222" t="s">
        <v>93</v>
      </c>
      <c r="C247" s="223" t="s">
        <v>27</v>
      </c>
      <c r="D247" s="224"/>
      <c r="E247" s="225">
        <f t="shared" ref="E247:J247" si="67">E246-E248</f>
        <v>0</v>
      </c>
      <c r="F247" s="225">
        <f t="shared" si="67"/>
        <v>0</v>
      </c>
      <c r="G247" s="225">
        <f t="shared" si="67"/>
        <v>0</v>
      </c>
      <c r="H247" s="225">
        <f t="shared" si="67"/>
        <v>0</v>
      </c>
      <c r="I247" s="225">
        <f t="shared" si="67"/>
        <v>0</v>
      </c>
      <c r="J247" s="226">
        <f t="shared" si="67"/>
        <v>0</v>
      </c>
      <c r="K247" s="227"/>
      <c r="L247" s="30"/>
      <c r="M247" s="228" t="s">
        <v>28</v>
      </c>
      <c r="N247" s="229" t="b">
        <v>0</v>
      </c>
    </row>
    <row r="248" ht="13.5" customHeight="1">
      <c r="A248" s="230" t="s">
        <v>29</v>
      </c>
      <c r="B248" s="231"/>
      <c r="C248" s="232" t="s">
        <v>30</v>
      </c>
      <c r="D248" s="108"/>
      <c r="E248" s="233"/>
      <c r="F248" s="233"/>
      <c r="G248" s="233"/>
      <c r="H248" s="233"/>
      <c r="I248" s="234"/>
      <c r="J248" s="233"/>
      <c r="K248" s="235" t="s">
        <v>30</v>
      </c>
      <c r="L248" s="236">
        <f>(E248*E245)+(F248*F245)+(G248*G245)+(H248*H245)+(I248*I245)+(J248*J245)</f>
        <v>0</v>
      </c>
      <c r="M248" s="237" t="s">
        <v>31</v>
      </c>
      <c r="N248" s="238" t="b">
        <v>0</v>
      </c>
    </row>
    <row r="249" ht="13.5" customHeight="1">
      <c r="A249" s="221"/>
      <c r="B249" s="239" t="s">
        <v>33</v>
      </c>
      <c r="C249" s="232" t="s">
        <v>34</v>
      </c>
      <c r="D249" s="108"/>
      <c r="E249" s="240"/>
      <c r="F249" s="241"/>
      <c r="G249" s="241"/>
      <c r="H249" s="241"/>
      <c r="I249" s="242"/>
      <c r="J249" s="241"/>
      <c r="K249" s="243" t="s">
        <v>35</v>
      </c>
      <c r="L249" s="236">
        <f>(E249*E245)+(F249*F245)+(G249*G245)+(H249*H245)+(I249*I245)+(J249*J245)</f>
        <v>0</v>
      </c>
      <c r="M249" s="244" t="s">
        <v>36</v>
      </c>
      <c r="N249" s="238" t="b">
        <v>0</v>
      </c>
    </row>
    <row r="250" ht="13.5" customHeight="1">
      <c r="A250" s="68"/>
      <c r="B250" s="245" t="str">
        <f>IFS(L250=0,"",B250&lt;&gt;"",B250,TRUE,NOW())</f>
        <v/>
      </c>
      <c r="C250" s="232" t="s">
        <v>37</v>
      </c>
      <c r="D250" s="108"/>
      <c r="E250" s="246"/>
      <c r="F250" s="246"/>
      <c r="G250" s="246"/>
      <c r="H250" s="246"/>
      <c r="I250" s="247"/>
      <c r="J250" s="246"/>
      <c r="K250" s="248" t="s">
        <v>38</v>
      </c>
      <c r="L250" s="249">
        <f>L249-L248</f>
        <v>0</v>
      </c>
      <c r="M250" s="250" t="s">
        <v>39</v>
      </c>
      <c r="N250" s="238" t="b">
        <v>0</v>
      </c>
    </row>
    <row r="251" ht="15.0" customHeight="1">
      <c r="A251" s="230" t="s">
        <v>40</v>
      </c>
      <c r="B251" s="222" t="s">
        <v>93</v>
      </c>
      <c r="C251" s="223" t="s">
        <v>27</v>
      </c>
      <c r="D251" s="224"/>
      <c r="E251" s="225">
        <f t="shared" ref="E251:J251" si="68">E249-E252</f>
        <v>0</v>
      </c>
      <c r="F251" s="225">
        <f t="shared" si="68"/>
        <v>0</v>
      </c>
      <c r="G251" s="225">
        <f t="shared" si="68"/>
        <v>0</v>
      </c>
      <c r="H251" s="225">
        <f t="shared" si="68"/>
        <v>0</v>
      </c>
      <c r="I251" s="225">
        <f t="shared" si="68"/>
        <v>0</v>
      </c>
      <c r="J251" s="226">
        <f t="shared" si="68"/>
        <v>0</v>
      </c>
      <c r="K251" s="227"/>
      <c r="L251" s="30"/>
      <c r="M251" s="228" t="s">
        <v>28</v>
      </c>
      <c r="N251" s="229" t="b">
        <v>0</v>
      </c>
    </row>
    <row r="252" ht="13.5" customHeight="1">
      <c r="A252" s="221"/>
      <c r="B252" s="231"/>
      <c r="C252" s="232" t="s">
        <v>30</v>
      </c>
      <c r="D252" s="108"/>
      <c r="E252" s="233"/>
      <c r="F252" s="233"/>
      <c r="G252" s="233"/>
      <c r="H252" s="233"/>
      <c r="I252" s="234"/>
      <c r="J252" s="251"/>
      <c r="K252" s="235" t="s">
        <v>30</v>
      </c>
      <c r="L252" s="236">
        <f>(E252*E245)+(F252*F245)+(G252*G245)+(H252*H245)+(I252*I245)+(J252*J245)</f>
        <v>0</v>
      </c>
      <c r="M252" s="237" t="s">
        <v>31</v>
      </c>
      <c r="N252" s="238" t="b">
        <v>0</v>
      </c>
    </row>
    <row r="253" ht="13.5" customHeight="1">
      <c r="A253" s="68"/>
      <c r="B253" s="239" t="s">
        <v>42</v>
      </c>
      <c r="C253" s="232" t="s">
        <v>34</v>
      </c>
      <c r="D253" s="108"/>
      <c r="E253" s="240"/>
      <c r="F253" s="241"/>
      <c r="G253" s="241"/>
      <c r="H253" s="241"/>
      <c r="I253" s="242"/>
      <c r="J253" s="252"/>
      <c r="K253" s="243" t="s">
        <v>35</v>
      </c>
      <c r="L253" s="236">
        <f>(E253*E245)+(F253*F245)+(G253*G245)+(H253*H245)+(I253*I245)+(J253*J245)</f>
        <v>0</v>
      </c>
      <c r="M253" s="237" t="s">
        <v>36</v>
      </c>
      <c r="N253" s="238" t="b">
        <v>0</v>
      </c>
    </row>
    <row r="254" ht="13.5" customHeight="1">
      <c r="A254" s="230" t="s">
        <v>43</v>
      </c>
      <c r="B254" s="245" t="str">
        <f>IFS(L254=0,"",B254&lt;&gt;"",B254,TRUE,NOW())</f>
        <v/>
      </c>
      <c r="C254" s="232" t="s">
        <v>37</v>
      </c>
      <c r="D254" s="108"/>
      <c r="E254" s="246"/>
      <c r="F254" s="246"/>
      <c r="G254" s="246"/>
      <c r="H254" s="246"/>
      <c r="I254" s="247"/>
      <c r="J254" s="253"/>
      <c r="K254" s="248" t="s">
        <v>38</v>
      </c>
      <c r="L254" s="249">
        <f>L253-L252</f>
        <v>0</v>
      </c>
      <c r="M254" s="250" t="s">
        <v>39</v>
      </c>
      <c r="N254" s="238" t="b">
        <v>0</v>
      </c>
    </row>
    <row r="255" ht="13.5" customHeight="1">
      <c r="A255" s="230"/>
      <c r="B255" s="222" t="s">
        <v>93</v>
      </c>
      <c r="C255" s="223" t="s">
        <v>27</v>
      </c>
      <c r="D255" s="224"/>
      <c r="E255" s="254">
        <f t="shared" ref="E255:J255" si="69">E253-E256</f>
        <v>0</v>
      </c>
      <c r="F255" s="254">
        <f t="shared" si="69"/>
        <v>0</v>
      </c>
      <c r="G255" s="254">
        <f t="shared" si="69"/>
        <v>0</v>
      </c>
      <c r="H255" s="254">
        <f t="shared" si="69"/>
        <v>0</v>
      </c>
      <c r="I255" s="254">
        <f t="shared" si="69"/>
        <v>0</v>
      </c>
      <c r="J255" s="254">
        <f t="shared" si="69"/>
        <v>0</v>
      </c>
      <c r="K255" s="227"/>
      <c r="L255" s="30"/>
      <c r="M255" s="228" t="s">
        <v>28</v>
      </c>
      <c r="N255" s="229" t="b">
        <v>0</v>
      </c>
    </row>
    <row r="256" ht="15.0" customHeight="1">
      <c r="A256" s="230" t="s">
        <v>45</v>
      </c>
      <c r="B256" s="231"/>
      <c r="C256" s="232" t="s">
        <v>30</v>
      </c>
      <c r="D256" s="108"/>
      <c r="E256" s="255"/>
      <c r="F256" s="255"/>
      <c r="G256" s="255"/>
      <c r="H256" s="255"/>
      <c r="I256" s="255"/>
      <c r="J256" s="255"/>
      <c r="K256" s="235" t="s">
        <v>30</v>
      </c>
      <c r="L256" s="236">
        <f>(E256*E245)+(F256*F245)+(G256*G245)+(H256*H245)+(I256*I245)+(J256*J245)</f>
        <v>0</v>
      </c>
      <c r="M256" s="237" t="s">
        <v>31</v>
      </c>
      <c r="N256" s="238" t="b">
        <v>0</v>
      </c>
    </row>
    <row r="257" ht="13.5" customHeight="1">
      <c r="A257" s="221"/>
      <c r="B257" s="239" t="s">
        <v>47</v>
      </c>
      <c r="C257" s="232" t="s">
        <v>34</v>
      </c>
      <c r="D257" s="108"/>
      <c r="E257" s="256"/>
      <c r="F257" s="257"/>
      <c r="G257" s="257"/>
      <c r="H257" s="257"/>
      <c r="I257" s="257"/>
      <c r="J257" s="257"/>
      <c r="K257" s="243" t="s">
        <v>35</v>
      </c>
      <c r="L257" s="236">
        <f>(E257*E245)+(F257*F245)+(G257*G245)+(H257*H245)+(I257*I245)+(J257*J245)</f>
        <v>0</v>
      </c>
      <c r="M257" s="237" t="s">
        <v>36</v>
      </c>
      <c r="N257" s="238" t="b">
        <v>0</v>
      </c>
    </row>
    <row r="258" ht="13.5" customHeight="1">
      <c r="A258" s="68"/>
      <c r="B258" s="245" t="str">
        <f>IFS(L258=0,"",B258&lt;&gt;"",B258,TRUE,NOW())</f>
        <v/>
      </c>
      <c r="C258" s="232" t="s">
        <v>37</v>
      </c>
      <c r="D258" s="108"/>
      <c r="E258" s="258"/>
      <c r="F258" s="258"/>
      <c r="G258" s="258"/>
      <c r="H258" s="258"/>
      <c r="I258" s="258"/>
      <c r="J258" s="258"/>
      <c r="K258" s="248" t="s">
        <v>38</v>
      </c>
      <c r="L258" s="249">
        <f>L257-L256</f>
        <v>0</v>
      </c>
      <c r="M258" s="250" t="s">
        <v>39</v>
      </c>
      <c r="N258" s="238" t="b">
        <v>0</v>
      </c>
    </row>
    <row r="259" ht="13.5" customHeight="1">
      <c r="A259" s="259" t="s">
        <v>48</v>
      </c>
      <c r="B259" s="222" t="s">
        <v>93</v>
      </c>
      <c r="C259" s="223" t="s">
        <v>27</v>
      </c>
      <c r="D259" s="224"/>
      <c r="E259" s="254">
        <f t="shared" ref="E259:J259" si="70">E257-E260</f>
        <v>0</v>
      </c>
      <c r="F259" s="254">
        <f t="shared" si="70"/>
        <v>0</v>
      </c>
      <c r="G259" s="254">
        <f t="shared" si="70"/>
        <v>0</v>
      </c>
      <c r="H259" s="254">
        <f t="shared" si="70"/>
        <v>0</v>
      </c>
      <c r="I259" s="254">
        <f t="shared" si="70"/>
        <v>0</v>
      </c>
      <c r="J259" s="254">
        <f t="shared" si="70"/>
        <v>0</v>
      </c>
      <c r="K259" s="227"/>
      <c r="L259" s="30"/>
      <c r="M259" s="228" t="s">
        <v>28</v>
      </c>
      <c r="N259" s="229" t="b">
        <v>0</v>
      </c>
    </row>
    <row r="260" ht="13.5" customHeight="1">
      <c r="A260" s="87"/>
      <c r="B260" s="231"/>
      <c r="C260" s="232" t="s">
        <v>30</v>
      </c>
      <c r="D260" s="108"/>
      <c r="E260" s="255"/>
      <c r="F260" s="255"/>
      <c r="G260" s="255"/>
      <c r="H260" s="255"/>
      <c r="I260" s="255"/>
      <c r="J260" s="255"/>
      <c r="K260" s="235" t="s">
        <v>30</v>
      </c>
      <c r="L260" s="236">
        <f>(E260*E245)+(F260*F245)+(G260*G245)+(H260*H245)+(I260*I245)+(J260*J245)</f>
        <v>0</v>
      </c>
      <c r="M260" s="237" t="s">
        <v>31</v>
      </c>
      <c r="N260" s="238" t="b">
        <v>0</v>
      </c>
    </row>
    <row r="261" ht="15.0" customHeight="1">
      <c r="A261" s="68"/>
      <c r="B261" s="239" t="s">
        <v>49</v>
      </c>
      <c r="C261" s="232" t="s">
        <v>34</v>
      </c>
      <c r="D261" s="108"/>
      <c r="E261" s="256"/>
      <c r="F261" s="257"/>
      <c r="G261" s="257"/>
      <c r="H261" s="257"/>
      <c r="I261" s="257"/>
      <c r="J261" s="257"/>
      <c r="K261" s="243" t="s">
        <v>35</v>
      </c>
      <c r="L261" s="236">
        <f>(E261*E245)+(F261*F245)+(G261*G245)+(H261*H245)+(I261*I245)+(J261*J245)</f>
        <v>0</v>
      </c>
      <c r="M261" s="237" t="s">
        <v>36</v>
      </c>
      <c r="N261" s="238" t="b">
        <v>0</v>
      </c>
    </row>
    <row r="262" ht="13.5" customHeight="1">
      <c r="A262" s="80"/>
      <c r="B262" s="245" t="str">
        <f>IFS(L262=0,"",B262&lt;&gt;"",B262,TRUE,NOW())</f>
        <v/>
      </c>
      <c r="C262" s="232" t="s">
        <v>37</v>
      </c>
      <c r="D262" s="108"/>
      <c r="E262" s="258"/>
      <c r="F262" s="258"/>
      <c r="G262" s="258"/>
      <c r="H262" s="258"/>
      <c r="I262" s="258"/>
      <c r="J262" s="258"/>
      <c r="K262" s="248" t="s">
        <v>38</v>
      </c>
      <c r="L262" s="249">
        <f>L261-L260</f>
        <v>0</v>
      </c>
      <c r="M262" s="250" t="s">
        <v>39</v>
      </c>
      <c r="N262" s="260" t="b">
        <v>0</v>
      </c>
    </row>
    <row r="263" ht="13.5" customHeight="1">
      <c r="A263" s="261" t="s">
        <v>95</v>
      </c>
      <c r="B263" s="209" t="s">
        <v>20</v>
      </c>
      <c r="C263" s="24"/>
      <c r="D263" s="33"/>
      <c r="E263" s="262">
        <f t="shared" ref="E263:J263" si="71">E6</f>
        <v>16</v>
      </c>
      <c r="F263" s="262">
        <f t="shared" si="71"/>
        <v>26</v>
      </c>
      <c r="G263" s="263">
        <f t="shared" si="71"/>
        <v>26</v>
      </c>
      <c r="H263" s="264">
        <f t="shared" si="71"/>
        <v>26</v>
      </c>
      <c r="I263" s="213">
        <f t="shared" si="71"/>
        <v>31</v>
      </c>
      <c r="J263" s="263">
        <f t="shared" si="71"/>
        <v>36</v>
      </c>
      <c r="K263" s="214" t="s">
        <v>21</v>
      </c>
      <c r="L263" s="25"/>
      <c r="M263" s="215" t="s">
        <v>22</v>
      </c>
      <c r="N263" s="10"/>
    </row>
    <row r="264" ht="13.5" customHeight="1">
      <c r="A264" s="216" t="s">
        <v>23</v>
      </c>
      <c r="B264" s="217" t="s">
        <v>24</v>
      </c>
      <c r="C264" s="218" t="s">
        <v>25</v>
      </c>
      <c r="D264" s="117"/>
      <c r="E264" s="219"/>
      <c r="F264" s="219"/>
      <c r="G264" s="219"/>
      <c r="H264" s="219"/>
      <c r="I264" s="220"/>
      <c r="J264" s="219"/>
      <c r="K264" s="49"/>
      <c r="L264" s="25"/>
      <c r="M264" s="50"/>
      <c r="N264" s="10"/>
    </row>
    <row r="265" ht="13.5" customHeight="1">
      <c r="A265" s="221"/>
      <c r="B265" s="222" t="s">
        <v>96</v>
      </c>
      <c r="C265" s="223" t="s">
        <v>27</v>
      </c>
      <c r="D265" s="224"/>
      <c r="E265" s="225">
        <f t="shared" ref="E265:J265" si="72">E264-E266</f>
        <v>0</v>
      </c>
      <c r="F265" s="225">
        <f t="shared" si="72"/>
        <v>0</v>
      </c>
      <c r="G265" s="225">
        <f t="shared" si="72"/>
        <v>0</v>
      </c>
      <c r="H265" s="225">
        <f t="shared" si="72"/>
        <v>0</v>
      </c>
      <c r="I265" s="225">
        <f t="shared" si="72"/>
        <v>0</v>
      </c>
      <c r="J265" s="226">
        <f t="shared" si="72"/>
        <v>0</v>
      </c>
      <c r="K265" s="227"/>
      <c r="L265" s="30"/>
      <c r="M265" s="228" t="s">
        <v>28</v>
      </c>
      <c r="N265" s="229" t="b">
        <v>0</v>
      </c>
    </row>
    <row r="266" ht="15.0" customHeight="1">
      <c r="A266" s="230" t="s">
        <v>29</v>
      </c>
      <c r="B266" s="231"/>
      <c r="C266" s="232" t="s">
        <v>30</v>
      </c>
      <c r="D266" s="108"/>
      <c r="E266" s="233"/>
      <c r="F266" s="233"/>
      <c r="G266" s="233"/>
      <c r="H266" s="233"/>
      <c r="I266" s="234"/>
      <c r="J266" s="233"/>
      <c r="K266" s="235" t="s">
        <v>30</v>
      </c>
      <c r="L266" s="236">
        <f>(E266*E263)+(F266*F263)+(G266*G263)+(H266*H263)+(I266*I263)+(J266*J263)</f>
        <v>0</v>
      </c>
      <c r="M266" s="237" t="s">
        <v>31</v>
      </c>
      <c r="N266" s="238" t="b">
        <v>0</v>
      </c>
    </row>
    <row r="267" ht="13.5" customHeight="1">
      <c r="A267" s="221"/>
      <c r="B267" s="239" t="s">
        <v>33</v>
      </c>
      <c r="C267" s="232" t="s">
        <v>34</v>
      </c>
      <c r="D267" s="108"/>
      <c r="E267" s="240"/>
      <c r="F267" s="241"/>
      <c r="G267" s="241"/>
      <c r="H267" s="241"/>
      <c r="I267" s="242"/>
      <c r="J267" s="241"/>
      <c r="K267" s="243" t="s">
        <v>35</v>
      </c>
      <c r="L267" s="236">
        <f>(E267*E263)+(F267*F263)+(G267*G263)+(H267*H263)+(I267*I263)+(J267*J263)</f>
        <v>0</v>
      </c>
      <c r="M267" s="244" t="s">
        <v>36</v>
      </c>
      <c r="N267" s="238" t="b">
        <v>0</v>
      </c>
    </row>
    <row r="268" ht="13.5" customHeight="1">
      <c r="A268" s="68"/>
      <c r="B268" s="245" t="str">
        <f>IFS(L268=0,"",B268&lt;&gt;"",B268,TRUE,NOW())</f>
        <v/>
      </c>
      <c r="C268" s="232" t="s">
        <v>37</v>
      </c>
      <c r="D268" s="108"/>
      <c r="E268" s="246"/>
      <c r="F268" s="246"/>
      <c r="G268" s="246"/>
      <c r="H268" s="246"/>
      <c r="I268" s="247"/>
      <c r="J268" s="246"/>
      <c r="K268" s="248" t="s">
        <v>38</v>
      </c>
      <c r="L268" s="249">
        <f>L267-L266</f>
        <v>0</v>
      </c>
      <c r="M268" s="250" t="s">
        <v>39</v>
      </c>
      <c r="N268" s="238" t="b">
        <v>0</v>
      </c>
    </row>
    <row r="269" ht="13.5" customHeight="1">
      <c r="A269" s="230" t="s">
        <v>40</v>
      </c>
      <c r="B269" s="222" t="s">
        <v>96</v>
      </c>
      <c r="C269" s="223" t="s">
        <v>27</v>
      </c>
      <c r="D269" s="224"/>
      <c r="E269" s="225">
        <f t="shared" ref="E269:J269" si="73">E267-E270</f>
        <v>0</v>
      </c>
      <c r="F269" s="225">
        <f t="shared" si="73"/>
        <v>0</v>
      </c>
      <c r="G269" s="225">
        <f t="shared" si="73"/>
        <v>0</v>
      </c>
      <c r="H269" s="225">
        <f t="shared" si="73"/>
        <v>0</v>
      </c>
      <c r="I269" s="225">
        <f t="shared" si="73"/>
        <v>0</v>
      </c>
      <c r="J269" s="226">
        <f t="shared" si="73"/>
        <v>0</v>
      </c>
      <c r="K269" s="227"/>
      <c r="L269" s="30"/>
      <c r="M269" s="228" t="s">
        <v>28</v>
      </c>
      <c r="N269" s="229" t="b">
        <v>0</v>
      </c>
    </row>
    <row r="270" ht="13.5" customHeight="1">
      <c r="A270" s="221"/>
      <c r="B270" s="231"/>
      <c r="C270" s="232" t="s">
        <v>30</v>
      </c>
      <c r="D270" s="108"/>
      <c r="E270" s="233"/>
      <c r="F270" s="233"/>
      <c r="G270" s="233"/>
      <c r="H270" s="233"/>
      <c r="I270" s="234"/>
      <c r="J270" s="251"/>
      <c r="K270" s="235" t="s">
        <v>30</v>
      </c>
      <c r="L270" s="236">
        <f>(E270*E263)+(F270*F263)+(G270*G263)+(H270*H263)+(I270*I263)+(J270*J263)</f>
        <v>0</v>
      </c>
      <c r="M270" s="237" t="s">
        <v>31</v>
      </c>
      <c r="N270" s="238" t="b">
        <v>0</v>
      </c>
    </row>
    <row r="271" ht="13.5" customHeight="1">
      <c r="A271" s="68"/>
      <c r="B271" s="239" t="s">
        <v>42</v>
      </c>
      <c r="C271" s="232" t="s">
        <v>34</v>
      </c>
      <c r="D271" s="108"/>
      <c r="E271" s="240"/>
      <c r="F271" s="241"/>
      <c r="G271" s="241"/>
      <c r="H271" s="241"/>
      <c r="I271" s="242"/>
      <c r="J271" s="252"/>
      <c r="K271" s="243" t="s">
        <v>35</v>
      </c>
      <c r="L271" s="236">
        <f>(E271*E263)+(F271*F263)+(G271*G263)+(H271*H263)+(I271*I263)+(J271*J263)</f>
        <v>0</v>
      </c>
      <c r="M271" s="237" t="s">
        <v>36</v>
      </c>
      <c r="N271" s="238" t="b">
        <v>0</v>
      </c>
    </row>
    <row r="272" ht="13.5" customHeight="1">
      <c r="A272" s="230" t="s">
        <v>43</v>
      </c>
      <c r="B272" s="245" t="str">
        <f>IFS(L272=0,"",B272&lt;&gt;"",B272,TRUE,NOW())</f>
        <v/>
      </c>
      <c r="C272" s="232" t="s">
        <v>37</v>
      </c>
      <c r="D272" s="108"/>
      <c r="E272" s="246"/>
      <c r="F272" s="246"/>
      <c r="G272" s="246"/>
      <c r="H272" s="246"/>
      <c r="I272" s="247"/>
      <c r="J272" s="253"/>
      <c r="K272" s="248" t="s">
        <v>38</v>
      </c>
      <c r="L272" s="249">
        <f>L271-L270</f>
        <v>0</v>
      </c>
      <c r="M272" s="250" t="s">
        <v>39</v>
      </c>
      <c r="N272" s="238" t="b">
        <v>0</v>
      </c>
    </row>
    <row r="273" ht="18.0" customHeight="1">
      <c r="A273" s="230"/>
      <c r="B273" s="222" t="s">
        <v>96</v>
      </c>
      <c r="C273" s="223" t="s">
        <v>27</v>
      </c>
      <c r="D273" s="224"/>
      <c r="E273" s="254">
        <f t="shared" ref="E273:J273" si="74">E271-E274</f>
        <v>0</v>
      </c>
      <c r="F273" s="254">
        <f t="shared" si="74"/>
        <v>0</v>
      </c>
      <c r="G273" s="254">
        <f t="shared" si="74"/>
        <v>0</v>
      </c>
      <c r="H273" s="254">
        <f t="shared" si="74"/>
        <v>0</v>
      </c>
      <c r="I273" s="254">
        <f t="shared" si="74"/>
        <v>0</v>
      </c>
      <c r="J273" s="254">
        <f t="shared" si="74"/>
        <v>0</v>
      </c>
      <c r="K273" s="227"/>
      <c r="L273" s="30"/>
      <c r="M273" s="228" t="s">
        <v>28</v>
      </c>
      <c r="N273" s="229" t="b">
        <v>0</v>
      </c>
    </row>
    <row r="274" ht="13.5" customHeight="1">
      <c r="A274" s="230" t="s">
        <v>45</v>
      </c>
      <c r="B274" s="231"/>
      <c r="C274" s="232" t="s">
        <v>30</v>
      </c>
      <c r="D274" s="108"/>
      <c r="E274" s="255"/>
      <c r="F274" s="255"/>
      <c r="G274" s="255"/>
      <c r="H274" s="255"/>
      <c r="I274" s="255"/>
      <c r="J274" s="255"/>
      <c r="K274" s="235" t="s">
        <v>30</v>
      </c>
      <c r="L274" s="236">
        <f>(E274*E263)+(F274*F263)+(G274*G263)+(H274*H263)+(I274*I263)+(J274*J263)</f>
        <v>0</v>
      </c>
      <c r="M274" s="237" t="s">
        <v>31</v>
      </c>
      <c r="N274" s="238" t="b">
        <v>0</v>
      </c>
    </row>
    <row r="275" ht="13.5" customHeight="1">
      <c r="A275" s="221"/>
      <c r="B275" s="239" t="s">
        <v>47</v>
      </c>
      <c r="C275" s="232" t="s">
        <v>34</v>
      </c>
      <c r="D275" s="108"/>
      <c r="E275" s="256"/>
      <c r="F275" s="257"/>
      <c r="G275" s="257"/>
      <c r="H275" s="257"/>
      <c r="I275" s="257"/>
      <c r="J275" s="257"/>
      <c r="K275" s="243" t="s">
        <v>35</v>
      </c>
      <c r="L275" s="236">
        <f>(E275*E263)+(F275*F263)+(G275*G263)+(H275*H263)+(I275*I263)+(J275*J263)</f>
        <v>0</v>
      </c>
      <c r="M275" s="237" t="s">
        <v>36</v>
      </c>
      <c r="N275" s="238" t="b">
        <v>0</v>
      </c>
    </row>
    <row r="276" ht="13.5" customHeight="1">
      <c r="A276" s="68"/>
      <c r="B276" s="245" t="str">
        <f>IFS(L276=0,"",B276&lt;&gt;"",B276,TRUE,NOW())</f>
        <v/>
      </c>
      <c r="C276" s="232" t="s">
        <v>37</v>
      </c>
      <c r="D276" s="108"/>
      <c r="E276" s="258"/>
      <c r="F276" s="258"/>
      <c r="G276" s="258"/>
      <c r="H276" s="258"/>
      <c r="I276" s="258"/>
      <c r="J276" s="258"/>
      <c r="K276" s="248" t="s">
        <v>38</v>
      </c>
      <c r="L276" s="249">
        <f>L275-L274</f>
        <v>0</v>
      </c>
      <c r="M276" s="250" t="s">
        <v>39</v>
      </c>
      <c r="N276" s="238" t="b">
        <v>0</v>
      </c>
    </row>
    <row r="277" ht="13.5" customHeight="1">
      <c r="A277" s="259" t="s">
        <v>48</v>
      </c>
      <c r="B277" s="222" t="s">
        <v>96</v>
      </c>
      <c r="C277" s="223" t="s">
        <v>27</v>
      </c>
      <c r="D277" s="224"/>
      <c r="E277" s="254">
        <f t="shared" ref="E277:J277" si="75">E275-E278</f>
        <v>0</v>
      </c>
      <c r="F277" s="254">
        <f t="shared" si="75"/>
        <v>0</v>
      </c>
      <c r="G277" s="254">
        <f t="shared" si="75"/>
        <v>0</v>
      </c>
      <c r="H277" s="254">
        <f t="shared" si="75"/>
        <v>0</v>
      </c>
      <c r="I277" s="254">
        <f t="shared" si="75"/>
        <v>0</v>
      </c>
      <c r="J277" s="254">
        <f t="shared" si="75"/>
        <v>0</v>
      </c>
      <c r="K277" s="227"/>
      <c r="L277" s="30"/>
      <c r="M277" s="228" t="s">
        <v>28</v>
      </c>
      <c r="N277" s="229" t="b">
        <v>0</v>
      </c>
    </row>
    <row r="278" ht="15.0" customHeight="1">
      <c r="A278" s="87"/>
      <c r="B278" s="231"/>
      <c r="C278" s="232" t="s">
        <v>30</v>
      </c>
      <c r="D278" s="108"/>
      <c r="E278" s="255"/>
      <c r="F278" s="255"/>
      <c r="G278" s="255"/>
      <c r="H278" s="255"/>
      <c r="I278" s="255"/>
      <c r="J278" s="255"/>
      <c r="K278" s="235" t="s">
        <v>30</v>
      </c>
      <c r="L278" s="236">
        <f>(E278*E263)+(F278*F263)+(G278*G263)+(H278*H263)+(I278*I263)+(J278*J263)</f>
        <v>0</v>
      </c>
      <c r="M278" s="237" t="s">
        <v>31</v>
      </c>
      <c r="N278" s="238" t="b">
        <v>0</v>
      </c>
    </row>
    <row r="279" ht="13.5" customHeight="1">
      <c r="A279" s="68"/>
      <c r="B279" s="239" t="s">
        <v>49</v>
      </c>
      <c r="C279" s="232" t="s">
        <v>34</v>
      </c>
      <c r="D279" s="108"/>
      <c r="E279" s="256"/>
      <c r="F279" s="257"/>
      <c r="G279" s="257"/>
      <c r="H279" s="257"/>
      <c r="I279" s="257"/>
      <c r="J279" s="257"/>
      <c r="K279" s="243" t="s">
        <v>35</v>
      </c>
      <c r="L279" s="236">
        <f>(E279*E263)+(F279*F263)+(G279*G263)+(H279*H263)+(I279*I263)+(J279*J263)</f>
        <v>0</v>
      </c>
      <c r="M279" s="237" t="s">
        <v>36</v>
      </c>
      <c r="N279" s="238" t="b">
        <v>0</v>
      </c>
    </row>
    <row r="280" ht="13.5" customHeight="1">
      <c r="A280" s="80"/>
      <c r="B280" s="245" t="str">
        <f>IFS(L280=0,"",B280&lt;&gt;"",B280,TRUE,NOW())</f>
        <v/>
      </c>
      <c r="C280" s="232" t="s">
        <v>37</v>
      </c>
      <c r="D280" s="108"/>
      <c r="E280" s="258"/>
      <c r="F280" s="258"/>
      <c r="G280" s="258"/>
      <c r="H280" s="258"/>
      <c r="I280" s="258"/>
      <c r="J280" s="258"/>
      <c r="K280" s="248" t="s">
        <v>38</v>
      </c>
      <c r="L280" s="249">
        <f>L279-L278</f>
        <v>0</v>
      </c>
      <c r="M280" s="250" t="s">
        <v>39</v>
      </c>
      <c r="N280" s="260" t="b">
        <v>0</v>
      </c>
    </row>
    <row r="281" ht="13.5" customHeight="1">
      <c r="A281" s="261" t="s">
        <v>97</v>
      </c>
      <c r="B281" s="209" t="s">
        <v>20</v>
      </c>
      <c r="C281" s="24"/>
      <c r="D281" s="33"/>
      <c r="E281" s="262">
        <f t="shared" ref="E281:J281" si="76">E6</f>
        <v>16</v>
      </c>
      <c r="F281" s="262">
        <f t="shared" si="76"/>
        <v>26</v>
      </c>
      <c r="G281" s="263">
        <f t="shared" si="76"/>
        <v>26</v>
      </c>
      <c r="H281" s="264">
        <f t="shared" si="76"/>
        <v>26</v>
      </c>
      <c r="I281" s="213">
        <f t="shared" si="76"/>
        <v>31</v>
      </c>
      <c r="J281" s="263">
        <f t="shared" si="76"/>
        <v>36</v>
      </c>
      <c r="K281" s="214" t="s">
        <v>21</v>
      </c>
      <c r="L281" s="25"/>
      <c r="M281" s="215" t="s">
        <v>22</v>
      </c>
      <c r="N281" s="10"/>
    </row>
    <row r="282" ht="13.5" customHeight="1">
      <c r="A282" s="216" t="s">
        <v>23</v>
      </c>
      <c r="B282" s="217" t="s">
        <v>24</v>
      </c>
      <c r="C282" s="218" t="s">
        <v>25</v>
      </c>
      <c r="D282" s="117"/>
      <c r="E282" s="219"/>
      <c r="F282" s="219"/>
      <c r="G282" s="219"/>
      <c r="H282" s="219"/>
      <c r="I282" s="220"/>
      <c r="J282" s="219"/>
      <c r="K282" s="49"/>
      <c r="L282" s="25"/>
      <c r="M282" s="50"/>
      <c r="N282" s="10"/>
    </row>
    <row r="283" ht="15.0" customHeight="1">
      <c r="A283" s="221"/>
      <c r="B283" s="222" t="s">
        <v>98</v>
      </c>
      <c r="C283" s="223" t="s">
        <v>27</v>
      </c>
      <c r="D283" s="224"/>
      <c r="E283" s="225">
        <f t="shared" ref="E283:J283" si="77">E282-E284</f>
        <v>0</v>
      </c>
      <c r="F283" s="225">
        <f t="shared" si="77"/>
        <v>0</v>
      </c>
      <c r="G283" s="225">
        <f t="shared" si="77"/>
        <v>0</v>
      </c>
      <c r="H283" s="225">
        <f t="shared" si="77"/>
        <v>0</v>
      </c>
      <c r="I283" s="225">
        <f t="shared" si="77"/>
        <v>0</v>
      </c>
      <c r="J283" s="226">
        <f t="shared" si="77"/>
        <v>0</v>
      </c>
      <c r="K283" s="227"/>
      <c r="L283" s="30"/>
      <c r="M283" s="228" t="s">
        <v>28</v>
      </c>
      <c r="N283" s="229" t="b">
        <v>0</v>
      </c>
    </row>
    <row r="284" ht="13.5" customHeight="1">
      <c r="A284" s="230" t="s">
        <v>29</v>
      </c>
      <c r="B284" s="231"/>
      <c r="C284" s="232" t="s">
        <v>30</v>
      </c>
      <c r="D284" s="108"/>
      <c r="E284" s="233"/>
      <c r="F284" s="233"/>
      <c r="G284" s="233"/>
      <c r="H284" s="233"/>
      <c r="I284" s="234"/>
      <c r="J284" s="233"/>
      <c r="K284" s="235" t="s">
        <v>30</v>
      </c>
      <c r="L284" s="236">
        <f>(E284*E281)+(F284*F281)+(G284*G281)+(H284*H281)+(I284*I281)+(J284*J281)</f>
        <v>0</v>
      </c>
      <c r="M284" s="237" t="s">
        <v>31</v>
      </c>
      <c r="N284" s="238" t="b">
        <v>0</v>
      </c>
    </row>
    <row r="285" ht="13.5" customHeight="1">
      <c r="A285" s="221"/>
      <c r="B285" s="239" t="s">
        <v>33</v>
      </c>
      <c r="C285" s="232" t="s">
        <v>34</v>
      </c>
      <c r="D285" s="108"/>
      <c r="E285" s="240"/>
      <c r="F285" s="241"/>
      <c r="G285" s="241"/>
      <c r="H285" s="241"/>
      <c r="I285" s="242"/>
      <c r="J285" s="241"/>
      <c r="K285" s="243" t="s">
        <v>35</v>
      </c>
      <c r="L285" s="236">
        <f>(E285*E281)+(F285*F281)+(G285*G281)+(H285*H281)+(I285*I281)+(J285*J281)</f>
        <v>0</v>
      </c>
      <c r="M285" s="244" t="s">
        <v>36</v>
      </c>
      <c r="N285" s="238" t="b">
        <v>0</v>
      </c>
    </row>
    <row r="286" ht="13.5" customHeight="1">
      <c r="A286" s="68"/>
      <c r="B286" s="245" t="str">
        <f>IFS(L286=0,"",B286&lt;&gt;"",B286,TRUE,NOW())</f>
        <v/>
      </c>
      <c r="C286" s="232" t="s">
        <v>37</v>
      </c>
      <c r="D286" s="108"/>
      <c r="E286" s="246"/>
      <c r="F286" s="246"/>
      <c r="G286" s="246"/>
      <c r="H286" s="246"/>
      <c r="I286" s="247"/>
      <c r="J286" s="246"/>
      <c r="K286" s="248" t="s">
        <v>38</v>
      </c>
      <c r="L286" s="249">
        <f>L285-L284</f>
        <v>0</v>
      </c>
      <c r="M286" s="250" t="s">
        <v>39</v>
      </c>
      <c r="N286" s="238" t="b">
        <v>0</v>
      </c>
    </row>
    <row r="287" ht="13.5" customHeight="1">
      <c r="A287" s="230" t="s">
        <v>40</v>
      </c>
      <c r="B287" s="222" t="s">
        <v>98</v>
      </c>
      <c r="C287" s="223" t="s">
        <v>27</v>
      </c>
      <c r="D287" s="224"/>
      <c r="E287" s="225">
        <f t="shared" ref="E287:J287" si="78">E285-E288</f>
        <v>0</v>
      </c>
      <c r="F287" s="225">
        <f t="shared" si="78"/>
        <v>0</v>
      </c>
      <c r="G287" s="225">
        <f t="shared" si="78"/>
        <v>0</v>
      </c>
      <c r="H287" s="225">
        <f t="shared" si="78"/>
        <v>0</v>
      </c>
      <c r="I287" s="225">
        <f t="shared" si="78"/>
        <v>0</v>
      </c>
      <c r="J287" s="226">
        <f t="shared" si="78"/>
        <v>0</v>
      </c>
      <c r="K287" s="227"/>
      <c r="L287" s="30"/>
      <c r="M287" s="228" t="s">
        <v>28</v>
      </c>
      <c r="N287" s="229" t="b">
        <v>0</v>
      </c>
    </row>
    <row r="288" ht="15.0" customHeight="1">
      <c r="A288" s="221"/>
      <c r="B288" s="231"/>
      <c r="C288" s="232" t="s">
        <v>30</v>
      </c>
      <c r="D288" s="108"/>
      <c r="E288" s="233"/>
      <c r="F288" s="233"/>
      <c r="G288" s="233"/>
      <c r="H288" s="233"/>
      <c r="I288" s="234"/>
      <c r="J288" s="251"/>
      <c r="K288" s="235" t="s">
        <v>30</v>
      </c>
      <c r="L288" s="236">
        <f>(E288*E281)+(F288*F281)+(G288*G281)+(H288*H281)+(I288*I281)+(J288*J281)</f>
        <v>0</v>
      </c>
      <c r="M288" s="237" t="s">
        <v>31</v>
      </c>
      <c r="N288" s="238" t="b">
        <v>0</v>
      </c>
    </row>
    <row r="289" ht="13.5" customHeight="1">
      <c r="A289" s="68"/>
      <c r="B289" s="239" t="s">
        <v>42</v>
      </c>
      <c r="C289" s="232" t="s">
        <v>34</v>
      </c>
      <c r="D289" s="108"/>
      <c r="E289" s="240"/>
      <c r="F289" s="241"/>
      <c r="G289" s="241"/>
      <c r="H289" s="241"/>
      <c r="I289" s="242"/>
      <c r="J289" s="252"/>
      <c r="K289" s="243" t="s">
        <v>35</v>
      </c>
      <c r="L289" s="236">
        <f>(E289*E281)+(F289*F281)+(G289*G281)+(H289*H281)+(I289*I281)+(J289*J281)</f>
        <v>0</v>
      </c>
      <c r="M289" s="237" t="s">
        <v>36</v>
      </c>
      <c r="N289" s="238" t="b">
        <v>0</v>
      </c>
    </row>
    <row r="290" ht="13.5" customHeight="1">
      <c r="A290" s="230" t="s">
        <v>43</v>
      </c>
      <c r="B290" s="245" t="str">
        <f>IFS(L290=0,"",B290&lt;&gt;"",B290,TRUE,NOW())</f>
        <v/>
      </c>
      <c r="C290" s="232" t="s">
        <v>37</v>
      </c>
      <c r="D290" s="108"/>
      <c r="E290" s="246"/>
      <c r="F290" s="246"/>
      <c r="G290" s="246"/>
      <c r="H290" s="246"/>
      <c r="I290" s="247"/>
      <c r="J290" s="253"/>
      <c r="K290" s="248" t="s">
        <v>38</v>
      </c>
      <c r="L290" s="249">
        <f>L289-L288</f>
        <v>0</v>
      </c>
      <c r="M290" s="250" t="s">
        <v>39</v>
      </c>
      <c r="N290" s="238" t="b">
        <v>0</v>
      </c>
    </row>
    <row r="291" ht="13.5" customHeight="1">
      <c r="A291" s="230"/>
      <c r="B291" s="222" t="s">
        <v>98</v>
      </c>
      <c r="C291" s="223" t="s">
        <v>27</v>
      </c>
      <c r="D291" s="224"/>
      <c r="E291" s="254">
        <f t="shared" ref="E291:J291" si="79">E289-E292</f>
        <v>0</v>
      </c>
      <c r="F291" s="254">
        <f t="shared" si="79"/>
        <v>0</v>
      </c>
      <c r="G291" s="254">
        <f t="shared" si="79"/>
        <v>0</v>
      </c>
      <c r="H291" s="254">
        <f t="shared" si="79"/>
        <v>0</v>
      </c>
      <c r="I291" s="254">
        <f t="shared" si="79"/>
        <v>0</v>
      </c>
      <c r="J291" s="254">
        <f t="shared" si="79"/>
        <v>0</v>
      </c>
      <c r="K291" s="227"/>
      <c r="L291" s="30"/>
      <c r="M291" s="228" t="s">
        <v>28</v>
      </c>
      <c r="N291" s="229" t="b">
        <v>0</v>
      </c>
    </row>
    <row r="292" ht="13.5" customHeight="1">
      <c r="A292" s="230" t="s">
        <v>45</v>
      </c>
      <c r="B292" s="231"/>
      <c r="C292" s="232" t="s">
        <v>30</v>
      </c>
      <c r="D292" s="108"/>
      <c r="E292" s="255"/>
      <c r="F292" s="255"/>
      <c r="G292" s="255"/>
      <c r="H292" s="255"/>
      <c r="I292" s="255"/>
      <c r="J292" s="255"/>
      <c r="K292" s="235" t="s">
        <v>30</v>
      </c>
      <c r="L292" s="236">
        <f>(E292*E281)+(F292*F281)+(G292*G281)+(H292*H281)+(I292*I281)+(J292*J281)</f>
        <v>0</v>
      </c>
      <c r="M292" s="237" t="s">
        <v>31</v>
      </c>
      <c r="N292" s="238" t="b">
        <v>0</v>
      </c>
    </row>
    <row r="293" ht="13.5" customHeight="1">
      <c r="A293" s="221"/>
      <c r="B293" s="239" t="s">
        <v>47</v>
      </c>
      <c r="C293" s="232" t="s">
        <v>34</v>
      </c>
      <c r="D293" s="108"/>
      <c r="E293" s="256"/>
      <c r="F293" s="257"/>
      <c r="G293" s="257"/>
      <c r="H293" s="257"/>
      <c r="I293" s="257"/>
      <c r="J293" s="257"/>
      <c r="K293" s="243" t="s">
        <v>35</v>
      </c>
      <c r="L293" s="236">
        <f>(E293*E281)+(F293*F281)+(G293*G281)+(H293*H281)+(I293*I281)+(J293*J281)</f>
        <v>0</v>
      </c>
      <c r="M293" s="237" t="s">
        <v>36</v>
      </c>
      <c r="N293" s="238" t="b">
        <v>0</v>
      </c>
    </row>
    <row r="294" ht="13.5" customHeight="1">
      <c r="A294" s="68"/>
      <c r="B294" s="245" t="str">
        <f>IFS(L294=0,"",B294&lt;&gt;"",B294,TRUE,NOW())</f>
        <v/>
      </c>
      <c r="C294" s="232" t="s">
        <v>37</v>
      </c>
      <c r="D294" s="108"/>
      <c r="E294" s="258"/>
      <c r="F294" s="258"/>
      <c r="G294" s="258"/>
      <c r="H294" s="258"/>
      <c r="I294" s="258"/>
      <c r="J294" s="258"/>
      <c r="K294" s="248" t="s">
        <v>38</v>
      </c>
      <c r="L294" s="249">
        <f>L293-L292</f>
        <v>0</v>
      </c>
      <c r="M294" s="250" t="s">
        <v>39</v>
      </c>
      <c r="N294" s="238" t="b">
        <v>0</v>
      </c>
    </row>
    <row r="295" ht="15.0" customHeight="1">
      <c r="A295" s="259" t="s">
        <v>48</v>
      </c>
      <c r="B295" s="222" t="s">
        <v>98</v>
      </c>
      <c r="C295" s="223" t="s">
        <v>27</v>
      </c>
      <c r="D295" s="224"/>
      <c r="E295" s="254">
        <f t="shared" ref="E295:J295" si="80">E293-E296</f>
        <v>0</v>
      </c>
      <c r="F295" s="254">
        <f t="shared" si="80"/>
        <v>0</v>
      </c>
      <c r="G295" s="254">
        <f t="shared" si="80"/>
        <v>0</v>
      </c>
      <c r="H295" s="254">
        <f t="shared" si="80"/>
        <v>0</v>
      </c>
      <c r="I295" s="254">
        <f t="shared" si="80"/>
        <v>0</v>
      </c>
      <c r="J295" s="254">
        <f t="shared" si="80"/>
        <v>0</v>
      </c>
      <c r="K295" s="227"/>
      <c r="L295" s="30"/>
      <c r="M295" s="228" t="s">
        <v>28</v>
      </c>
      <c r="N295" s="229" t="b">
        <v>0</v>
      </c>
    </row>
    <row r="296" ht="13.5" customHeight="1">
      <c r="A296" s="87"/>
      <c r="B296" s="231"/>
      <c r="C296" s="232" t="s">
        <v>30</v>
      </c>
      <c r="D296" s="108"/>
      <c r="E296" s="255"/>
      <c r="F296" s="255"/>
      <c r="G296" s="255"/>
      <c r="H296" s="255"/>
      <c r="I296" s="255"/>
      <c r="J296" s="255"/>
      <c r="K296" s="235" t="s">
        <v>30</v>
      </c>
      <c r="L296" s="236">
        <f>(E296*E281)+(F296*F281)+(G296*G281)+(H296*H281)+(I296*I281)+(J296*J281)</f>
        <v>0</v>
      </c>
      <c r="M296" s="237" t="s">
        <v>31</v>
      </c>
      <c r="N296" s="238" t="b">
        <v>0</v>
      </c>
    </row>
    <row r="297" ht="13.5" customHeight="1">
      <c r="A297" s="68"/>
      <c r="B297" s="239" t="s">
        <v>49</v>
      </c>
      <c r="C297" s="232" t="s">
        <v>34</v>
      </c>
      <c r="D297" s="108"/>
      <c r="E297" s="256"/>
      <c r="F297" s="257"/>
      <c r="G297" s="257"/>
      <c r="H297" s="257"/>
      <c r="I297" s="257"/>
      <c r="J297" s="257"/>
      <c r="K297" s="243" t="s">
        <v>35</v>
      </c>
      <c r="L297" s="236">
        <f>(E297*E281)+(F297*F281)+(G297*G281)+(H297*H281)+(I297*I281)+(J297*J281)</f>
        <v>0</v>
      </c>
      <c r="M297" s="237" t="s">
        <v>36</v>
      </c>
      <c r="N297" s="238" t="b">
        <v>0</v>
      </c>
    </row>
    <row r="298" ht="13.5" customHeight="1">
      <c r="A298" s="80"/>
      <c r="B298" s="245" t="str">
        <f>IFS(L298=0,"",B298&lt;&gt;"",B298,TRUE,NOW())</f>
        <v/>
      </c>
      <c r="C298" s="232" t="s">
        <v>37</v>
      </c>
      <c r="D298" s="108"/>
      <c r="E298" s="258"/>
      <c r="F298" s="258"/>
      <c r="G298" s="258"/>
      <c r="H298" s="258"/>
      <c r="I298" s="258"/>
      <c r="J298" s="258"/>
      <c r="K298" s="248" t="s">
        <v>38</v>
      </c>
      <c r="L298" s="249">
        <f>L297-L296</f>
        <v>0</v>
      </c>
      <c r="M298" s="250" t="s">
        <v>39</v>
      </c>
      <c r="N298" s="260" t="b">
        <v>0</v>
      </c>
    </row>
    <row r="299" ht="13.5" customHeight="1">
      <c r="A299" s="261" t="s">
        <v>99</v>
      </c>
      <c r="B299" s="209" t="s">
        <v>20</v>
      </c>
      <c r="C299" s="24"/>
      <c r="D299" s="33"/>
      <c r="E299" s="262">
        <f t="shared" ref="E299:J299" si="81">E6</f>
        <v>16</v>
      </c>
      <c r="F299" s="262">
        <f t="shared" si="81"/>
        <v>26</v>
      </c>
      <c r="G299" s="263">
        <f t="shared" si="81"/>
        <v>26</v>
      </c>
      <c r="H299" s="264">
        <f t="shared" si="81"/>
        <v>26</v>
      </c>
      <c r="I299" s="213">
        <f t="shared" si="81"/>
        <v>31</v>
      </c>
      <c r="J299" s="263">
        <f t="shared" si="81"/>
        <v>36</v>
      </c>
      <c r="K299" s="214" t="s">
        <v>21</v>
      </c>
      <c r="L299" s="25"/>
      <c r="M299" s="215" t="s">
        <v>22</v>
      </c>
      <c r="N299" s="10"/>
    </row>
    <row r="300" ht="17.25" customHeight="1">
      <c r="A300" s="216" t="s">
        <v>23</v>
      </c>
      <c r="B300" s="217" t="s">
        <v>24</v>
      </c>
      <c r="C300" s="218" t="s">
        <v>25</v>
      </c>
      <c r="D300" s="117"/>
      <c r="E300" s="219"/>
      <c r="F300" s="219"/>
      <c r="G300" s="219"/>
      <c r="H300" s="219"/>
      <c r="I300" s="220"/>
      <c r="J300" s="219"/>
      <c r="K300" s="49"/>
      <c r="L300" s="25"/>
      <c r="M300" s="50"/>
      <c r="N300" s="10"/>
    </row>
    <row r="301" ht="13.5" customHeight="1">
      <c r="A301" s="221"/>
      <c r="B301" s="222" t="s">
        <v>100</v>
      </c>
      <c r="C301" s="223" t="s">
        <v>27</v>
      </c>
      <c r="D301" s="224"/>
      <c r="E301" s="225">
        <f t="shared" ref="E301:J301" si="82">E300-E302</f>
        <v>0</v>
      </c>
      <c r="F301" s="225">
        <f t="shared" si="82"/>
        <v>0</v>
      </c>
      <c r="G301" s="225">
        <f t="shared" si="82"/>
        <v>0</v>
      </c>
      <c r="H301" s="225">
        <f t="shared" si="82"/>
        <v>0</v>
      </c>
      <c r="I301" s="225">
        <f t="shared" si="82"/>
        <v>0</v>
      </c>
      <c r="J301" s="226">
        <f t="shared" si="82"/>
        <v>0</v>
      </c>
      <c r="K301" s="227"/>
      <c r="L301" s="30"/>
      <c r="M301" s="228" t="s">
        <v>28</v>
      </c>
      <c r="N301" s="229" t="b">
        <v>0</v>
      </c>
    </row>
    <row r="302" ht="13.5" customHeight="1">
      <c r="A302" s="230" t="s">
        <v>29</v>
      </c>
      <c r="B302" s="231"/>
      <c r="C302" s="232" t="s">
        <v>30</v>
      </c>
      <c r="D302" s="108"/>
      <c r="E302" s="233"/>
      <c r="F302" s="233"/>
      <c r="G302" s="233"/>
      <c r="H302" s="233"/>
      <c r="I302" s="234"/>
      <c r="J302" s="233"/>
      <c r="K302" s="235" t="s">
        <v>30</v>
      </c>
      <c r="L302" s="236">
        <f>(E302*E299)+(F302*F299)+(G302*G299)+(H302*H299)+(I302*I299)+(J302*J299)</f>
        <v>0</v>
      </c>
      <c r="M302" s="237" t="s">
        <v>31</v>
      </c>
      <c r="N302" s="238" t="b">
        <v>0</v>
      </c>
    </row>
    <row r="303" ht="13.5" customHeight="1">
      <c r="A303" s="221"/>
      <c r="B303" s="239" t="s">
        <v>33</v>
      </c>
      <c r="C303" s="232" t="s">
        <v>34</v>
      </c>
      <c r="D303" s="108"/>
      <c r="E303" s="240"/>
      <c r="F303" s="241"/>
      <c r="G303" s="241"/>
      <c r="H303" s="241"/>
      <c r="I303" s="242"/>
      <c r="J303" s="241"/>
      <c r="K303" s="243" t="s">
        <v>35</v>
      </c>
      <c r="L303" s="236">
        <f>(E303*E299)+(F303*F299)+(G303*G299)+(H303*H299)+(I303*I299)+(J303*J299)</f>
        <v>0</v>
      </c>
      <c r="M303" s="244" t="s">
        <v>36</v>
      </c>
      <c r="N303" s="238" t="b">
        <v>0</v>
      </c>
    </row>
    <row r="304" ht="13.5" customHeight="1">
      <c r="A304" s="68"/>
      <c r="B304" s="245" t="str">
        <f>IFS(L304=0,"",B304&lt;&gt;"",B304,TRUE,NOW())</f>
        <v/>
      </c>
      <c r="C304" s="232" t="s">
        <v>37</v>
      </c>
      <c r="D304" s="108"/>
      <c r="E304" s="246"/>
      <c r="F304" s="246"/>
      <c r="G304" s="246"/>
      <c r="H304" s="246"/>
      <c r="I304" s="247"/>
      <c r="J304" s="246"/>
      <c r="K304" s="248" t="s">
        <v>38</v>
      </c>
      <c r="L304" s="249">
        <f>L303-L302</f>
        <v>0</v>
      </c>
      <c r="M304" s="250" t="s">
        <v>39</v>
      </c>
      <c r="N304" s="238" t="b">
        <v>0</v>
      </c>
    </row>
    <row r="305" ht="18.75" customHeight="1">
      <c r="A305" s="230" t="s">
        <v>40</v>
      </c>
      <c r="B305" s="222" t="s">
        <v>100</v>
      </c>
      <c r="C305" s="223" t="s">
        <v>27</v>
      </c>
      <c r="D305" s="224"/>
      <c r="E305" s="225">
        <f t="shared" ref="E305:J305" si="83">E303-E306</f>
        <v>0</v>
      </c>
      <c r="F305" s="225">
        <f t="shared" si="83"/>
        <v>0</v>
      </c>
      <c r="G305" s="225">
        <f t="shared" si="83"/>
        <v>0</v>
      </c>
      <c r="H305" s="225">
        <f t="shared" si="83"/>
        <v>0</v>
      </c>
      <c r="I305" s="225">
        <f t="shared" si="83"/>
        <v>0</v>
      </c>
      <c r="J305" s="226">
        <f t="shared" si="83"/>
        <v>0</v>
      </c>
      <c r="K305" s="227"/>
      <c r="L305" s="30"/>
      <c r="M305" s="228" t="s">
        <v>28</v>
      </c>
      <c r="N305" s="229" t="b">
        <v>0</v>
      </c>
    </row>
    <row r="306" ht="13.5" customHeight="1">
      <c r="A306" s="221"/>
      <c r="B306" s="231"/>
      <c r="C306" s="232" t="s">
        <v>30</v>
      </c>
      <c r="D306" s="108"/>
      <c r="E306" s="233"/>
      <c r="F306" s="233"/>
      <c r="G306" s="233"/>
      <c r="H306" s="233"/>
      <c r="I306" s="234"/>
      <c r="J306" s="251"/>
      <c r="K306" s="235" t="s">
        <v>30</v>
      </c>
      <c r="L306" s="236">
        <f>(E306*E299)+(F306*F299)+(G306*G299)+(H306*H299)+(I306*I299)+(J306*J299)</f>
        <v>0</v>
      </c>
      <c r="M306" s="237" t="s">
        <v>31</v>
      </c>
      <c r="N306" s="238" t="b">
        <v>0</v>
      </c>
    </row>
    <row r="307" ht="13.5" customHeight="1">
      <c r="A307" s="68"/>
      <c r="B307" s="239" t="s">
        <v>42</v>
      </c>
      <c r="C307" s="232" t="s">
        <v>34</v>
      </c>
      <c r="D307" s="108"/>
      <c r="E307" s="240"/>
      <c r="F307" s="241"/>
      <c r="G307" s="241"/>
      <c r="H307" s="241"/>
      <c r="I307" s="242"/>
      <c r="J307" s="252"/>
      <c r="K307" s="243" t="s">
        <v>35</v>
      </c>
      <c r="L307" s="236">
        <f>(E307*E299)+(F307*F299)+(G307*G299)+(H307*H299)+(I307*I299)+(J307*J299)</f>
        <v>0</v>
      </c>
      <c r="M307" s="237" t="s">
        <v>36</v>
      </c>
      <c r="N307" s="238" t="b">
        <v>0</v>
      </c>
    </row>
    <row r="308" ht="13.5" customHeight="1">
      <c r="A308" s="230" t="s">
        <v>43</v>
      </c>
      <c r="B308" s="245" t="str">
        <f>IFS(L308=0,"",B308&lt;&gt;"",B308,TRUE,NOW())</f>
        <v/>
      </c>
      <c r="C308" s="232" t="s">
        <v>37</v>
      </c>
      <c r="D308" s="108"/>
      <c r="E308" s="246"/>
      <c r="F308" s="246"/>
      <c r="G308" s="246"/>
      <c r="H308" s="246"/>
      <c r="I308" s="247"/>
      <c r="J308" s="253"/>
      <c r="K308" s="248" t="s">
        <v>38</v>
      </c>
      <c r="L308" s="249">
        <f>L307-L306</f>
        <v>0</v>
      </c>
      <c r="M308" s="250" t="s">
        <v>39</v>
      </c>
      <c r="N308" s="238" t="b">
        <v>0</v>
      </c>
    </row>
    <row r="309" ht="13.5" customHeight="1">
      <c r="A309" s="230"/>
      <c r="B309" s="222" t="s">
        <v>100</v>
      </c>
      <c r="C309" s="223" t="s">
        <v>27</v>
      </c>
      <c r="D309" s="224"/>
      <c r="E309" s="254">
        <f t="shared" ref="E309:J309" si="84">E307-E310</f>
        <v>0</v>
      </c>
      <c r="F309" s="254">
        <f t="shared" si="84"/>
        <v>0</v>
      </c>
      <c r="G309" s="254">
        <f t="shared" si="84"/>
        <v>0</v>
      </c>
      <c r="H309" s="254">
        <f t="shared" si="84"/>
        <v>0</v>
      </c>
      <c r="I309" s="254">
        <f t="shared" si="84"/>
        <v>0</v>
      </c>
      <c r="J309" s="254">
        <f t="shared" si="84"/>
        <v>0</v>
      </c>
      <c r="K309" s="227"/>
      <c r="L309" s="30"/>
      <c r="M309" s="228" t="s">
        <v>28</v>
      </c>
      <c r="N309" s="229" t="b">
        <v>0</v>
      </c>
    </row>
    <row r="310" ht="15.0" customHeight="1">
      <c r="A310" s="230" t="s">
        <v>45</v>
      </c>
      <c r="B310" s="231"/>
      <c r="C310" s="232" t="s">
        <v>30</v>
      </c>
      <c r="D310" s="108"/>
      <c r="E310" s="255"/>
      <c r="F310" s="255"/>
      <c r="G310" s="255"/>
      <c r="H310" s="255"/>
      <c r="I310" s="255"/>
      <c r="J310" s="255"/>
      <c r="K310" s="235" t="s">
        <v>30</v>
      </c>
      <c r="L310" s="236">
        <f>(E310*E299)+(F310*F299)+(G310*G299)+(H310*H299)+(I310*I299)+(J310*J299)</f>
        <v>0</v>
      </c>
      <c r="M310" s="237" t="s">
        <v>31</v>
      </c>
      <c r="N310" s="238" t="b">
        <v>0</v>
      </c>
    </row>
    <row r="311" ht="13.5" customHeight="1">
      <c r="A311" s="221"/>
      <c r="B311" s="239" t="s">
        <v>47</v>
      </c>
      <c r="C311" s="232" t="s">
        <v>34</v>
      </c>
      <c r="D311" s="108"/>
      <c r="E311" s="256"/>
      <c r="F311" s="257"/>
      <c r="G311" s="257"/>
      <c r="H311" s="257"/>
      <c r="I311" s="257"/>
      <c r="J311" s="257"/>
      <c r="K311" s="243" t="s">
        <v>35</v>
      </c>
      <c r="L311" s="236">
        <f>(E311*E299)+(F311*F299)+(G311*G299)+(H311*H299)+(I311*I299)+(J311*J299)</f>
        <v>0</v>
      </c>
      <c r="M311" s="237" t="s">
        <v>36</v>
      </c>
      <c r="N311" s="238" t="b">
        <v>0</v>
      </c>
    </row>
    <row r="312" ht="13.5" customHeight="1">
      <c r="A312" s="68"/>
      <c r="B312" s="245" t="str">
        <f>IFS(L312=0,"",B312&lt;&gt;"",B312,TRUE,NOW())</f>
        <v/>
      </c>
      <c r="C312" s="232" t="s">
        <v>37</v>
      </c>
      <c r="D312" s="108"/>
      <c r="E312" s="258"/>
      <c r="F312" s="258"/>
      <c r="G312" s="258"/>
      <c r="H312" s="258"/>
      <c r="I312" s="258"/>
      <c r="J312" s="258"/>
      <c r="K312" s="248" t="s">
        <v>38</v>
      </c>
      <c r="L312" s="249">
        <f>L311-L310</f>
        <v>0</v>
      </c>
      <c r="M312" s="250" t="s">
        <v>39</v>
      </c>
      <c r="N312" s="238" t="b">
        <v>0</v>
      </c>
    </row>
    <row r="313" ht="13.5" customHeight="1">
      <c r="A313" s="259" t="s">
        <v>48</v>
      </c>
      <c r="B313" s="222" t="s">
        <v>100</v>
      </c>
      <c r="C313" s="223" t="s">
        <v>27</v>
      </c>
      <c r="D313" s="224"/>
      <c r="E313" s="254">
        <f t="shared" ref="E313:J313" si="85">E311-E314</f>
        <v>0</v>
      </c>
      <c r="F313" s="254">
        <f t="shared" si="85"/>
        <v>0</v>
      </c>
      <c r="G313" s="254">
        <f t="shared" si="85"/>
        <v>0</v>
      </c>
      <c r="H313" s="254">
        <f t="shared" si="85"/>
        <v>0</v>
      </c>
      <c r="I313" s="254">
        <f t="shared" si="85"/>
        <v>0</v>
      </c>
      <c r="J313" s="254">
        <f t="shared" si="85"/>
        <v>0</v>
      </c>
      <c r="K313" s="227"/>
      <c r="L313" s="30"/>
      <c r="M313" s="228" t="s">
        <v>28</v>
      </c>
      <c r="N313" s="229" t="b">
        <v>0</v>
      </c>
    </row>
    <row r="314" ht="13.5" customHeight="1">
      <c r="A314" s="87"/>
      <c r="B314" s="231"/>
      <c r="C314" s="232" t="s">
        <v>30</v>
      </c>
      <c r="D314" s="108"/>
      <c r="E314" s="255"/>
      <c r="F314" s="255"/>
      <c r="G314" s="255"/>
      <c r="H314" s="255"/>
      <c r="I314" s="255"/>
      <c r="J314" s="255"/>
      <c r="K314" s="235" t="s">
        <v>30</v>
      </c>
      <c r="L314" s="236">
        <f>(E314*E299)+(F314*F299)+(G314*G299)+(H314*H299)+(I314*I299)+(J314*J299)</f>
        <v>0</v>
      </c>
      <c r="M314" s="237" t="s">
        <v>31</v>
      </c>
      <c r="N314" s="238" t="b">
        <v>0</v>
      </c>
    </row>
    <row r="315" ht="13.5" customHeight="1">
      <c r="A315" s="68"/>
      <c r="B315" s="239" t="s">
        <v>49</v>
      </c>
      <c r="C315" s="232" t="s">
        <v>34</v>
      </c>
      <c r="D315" s="108"/>
      <c r="E315" s="256"/>
      <c r="F315" s="257"/>
      <c r="G315" s="257"/>
      <c r="H315" s="257"/>
      <c r="I315" s="257"/>
      <c r="J315" s="257"/>
      <c r="K315" s="243" t="s">
        <v>35</v>
      </c>
      <c r="L315" s="236">
        <f>(E315*E299)+(F315*F299)+(G315*G299)+(H315*H299)+(I315*I299)+(J315*J299)</f>
        <v>0</v>
      </c>
      <c r="M315" s="237" t="s">
        <v>36</v>
      </c>
      <c r="N315" s="238" t="b">
        <v>0</v>
      </c>
    </row>
    <row r="316" ht="13.5" customHeight="1">
      <c r="A316" s="80"/>
      <c r="B316" s="245" t="str">
        <f>IFS(L316=0,"",B316&lt;&gt;"",B316,TRUE,NOW())</f>
        <v/>
      </c>
      <c r="C316" s="265" t="s">
        <v>37</v>
      </c>
      <c r="D316" s="117"/>
      <c r="E316" s="258"/>
      <c r="F316" s="258"/>
      <c r="G316" s="258"/>
      <c r="H316" s="258"/>
      <c r="I316" s="258"/>
      <c r="J316" s="258"/>
      <c r="K316" s="248" t="s">
        <v>38</v>
      </c>
      <c r="L316" s="249">
        <f>L315-L314</f>
        <v>0</v>
      </c>
      <c r="M316" s="250" t="s">
        <v>39</v>
      </c>
      <c r="N316" s="260" t="b">
        <v>0</v>
      </c>
    </row>
    <row r="317" ht="15.0" customHeight="1">
      <c r="A317" s="261" t="s">
        <v>101</v>
      </c>
      <c r="B317" s="209" t="s">
        <v>20</v>
      </c>
      <c r="C317" s="24"/>
      <c r="D317" s="33"/>
      <c r="E317" s="262">
        <f t="shared" ref="E317:J317" si="86">E6</f>
        <v>16</v>
      </c>
      <c r="F317" s="262">
        <f t="shared" si="86"/>
        <v>26</v>
      </c>
      <c r="G317" s="263">
        <f t="shared" si="86"/>
        <v>26</v>
      </c>
      <c r="H317" s="264">
        <f t="shared" si="86"/>
        <v>26</v>
      </c>
      <c r="I317" s="213">
        <f t="shared" si="86"/>
        <v>31</v>
      </c>
      <c r="J317" s="263">
        <f t="shared" si="86"/>
        <v>36</v>
      </c>
      <c r="K317" s="214" t="s">
        <v>21</v>
      </c>
      <c r="L317" s="25"/>
      <c r="M317" s="215" t="s">
        <v>22</v>
      </c>
      <c r="N317" s="10"/>
    </row>
    <row r="318" ht="13.5" customHeight="1">
      <c r="A318" s="216" t="s">
        <v>23</v>
      </c>
      <c r="B318" s="217" t="s">
        <v>24</v>
      </c>
      <c r="C318" s="218" t="s">
        <v>25</v>
      </c>
      <c r="D318" s="117"/>
      <c r="E318" s="219"/>
      <c r="F318" s="219"/>
      <c r="G318" s="219"/>
      <c r="H318" s="219"/>
      <c r="I318" s="220"/>
      <c r="J318" s="219"/>
      <c r="K318" s="49"/>
      <c r="L318" s="25"/>
      <c r="M318" s="50"/>
      <c r="N318" s="10"/>
    </row>
    <row r="319" ht="13.5" customHeight="1">
      <c r="A319" s="221"/>
      <c r="B319" s="222" t="s">
        <v>102</v>
      </c>
      <c r="C319" s="223" t="s">
        <v>27</v>
      </c>
      <c r="D319" s="224"/>
      <c r="E319" s="225">
        <f t="shared" ref="E319:J319" si="87">E318-E320</f>
        <v>0</v>
      </c>
      <c r="F319" s="225">
        <f t="shared" si="87"/>
        <v>0</v>
      </c>
      <c r="G319" s="225">
        <f t="shared" si="87"/>
        <v>0</v>
      </c>
      <c r="H319" s="225">
        <f t="shared" si="87"/>
        <v>0</v>
      </c>
      <c r="I319" s="225">
        <f t="shared" si="87"/>
        <v>0</v>
      </c>
      <c r="J319" s="226">
        <f t="shared" si="87"/>
        <v>0</v>
      </c>
      <c r="K319" s="227"/>
      <c r="L319" s="30"/>
      <c r="M319" s="228" t="s">
        <v>28</v>
      </c>
      <c r="N319" s="229" t="b">
        <v>0</v>
      </c>
    </row>
    <row r="320" ht="13.5" customHeight="1">
      <c r="A320" s="230" t="s">
        <v>29</v>
      </c>
      <c r="B320" s="231"/>
      <c r="C320" s="232" t="s">
        <v>30</v>
      </c>
      <c r="D320" s="108"/>
      <c r="E320" s="233"/>
      <c r="F320" s="233"/>
      <c r="G320" s="233"/>
      <c r="H320" s="233"/>
      <c r="I320" s="234"/>
      <c r="J320" s="233"/>
      <c r="K320" s="235" t="s">
        <v>30</v>
      </c>
      <c r="L320" s="236">
        <f>(E320*E317)+(F320*F317)+(G320*G317)+(H320*H317)+(I320*I317)+(J320*J317)</f>
        <v>0</v>
      </c>
      <c r="M320" s="237" t="s">
        <v>31</v>
      </c>
      <c r="N320" s="238" t="b">
        <v>0</v>
      </c>
    </row>
    <row r="321" ht="13.5" customHeight="1">
      <c r="A321" s="221"/>
      <c r="B321" s="239" t="s">
        <v>33</v>
      </c>
      <c r="C321" s="232" t="s">
        <v>34</v>
      </c>
      <c r="D321" s="108"/>
      <c r="E321" s="240"/>
      <c r="F321" s="241"/>
      <c r="G321" s="241"/>
      <c r="H321" s="241"/>
      <c r="I321" s="242"/>
      <c r="J321" s="241"/>
      <c r="K321" s="243" t="s">
        <v>35</v>
      </c>
      <c r="L321" s="236">
        <f>(E321*E317)+(F321*F317)+(G321*G317)+(H321*H317)+(I321*I317)+(J321*J317)</f>
        <v>0</v>
      </c>
      <c r="M321" s="244" t="s">
        <v>36</v>
      </c>
      <c r="N321" s="238" t="b">
        <v>0</v>
      </c>
    </row>
    <row r="322" ht="15.0" customHeight="1">
      <c r="A322" s="68"/>
      <c r="B322" s="245" t="str">
        <f>IFS(L322=0,"",B322&lt;&gt;"",B322,TRUE,NOW())</f>
        <v/>
      </c>
      <c r="C322" s="232" t="s">
        <v>37</v>
      </c>
      <c r="D322" s="108"/>
      <c r="E322" s="246"/>
      <c r="F322" s="246"/>
      <c r="G322" s="246"/>
      <c r="H322" s="246"/>
      <c r="I322" s="247"/>
      <c r="J322" s="246"/>
      <c r="K322" s="248" t="s">
        <v>38</v>
      </c>
      <c r="L322" s="249">
        <f>L321-L320</f>
        <v>0</v>
      </c>
      <c r="M322" s="250" t="s">
        <v>39</v>
      </c>
      <c r="N322" s="238" t="b">
        <v>0</v>
      </c>
    </row>
    <row r="323" ht="13.5" customHeight="1">
      <c r="A323" s="230" t="s">
        <v>40</v>
      </c>
      <c r="B323" s="222" t="s">
        <v>102</v>
      </c>
      <c r="C323" s="223" t="s">
        <v>27</v>
      </c>
      <c r="D323" s="224"/>
      <c r="E323" s="225">
        <f t="shared" ref="E323:J323" si="88">E321-E324</f>
        <v>0</v>
      </c>
      <c r="F323" s="225">
        <f t="shared" si="88"/>
        <v>0</v>
      </c>
      <c r="G323" s="225">
        <f t="shared" si="88"/>
        <v>0</v>
      </c>
      <c r="H323" s="225">
        <f t="shared" si="88"/>
        <v>0</v>
      </c>
      <c r="I323" s="225">
        <f t="shared" si="88"/>
        <v>0</v>
      </c>
      <c r="J323" s="226">
        <f t="shared" si="88"/>
        <v>0</v>
      </c>
      <c r="K323" s="227"/>
      <c r="L323" s="30"/>
      <c r="M323" s="228" t="s">
        <v>28</v>
      </c>
      <c r="N323" s="229" t="b">
        <v>0</v>
      </c>
    </row>
    <row r="324" ht="13.5" customHeight="1">
      <c r="A324" s="221"/>
      <c r="B324" s="231"/>
      <c r="C324" s="232" t="s">
        <v>30</v>
      </c>
      <c r="D324" s="108"/>
      <c r="E324" s="233"/>
      <c r="F324" s="233"/>
      <c r="G324" s="233"/>
      <c r="H324" s="233"/>
      <c r="I324" s="234"/>
      <c r="J324" s="251"/>
      <c r="K324" s="235" t="s">
        <v>30</v>
      </c>
      <c r="L324" s="236">
        <f>(E324*E317)+(F324*F317)+(G324*G317)+(H324*H317)+(I324*I317)+(J324*J317)</f>
        <v>0</v>
      </c>
      <c r="M324" s="237" t="s">
        <v>31</v>
      </c>
      <c r="N324" s="238" t="b">
        <v>0</v>
      </c>
    </row>
    <row r="325" ht="13.5" customHeight="1">
      <c r="A325" s="68"/>
      <c r="B325" s="239" t="s">
        <v>42</v>
      </c>
      <c r="C325" s="232" t="s">
        <v>34</v>
      </c>
      <c r="D325" s="108"/>
      <c r="E325" s="240"/>
      <c r="F325" s="241"/>
      <c r="G325" s="241"/>
      <c r="H325" s="241"/>
      <c r="I325" s="242"/>
      <c r="J325" s="252"/>
      <c r="K325" s="243" t="s">
        <v>35</v>
      </c>
      <c r="L325" s="236">
        <f>(E325*E317)+(F325*F317)+(G325*G317)+(H325*H317)+(I325*I317)+(J325*J317)</f>
        <v>0</v>
      </c>
      <c r="M325" s="237" t="s">
        <v>36</v>
      </c>
      <c r="N325" s="238" t="b">
        <v>0</v>
      </c>
    </row>
    <row r="326" ht="13.5" customHeight="1">
      <c r="A326" s="230" t="s">
        <v>43</v>
      </c>
      <c r="B326" s="245" t="str">
        <f>IFS(L326=0,"",B326&lt;&gt;"",B326,TRUE,NOW())</f>
        <v/>
      </c>
      <c r="C326" s="232" t="s">
        <v>37</v>
      </c>
      <c r="D326" s="108"/>
      <c r="E326" s="246"/>
      <c r="F326" s="246"/>
      <c r="G326" s="246"/>
      <c r="H326" s="246"/>
      <c r="I326" s="247"/>
      <c r="J326" s="253"/>
      <c r="K326" s="248" t="s">
        <v>38</v>
      </c>
      <c r="L326" s="249">
        <f>L325-L324</f>
        <v>0</v>
      </c>
      <c r="M326" s="250" t="s">
        <v>39</v>
      </c>
      <c r="N326" s="238" t="b">
        <v>0</v>
      </c>
    </row>
    <row r="327" ht="15.0" customHeight="1">
      <c r="A327" s="230"/>
      <c r="B327" s="222" t="s">
        <v>102</v>
      </c>
      <c r="C327" s="223" t="s">
        <v>27</v>
      </c>
      <c r="D327" s="224"/>
      <c r="E327" s="254">
        <f t="shared" ref="E327:J327" si="89">E325-E328</f>
        <v>0</v>
      </c>
      <c r="F327" s="254">
        <f t="shared" si="89"/>
        <v>0</v>
      </c>
      <c r="G327" s="254">
        <f t="shared" si="89"/>
        <v>0</v>
      </c>
      <c r="H327" s="254">
        <f t="shared" si="89"/>
        <v>0</v>
      </c>
      <c r="I327" s="254">
        <f t="shared" si="89"/>
        <v>0</v>
      </c>
      <c r="J327" s="254">
        <f t="shared" si="89"/>
        <v>0</v>
      </c>
      <c r="K327" s="227"/>
      <c r="L327" s="30"/>
      <c r="M327" s="228" t="s">
        <v>28</v>
      </c>
      <c r="N327" s="229" t="b">
        <v>0</v>
      </c>
    </row>
    <row r="328" ht="13.5" customHeight="1">
      <c r="A328" s="230" t="s">
        <v>45</v>
      </c>
      <c r="B328" s="231"/>
      <c r="C328" s="232" t="s">
        <v>30</v>
      </c>
      <c r="D328" s="108"/>
      <c r="E328" s="255"/>
      <c r="F328" s="255"/>
      <c r="G328" s="255"/>
      <c r="H328" s="255"/>
      <c r="I328" s="255"/>
      <c r="J328" s="255"/>
      <c r="K328" s="235" t="s">
        <v>30</v>
      </c>
      <c r="L328" s="236">
        <f>(E328*E317)+(F328*F317)+(G328*G317)+(H328*H317)+(I328*I317)+(J328*J317)</f>
        <v>0</v>
      </c>
      <c r="M328" s="237" t="s">
        <v>31</v>
      </c>
      <c r="N328" s="238" t="b">
        <v>0</v>
      </c>
    </row>
    <row r="329" ht="13.5" customHeight="1">
      <c r="A329" s="221"/>
      <c r="B329" s="239" t="s">
        <v>47</v>
      </c>
      <c r="C329" s="232" t="s">
        <v>34</v>
      </c>
      <c r="D329" s="108"/>
      <c r="E329" s="256"/>
      <c r="F329" s="257"/>
      <c r="G329" s="257"/>
      <c r="H329" s="257"/>
      <c r="I329" s="257"/>
      <c r="J329" s="257"/>
      <c r="K329" s="243" t="s">
        <v>35</v>
      </c>
      <c r="L329" s="236">
        <f>(E329*E317)+(F329*F317)+(G329*G317)+(H329*H317)+(I329*I317)+(J329*J317)</f>
        <v>0</v>
      </c>
      <c r="M329" s="237" t="s">
        <v>36</v>
      </c>
      <c r="N329" s="238" t="b">
        <v>0</v>
      </c>
    </row>
    <row r="330" ht="13.5" customHeight="1">
      <c r="A330" s="68"/>
      <c r="B330" s="245" t="str">
        <f>IFS(L330=0,"",B330&lt;&gt;"",B330,TRUE,NOW())</f>
        <v/>
      </c>
      <c r="C330" s="232" t="s">
        <v>37</v>
      </c>
      <c r="D330" s="108"/>
      <c r="E330" s="258"/>
      <c r="F330" s="258"/>
      <c r="G330" s="258"/>
      <c r="H330" s="258"/>
      <c r="I330" s="258"/>
      <c r="J330" s="258"/>
      <c r="K330" s="248" t="s">
        <v>38</v>
      </c>
      <c r="L330" s="249">
        <f>L329-L328</f>
        <v>0</v>
      </c>
      <c r="M330" s="250" t="s">
        <v>39</v>
      </c>
      <c r="N330" s="238" t="b">
        <v>0</v>
      </c>
    </row>
    <row r="331" ht="13.5" customHeight="1">
      <c r="A331" s="259" t="s">
        <v>48</v>
      </c>
      <c r="B331" s="222" t="s">
        <v>102</v>
      </c>
      <c r="C331" s="223" t="s">
        <v>27</v>
      </c>
      <c r="D331" s="224"/>
      <c r="E331" s="254">
        <f t="shared" ref="E331:J331" si="90">E329-E332</f>
        <v>0</v>
      </c>
      <c r="F331" s="254">
        <f t="shared" si="90"/>
        <v>0</v>
      </c>
      <c r="G331" s="254">
        <f t="shared" si="90"/>
        <v>0</v>
      </c>
      <c r="H331" s="254">
        <f t="shared" si="90"/>
        <v>0</v>
      </c>
      <c r="I331" s="254">
        <f t="shared" si="90"/>
        <v>0</v>
      </c>
      <c r="J331" s="254">
        <f t="shared" si="90"/>
        <v>0</v>
      </c>
      <c r="K331" s="227"/>
      <c r="L331" s="30"/>
      <c r="M331" s="228" t="s">
        <v>28</v>
      </c>
      <c r="N331" s="229" t="b">
        <v>0</v>
      </c>
    </row>
    <row r="332" ht="15.0" customHeight="1">
      <c r="A332" s="87"/>
      <c r="B332" s="231"/>
      <c r="C332" s="232" t="s">
        <v>30</v>
      </c>
      <c r="D332" s="108"/>
      <c r="E332" s="255"/>
      <c r="F332" s="255"/>
      <c r="G332" s="255"/>
      <c r="H332" s="255"/>
      <c r="I332" s="255"/>
      <c r="J332" s="255"/>
      <c r="K332" s="235" t="s">
        <v>30</v>
      </c>
      <c r="L332" s="236">
        <f>(E332*E317)+(F332*F317)+(G332*G317)+(H332*H317)+(I332*I317)+(J332*J317)</f>
        <v>0</v>
      </c>
      <c r="M332" s="237" t="s">
        <v>31</v>
      </c>
      <c r="N332" s="238" t="b">
        <v>0</v>
      </c>
    </row>
    <row r="333" ht="13.5" customHeight="1">
      <c r="A333" s="68"/>
      <c r="B333" s="239" t="s">
        <v>49</v>
      </c>
      <c r="C333" s="232" t="s">
        <v>34</v>
      </c>
      <c r="D333" s="108"/>
      <c r="E333" s="256"/>
      <c r="F333" s="257"/>
      <c r="G333" s="257"/>
      <c r="H333" s="257"/>
      <c r="I333" s="257"/>
      <c r="J333" s="257"/>
      <c r="K333" s="243" t="s">
        <v>35</v>
      </c>
      <c r="L333" s="236">
        <f>(E333*E317)+(F333*F317)+(G333*G317)+(H333*H317)+(I333*I317)+(J333*J317)</f>
        <v>0</v>
      </c>
      <c r="M333" s="237" t="s">
        <v>36</v>
      </c>
      <c r="N333" s="238" t="b">
        <v>0</v>
      </c>
    </row>
    <row r="334" ht="13.5" customHeight="1">
      <c r="A334" s="80"/>
      <c r="B334" s="245" t="str">
        <f>IFS(L334=0,"",B334&lt;&gt;"",B334,TRUE,NOW())</f>
        <v/>
      </c>
      <c r="C334" s="265" t="s">
        <v>37</v>
      </c>
      <c r="D334" s="117"/>
      <c r="E334" s="258"/>
      <c r="F334" s="258"/>
      <c r="G334" s="258"/>
      <c r="H334" s="258"/>
      <c r="I334" s="258"/>
      <c r="J334" s="258"/>
      <c r="K334" s="248" t="s">
        <v>38</v>
      </c>
      <c r="L334" s="249">
        <f>L333-L332</f>
        <v>0</v>
      </c>
      <c r="M334" s="250" t="s">
        <v>39</v>
      </c>
      <c r="N334" s="260" t="b">
        <v>0</v>
      </c>
    </row>
    <row r="335" ht="13.5" customHeight="1">
      <c r="A335" s="261" t="s">
        <v>103</v>
      </c>
      <c r="B335" s="209" t="s">
        <v>20</v>
      </c>
      <c r="C335" s="24"/>
      <c r="D335" s="33"/>
      <c r="E335" s="262">
        <f t="shared" ref="E335:J335" si="91">E6</f>
        <v>16</v>
      </c>
      <c r="F335" s="262">
        <f t="shared" si="91"/>
        <v>26</v>
      </c>
      <c r="G335" s="263">
        <f t="shared" si="91"/>
        <v>26</v>
      </c>
      <c r="H335" s="264">
        <f t="shared" si="91"/>
        <v>26</v>
      </c>
      <c r="I335" s="213">
        <f t="shared" si="91"/>
        <v>31</v>
      </c>
      <c r="J335" s="263">
        <f t="shared" si="91"/>
        <v>36</v>
      </c>
      <c r="K335" s="214" t="s">
        <v>21</v>
      </c>
      <c r="L335" s="25"/>
      <c r="M335" s="215" t="s">
        <v>22</v>
      </c>
      <c r="N335" s="10"/>
    </row>
    <row r="336" ht="13.5" customHeight="1">
      <c r="A336" s="216" t="s">
        <v>23</v>
      </c>
      <c r="B336" s="217" t="s">
        <v>24</v>
      </c>
      <c r="C336" s="218" t="s">
        <v>25</v>
      </c>
      <c r="D336" s="117"/>
      <c r="E336" s="219"/>
      <c r="F336" s="219"/>
      <c r="G336" s="219"/>
      <c r="H336" s="219"/>
      <c r="I336" s="220"/>
      <c r="J336" s="219"/>
      <c r="K336" s="49"/>
      <c r="L336" s="25"/>
      <c r="M336" s="50"/>
      <c r="N336" s="10"/>
    </row>
    <row r="337" ht="13.5" customHeight="1">
      <c r="A337" s="221"/>
      <c r="B337" s="222" t="s">
        <v>104</v>
      </c>
      <c r="C337" s="223" t="s">
        <v>27</v>
      </c>
      <c r="D337" s="224"/>
      <c r="E337" s="225">
        <f t="shared" ref="E337:J337" si="92">E336-E338</f>
        <v>0</v>
      </c>
      <c r="F337" s="225">
        <f t="shared" si="92"/>
        <v>0</v>
      </c>
      <c r="G337" s="225">
        <f t="shared" si="92"/>
        <v>0</v>
      </c>
      <c r="H337" s="225">
        <f t="shared" si="92"/>
        <v>0</v>
      </c>
      <c r="I337" s="225">
        <f t="shared" si="92"/>
        <v>0</v>
      </c>
      <c r="J337" s="226">
        <f t="shared" si="92"/>
        <v>0</v>
      </c>
      <c r="K337" s="227"/>
      <c r="L337" s="30"/>
      <c r="M337" s="228" t="s">
        <v>28</v>
      </c>
      <c r="N337" s="229" t="b">
        <v>0</v>
      </c>
    </row>
    <row r="338" ht="13.5" customHeight="1">
      <c r="A338" s="230" t="s">
        <v>29</v>
      </c>
      <c r="B338" s="231"/>
      <c r="C338" s="232" t="s">
        <v>30</v>
      </c>
      <c r="D338" s="108"/>
      <c r="E338" s="233"/>
      <c r="F338" s="233"/>
      <c r="G338" s="233"/>
      <c r="H338" s="233"/>
      <c r="I338" s="234"/>
      <c r="J338" s="233"/>
      <c r="K338" s="235" t="s">
        <v>30</v>
      </c>
      <c r="L338" s="236">
        <f>(E338*E335)+(F338*F335)+(G338*G335)+(H338*H335)+(I338*I335)+(J338*J335)</f>
        <v>0</v>
      </c>
      <c r="M338" s="237" t="s">
        <v>31</v>
      </c>
      <c r="N338" s="238" t="b">
        <v>0</v>
      </c>
    </row>
    <row r="339" ht="15.0" customHeight="1">
      <c r="A339" s="221"/>
      <c r="B339" s="239" t="s">
        <v>33</v>
      </c>
      <c r="C339" s="232" t="s">
        <v>34</v>
      </c>
      <c r="D339" s="108"/>
      <c r="E339" s="240"/>
      <c r="F339" s="241"/>
      <c r="G339" s="241"/>
      <c r="H339" s="241"/>
      <c r="I339" s="242"/>
      <c r="J339" s="241"/>
      <c r="K339" s="243" t="s">
        <v>35</v>
      </c>
      <c r="L339" s="236">
        <f>(E339*E335)+(F339*F335)+(G339*G335)+(H339*H335)+(I339*I335)+(J339*J335)</f>
        <v>0</v>
      </c>
      <c r="M339" s="244" t="s">
        <v>36</v>
      </c>
      <c r="N339" s="238" t="b">
        <v>0</v>
      </c>
    </row>
    <row r="340" ht="13.5" customHeight="1">
      <c r="A340" s="68"/>
      <c r="B340" s="245" t="str">
        <f>IFS(L340=0,"",B340&lt;&gt;"",B340,TRUE,NOW())</f>
        <v/>
      </c>
      <c r="C340" s="232" t="s">
        <v>37</v>
      </c>
      <c r="D340" s="108"/>
      <c r="E340" s="246"/>
      <c r="F340" s="246"/>
      <c r="G340" s="246"/>
      <c r="H340" s="246"/>
      <c r="I340" s="247"/>
      <c r="J340" s="246"/>
      <c r="K340" s="248" t="s">
        <v>38</v>
      </c>
      <c r="L340" s="249">
        <f>L339-L338</f>
        <v>0</v>
      </c>
      <c r="M340" s="250" t="s">
        <v>39</v>
      </c>
      <c r="N340" s="238" t="b">
        <v>0</v>
      </c>
    </row>
    <row r="341" ht="13.5" customHeight="1">
      <c r="A341" s="230" t="s">
        <v>40</v>
      </c>
      <c r="B341" s="222" t="s">
        <v>104</v>
      </c>
      <c r="C341" s="223" t="s">
        <v>27</v>
      </c>
      <c r="D341" s="224"/>
      <c r="E341" s="225">
        <f t="shared" ref="E341:J341" si="93">E339-E342</f>
        <v>0</v>
      </c>
      <c r="F341" s="225">
        <f t="shared" si="93"/>
        <v>0</v>
      </c>
      <c r="G341" s="225">
        <f t="shared" si="93"/>
        <v>0</v>
      </c>
      <c r="H341" s="225">
        <f t="shared" si="93"/>
        <v>0</v>
      </c>
      <c r="I341" s="225">
        <f t="shared" si="93"/>
        <v>0</v>
      </c>
      <c r="J341" s="226">
        <f t="shared" si="93"/>
        <v>0</v>
      </c>
      <c r="K341" s="227"/>
      <c r="L341" s="30"/>
      <c r="M341" s="228" t="s">
        <v>28</v>
      </c>
      <c r="N341" s="229" t="b">
        <v>0</v>
      </c>
    </row>
    <row r="342" ht="13.5" customHeight="1">
      <c r="A342" s="221"/>
      <c r="B342" s="231"/>
      <c r="C342" s="232" t="s">
        <v>30</v>
      </c>
      <c r="D342" s="108"/>
      <c r="E342" s="233"/>
      <c r="F342" s="233"/>
      <c r="G342" s="233"/>
      <c r="H342" s="233"/>
      <c r="I342" s="234"/>
      <c r="J342" s="251"/>
      <c r="K342" s="235" t="s">
        <v>30</v>
      </c>
      <c r="L342" s="236">
        <f>(E342*E335)+(F342*F335)+(G342*G335)+(H342*H335)+(I342*I335)+(J342*J335)</f>
        <v>0</v>
      </c>
      <c r="M342" s="237" t="s">
        <v>31</v>
      </c>
      <c r="N342" s="238" t="b">
        <v>0</v>
      </c>
    </row>
    <row r="343" ht="13.5" customHeight="1">
      <c r="A343" s="68"/>
      <c r="B343" s="239" t="s">
        <v>42</v>
      </c>
      <c r="C343" s="232" t="s">
        <v>34</v>
      </c>
      <c r="D343" s="108"/>
      <c r="E343" s="240"/>
      <c r="F343" s="241"/>
      <c r="G343" s="241"/>
      <c r="H343" s="241"/>
      <c r="I343" s="242"/>
      <c r="J343" s="252"/>
      <c r="K343" s="243" t="s">
        <v>35</v>
      </c>
      <c r="L343" s="236">
        <f>(E343*E335)+(F343*F335)+(G343*G335)+(H343*H335)+(I343*I335)+(J343*J335)</f>
        <v>0</v>
      </c>
      <c r="M343" s="237" t="s">
        <v>36</v>
      </c>
      <c r="N343" s="238" t="b">
        <v>0</v>
      </c>
    </row>
    <row r="344" ht="15.0" customHeight="1">
      <c r="A344" s="230" t="s">
        <v>43</v>
      </c>
      <c r="B344" s="245" t="str">
        <f>IFS(L344=0,"",B344&lt;&gt;"",B344,TRUE,NOW())</f>
        <v/>
      </c>
      <c r="C344" s="232" t="s">
        <v>37</v>
      </c>
      <c r="D344" s="108"/>
      <c r="E344" s="246"/>
      <c r="F344" s="246"/>
      <c r="G344" s="246"/>
      <c r="H344" s="246"/>
      <c r="I344" s="247"/>
      <c r="J344" s="253"/>
      <c r="K344" s="248" t="s">
        <v>38</v>
      </c>
      <c r="L344" s="249">
        <f>L343-L342</f>
        <v>0</v>
      </c>
      <c r="M344" s="250" t="s">
        <v>39</v>
      </c>
      <c r="N344" s="238" t="b">
        <v>0</v>
      </c>
    </row>
    <row r="345" ht="13.5" customHeight="1">
      <c r="A345" s="230"/>
      <c r="B345" s="222" t="s">
        <v>104</v>
      </c>
      <c r="C345" s="223" t="s">
        <v>27</v>
      </c>
      <c r="D345" s="224"/>
      <c r="E345" s="254">
        <f t="shared" ref="E345:J345" si="94">E343-E346</f>
        <v>0</v>
      </c>
      <c r="F345" s="254">
        <f t="shared" si="94"/>
        <v>0</v>
      </c>
      <c r="G345" s="254">
        <f t="shared" si="94"/>
        <v>0</v>
      </c>
      <c r="H345" s="254">
        <f t="shared" si="94"/>
        <v>0</v>
      </c>
      <c r="I345" s="254">
        <f t="shared" si="94"/>
        <v>0</v>
      </c>
      <c r="J345" s="254">
        <f t="shared" si="94"/>
        <v>0</v>
      </c>
      <c r="K345" s="227"/>
      <c r="L345" s="30"/>
      <c r="M345" s="228" t="s">
        <v>28</v>
      </c>
      <c r="N345" s="229" t="b">
        <v>0</v>
      </c>
    </row>
    <row r="346" ht="13.5" customHeight="1">
      <c r="A346" s="230" t="s">
        <v>45</v>
      </c>
      <c r="B346" s="231"/>
      <c r="C346" s="232" t="s">
        <v>30</v>
      </c>
      <c r="D346" s="108"/>
      <c r="E346" s="255"/>
      <c r="F346" s="255"/>
      <c r="G346" s="255"/>
      <c r="H346" s="255"/>
      <c r="I346" s="255"/>
      <c r="J346" s="255"/>
      <c r="K346" s="235" t="s">
        <v>30</v>
      </c>
      <c r="L346" s="236">
        <f>(E346*E335)+(F346*F335)+(G346*G335)+(H346*H335)+(I346*I335)+(J346*J335)</f>
        <v>0</v>
      </c>
      <c r="M346" s="237" t="s">
        <v>31</v>
      </c>
      <c r="N346" s="238" t="b">
        <v>0</v>
      </c>
    </row>
    <row r="347" ht="13.5" customHeight="1">
      <c r="A347" s="221"/>
      <c r="B347" s="239" t="s">
        <v>47</v>
      </c>
      <c r="C347" s="232" t="s">
        <v>34</v>
      </c>
      <c r="D347" s="108"/>
      <c r="E347" s="256"/>
      <c r="F347" s="257"/>
      <c r="G347" s="257"/>
      <c r="H347" s="257"/>
      <c r="I347" s="257"/>
      <c r="J347" s="257"/>
      <c r="K347" s="243" t="s">
        <v>35</v>
      </c>
      <c r="L347" s="236">
        <f>(E347*E335)+(F347*F335)+(G347*G335)+(H347*H335)+(I347*I335)+(J347*J335)</f>
        <v>0</v>
      </c>
      <c r="M347" s="237" t="s">
        <v>36</v>
      </c>
      <c r="N347" s="238" t="b">
        <v>0</v>
      </c>
    </row>
    <row r="348" ht="13.5" customHeight="1">
      <c r="A348" s="68"/>
      <c r="B348" s="245" t="str">
        <f>IFS(L348=0,"",B348&lt;&gt;"",B348,TRUE,NOW())</f>
        <v/>
      </c>
      <c r="C348" s="232" t="s">
        <v>37</v>
      </c>
      <c r="D348" s="108"/>
      <c r="E348" s="258"/>
      <c r="F348" s="258"/>
      <c r="G348" s="258"/>
      <c r="H348" s="258"/>
      <c r="I348" s="258"/>
      <c r="J348" s="258"/>
      <c r="K348" s="248" t="s">
        <v>38</v>
      </c>
      <c r="L348" s="249">
        <f>L347-L346</f>
        <v>0</v>
      </c>
      <c r="M348" s="250" t="s">
        <v>39</v>
      </c>
      <c r="N348" s="238" t="b">
        <v>0</v>
      </c>
    </row>
    <row r="349" ht="15.0" customHeight="1">
      <c r="A349" s="259" t="s">
        <v>48</v>
      </c>
      <c r="B349" s="222" t="s">
        <v>104</v>
      </c>
      <c r="C349" s="223" t="s">
        <v>27</v>
      </c>
      <c r="D349" s="224"/>
      <c r="E349" s="254">
        <f t="shared" ref="E349:J349" si="95">E347-E350</f>
        <v>0</v>
      </c>
      <c r="F349" s="254">
        <f t="shared" si="95"/>
        <v>0</v>
      </c>
      <c r="G349" s="254">
        <f t="shared" si="95"/>
        <v>0</v>
      </c>
      <c r="H349" s="254">
        <f t="shared" si="95"/>
        <v>0</v>
      </c>
      <c r="I349" s="254">
        <f t="shared" si="95"/>
        <v>0</v>
      </c>
      <c r="J349" s="254">
        <f t="shared" si="95"/>
        <v>0</v>
      </c>
      <c r="K349" s="227"/>
      <c r="L349" s="30"/>
      <c r="M349" s="228" t="s">
        <v>28</v>
      </c>
      <c r="N349" s="229" t="b">
        <v>0</v>
      </c>
    </row>
    <row r="350" ht="13.5" customHeight="1">
      <c r="A350" s="87"/>
      <c r="B350" s="231"/>
      <c r="C350" s="232" t="s">
        <v>30</v>
      </c>
      <c r="D350" s="108"/>
      <c r="E350" s="255"/>
      <c r="F350" s="255"/>
      <c r="G350" s="255"/>
      <c r="H350" s="255"/>
      <c r="I350" s="255"/>
      <c r="J350" s="255"/>
      <c r="K350" s="235" t="s">
        <v>30</v>
      </c>
      <c r="L350" s="236">
        <f>(E350*E335)+(F350*F335)+(G350*G335)+(H350*H335)+(I350*I335)+(J350*J335)</f>
        <v>0</v>
      </c>
      <c r="M350" s="237" t="s">
        <v>31</v>
      </c>
      <c r="N350" s="238" t="b">
        <v>0</v>
      </c>
    </row>
    <row r="351" ht="13.5" customHeight="1">
      <c r="A351" s="68"/>
      <c r="B351" s="239" t="s">
        <v>49</v>
      </c>
      <c r="C351" s="232" t="s">
        <v>34</v>
      </c>
      <c r="D351" s="108"/>
      <c r="E351" s="256"/>
      <c r="F351" s="257"/>
      <c r="G351" s="257"/>
      <c r="H351" s="257"/>
      <c r="I351" s="257"/>
      <c r="J351" s="257"/>
      <c r="K351" s="243" t="s">
        <v>35</v>
      </c>
      <c r="L351" s="236">
        <f>(E351*E335)+(F351*F335)+(G351*G335)+(H351*H335)+(I351*I335)+(J351*J335)</f>
        <v>0</v>
      </c>
      <c r="M351" s="237" t="s">
        <v>36</v>
      </c>
      <c r="N351" s="238" t="b">
        <v>0</v>
      </c>
    </row>
    <row r="352" ht="13.5" customHeight="1">
      <c r="A352" s="80"/>
      <c r="B352" s="245" t="str">
        <f>IFS(L352=0,"",B352&lt;&gt;"",B352,TRUE,NOW())</f>
        <v/>
      </c>
      <c r="C352" s="232" t="s">
        <v>37</v>
      </c>
      <c r="D352" s="108"/>
      <c r="E352" s="258"/>
      <c r="F352" s="258"/>
      <c r="G352" s="258"/>
      <c r="H352" s="258"/>
      <c r="I352" s="258"/>
      <c r="J352" s="258"/>
      <c r="K352" s="248" t="s">
        <v>38</v>
      </c>
      <c r="L352" s="249">
        <f>L351-L350</f>
        <v>0</v>
      </c>
      <c r="M352" s="250" t="s">
        <v>39</v>
      </c>
      <c r="N352" s="260" t="b">
        <v>0</v>
      </c>
    </row>
    <row r="353" ht="13.5" customHeight="1">
      <c r="A353" s="261" t="s">
        <v>105</v>
      </c>
      <c r="B353" s="209" t="s">
        <v>20</v>
      </c>
      <c r="C353" s="24"/>
      <c r="D353" s="33"/>
      <c r="E353" s="262">
        <f t="shared" ref="E353:J353" si="96">E6</f>
        <v>16</v>
      </c>
      <c r="F353" s="262">
        <f t="shared" si="96"/>
        <v>26</v>
      </c>
      <c r="G353" s="263">
        <f t="shared" si="96"/>
        <v>26</v>
      </c>
      <c r="H353" s="264">
        <f t="shared" si="96"/>
        <v>26</v>
      </c>
      <c r="I353" s="213">
        <f t="shared" si="96"/>
        <v>31</v>
      </c>
      <c r="J353" s="263">
        <f t="shared" si="96"/>
        <v>36</v>
      </c>
      <c r="K353" s="214" t="s">
        <v>21</v>
      </c>
      <c r="L353" s="25"/>
      <c r="M353" s="215" t="s">
        <v>22</v>
      </c>
      <c r="N353" s="10"/>
    </row>
    <row r="354" ht="18.0" customHeight="1">
      <c r="A354" s="216" t="s">
        <v>23</v>
      </c>
      <c r="B354" s="217" t="s">
        <v>24</v>
      </c>
      <c r="C354" s="218" t="s">
        <v>25</v>
      </c>
      <c r="D354" s="117"/>
      <c r="E354" s="219"/>
      <c r="F354" s="219"/>
      <c r="G354" s="219"/>
      <c r="H354" s="219"/>
      <c r="I354" s="220"/>
      <c r="J354" s="219"/>
      <c r="K354" s="49"/>
      <c r="L354" s="25"/>
      <c r="M354" s="50"/>
      <c r="N354" s="10"/>
    </row>
    <row r="355" ht="13.5" customHeight="1">
      <c r="A355" s="221"/>
      <c r="B355" s="222" t="s">
        <v>106</v>
      </c>
      <c r="C355" s="223" t="s">
        <v>27</v>
      </c>
      <c r="D355" s="224"/>
      <c r="E355" s="225">
        <f t="shared" ref="E355:J355" si="97">E354-E356</f>
        <v>0</v>
      </c>
      <c r="F355" s="225">
        <f t="shared" si="97"/>
        <v>0</v>
      </c>
      <c r="G355" s="225">
        <f t="shared" si="97"/>
        <v>0</v>
      </c>
      <c r="H355" s="225">
        <f t="shared" si="97"/>
        <v>0</v>
      </c>
      <c r="I355" s="225">
        <f t="shared" si="97"/>
        <v>0</v>
      </c>
      <c r="J355" s="226">
        <f t="shared" si="97"/>
        <v>0</v>
      </c>
      <c r="K355" s="227"/>
      <c r="L355" s="30"/>
      <c r="M355" s="228" t="s">
        <v>28</v>
      </c>
      <c r="N355" s="229" t="b">
        <v>0</v>
      </c>
    </row>
    <row r="356" ht="13.5" customHeight="1">
      <c r="A356" s="230" t="s">
        <v>29</v>
      </c>
      <c r="B356" s="231"/>
      <c r="C356" s="232" t="s">
        <v>30</v>
      </c>
      <c r="D356" s="108"/>
      <c r="E356" s="233"/>
      <c r="F356" s="233"/>
      <c r="G356" s="233"/>
      <c r="H356" s="233"/>
      <c r="I356" s="234"/>
      <c r="J356" s="233"/>
      <c r="K356" s="235" t="s">
        <v>30</v>
      </c>
      <c r="L356" s="236">
        <f>(E356*E353)+(F356*F353)+(G356*G353)+(H356*H353)+(I356*I353)+(J356*J353)</f>
        <v>0</v>
      </c>
      <c r="M356" s="237" t="s">
        <v>31</v>
      </c>
      <c r="N356" s="238" t="b">
        <v>0</v>
      </c>
    </row>
    <row r="357" ht="13.5" customHeight="1">
      <c r="A357" s="221"/>
      <c r="B357" s="239" t="s">
        <v>33</v>
      </c>
      <c r="C357" s="232" t="s">
        <v>34</v>
      </c>
      <c r="D357" s="108"/>
      <c r="E357" s="240"/>
      <c r="F357" s="241"/>
      <c r="G357" s="241"/>
      <c r="H357" s="241"/>
      <c r="I357" s="242"/>
      <c r="J357" s="241"/>
      <c r="K357" s="243" t="s">
        <v>35</v>
      </c>
      <c r="L357" s="236">
        <f>(E357*E353)+(F357*F353)+(G357*G353)+(H357*H353)+(I357*I353)+(J357*J353)</f>
        <v>0</v>
      </c>
      <c r="M357" s="244" t="s">
        <v>36</v>
      </c>
      <c r="N357" s="238" t="b">
        <v>0</v>
      </c>
    </row>
    <row r="358" ht="13.5" customHeight="1">
      <c r="A358" s="68"/>
      <c r="B358" s="245" t="str">
        <f>IFS(L358=0,"",B358&lt;&gt;"",B358,TRUE,NOW())</f>
        <v/>
      </c>
      <c r="C358" s="232" t="s">
        <v>37</v>
      </c>
      <c r="D358" s="108"/>
      <c r="E358" s="246"/>
      <c r="F358" s="246"/>
      <c r="G358" s="246"/>
      <c r="H358" s="246"/>
      <c r="I358" s="247"/>
      <c r="J358" s="246"/>
      <c r="K358" s="248" t="s">
        <v>38</v>
      </c>
      <c r="L358" s="249">
        <f>L357-L356</f>
        <v>0</v>
      </c>
      <c r="M358" s="250" t="s">
        <v>39</v>
      </c>
      <c r="N358" s="238" t="b">
        <v>0</v>
      </c>
    </row>
    <row r="359" ht="13.5" customHeight="1">
      <c r="A359" s="230" t="s">
        <v>40</v>
      </c>
      <c r="B359" s="222" t="s">
        <v>106</v>
      </c>
      <c r="C359" s="223" t="s">
        <v>27</v>
      </c>
      <c r="D359" s="224"/>
      <c r="E359" s="225">
        <f t="shared" ref="E359:J359" si="98">E357-E360</f>
        <v>0</v>
      </c>
      <c r="F359" s="225">
        <f t="shared" si="98"/>
        <v>0</v>
      </c>
      <c r="G359" s="225">
        <f t="shared" si="98"/>
        <v>0</v>
      </c>
      <c r="H359" s="225">
        <f t="shared" si="98"/>
        <v>0</v>
      </c>
      <c r="I359" s="225">
        <f t="shared" si="98"/>
        <v>0</v>
      </c>
      <c r="J359" s="226">
        <f t="shared" si="98"/>
        <v>0</v>
      </c>
      <c r="K359" s="227"/>
      <c r="L359" s="30"/>
      <c r="M359" s="228" t="s">
        <v>28</v>
      </c>
      <c r="N359" s="229" t="b">
        <v>0</v>
      </c>
    </row>
    <row r="360" ht="13.5" customHeight="1">
      <c r="A360" s="221"/>
      <c r="B360" s="231"/>
      <c r="C360" s="232" t="s">
        <v>30</v>
      </c>
      <c r="D360" s="108"/>
      <c r="E360" s="233"/>
      <c r="F360" s="233"/>
      <c r="G360" s="233"/>
      <c r="H360" s="233"/>
      <c r="I360" s="234"/>
      <c r="J360" s="251"/>
      <c r="K360" s="235" t="s">
        <v>30</v>
      </c>
      <c r="L360" s="236">
        <f>(E360*E353)+(F360*F353)+(G360*G353)+(H360*H353)+(I360*I353)+(J360*J353)</f>
        <v>0</v>
      </c>
      <c r="M360" s="237" t="s">
        <v>31</v>
      </c>
      <c r="N360" s="238" t="b">
        <v>0</v>
      </c>
    </row>
    <row r="361" ht="15.0" customHeight="1">
      <c r="A361" s="68"/>
      <c r="B361" s="239" t="s">
        <v>42</v>
      </c>
      <c r="C361" s="232" t="s">
        <v>34</v>
      </c>
      <c r="D361" s="108"/>
      <c r="E361" s="240"/>
      <c r="F361" s="241"/>
      <c r="G361" s="241"/>
      <c r="H361" s="241"/>
      <c r="I361" s="242"/>
      <c r="J361" s="252"/>
      <c r="K361" s="243" t="s">
        <v>35</v>
      </c>
      <c r="L361" s="236">
        <f>(E361*E353)+(F361*F353)+(G361*G353)+(H361*H353)+(I361*I353)+(J361*J353)</f>
        <v>0</v>
      </c>
      <c r="M361" s="237" t="s">
        <v>36</v>
      </c>
      <c r="N361" s="238" t="b">
        <v>0</v>
      </c>
    </row>
    <row r="362" ht="13.5" customHeight="1">
      <c r="A362" s="230" t="s">
        <v>43</v>
      </c>
      <c r="B362" s="245" t="str">
        <f>IFS(L362=0,"",B362&lt;&gt;"",B362,TRUE,NOW())</f>
        <v/>
      </c>
      <c r="C362" s="232" t="s">
        <v>37</v>
      </c>
      <c r="D362" s="108"/>
      <c r="E362" s="246"/>
      <c r="F362" s="246"/>
      <c r="G362" s="246"/>
      <c r="H362" s="246"/>
      <c r="I362" s="247"/>
      <c r="J362" s="253"/>
      <c r="K362" s="248" t="s">
        <v>38</v>
      </c>
      <c r="L362" s="249">
        <f>L361-L360</f>
        <v>0</v>
      </c>
      <c r="M362" s="250" t="s">
        <v>39</v>
      </c>
      <c r="N362" s="238" t="b">
        <v>0</v>
      </c>
    </row>
    <row r="363" ht="13.5" customHeight="1">
      <c r="A363" s="230"/>
      <c r="B363" s="222" t="s">
        <v>106</v>
      </c>
      <c r="C363" s="223" t="s">
        <v>27</v>
      </c>
      <c r="D363" s="224"/>
      <c r="E363" s="254">
        <f t="shared" ref="E363:J363" si="99">E361-E364</f>
        <v>0</v>
      </c>
      <c r="F363" s="254">
        <f t="shared" si="99"/>
        <v>0</v>
      </c>
      <c r="G363" s="254">
        <f t="shared" si="99"/>
        <v>0</v>
      </c>
      <c r="H363" s="254">
        <f t="shared" si="99"/>
        <v>0</v>
      </c>
      <c r="I363" s="254">
        <f t="shared" si="99"/>
        <v>0</v>
      </c>
      <c r="J363" s="254">
        <f t="shared" si="99"/>
        <v>0</v>
      </c>
      <c r="K363" s="227"/>
      <c r="L363" s="30"/>
      <c r="M363" s="228" t="s">
        <v>28</v>
      </c>
      <c r="N363" s="229" t="b">
        <v>0</v>
      </c>
    </row>
    <row r="364" ht="13.5" customHeight="1">
      <c r="A364" s="230" t="s">
        <v>45</v>
      </c>
      <c r="B364" s="231"/>
      <c r="C364" s="232" t="s">
        <v>30</v>
      </c>
      <c r="D364" s="108"/>
      <c r="E364" s="255"/>
      <c r="F364" s="255"/>
      <c r="G364" s="255"/>
      <c r="H364" s="255"/>
      <c r="I364" s="255"/>
      <c r="J364" s="255"/>
      <c r="K364" s="235" t="s">
        <v>30</v>
      </c>
      <c r="L364" s="236">
        <f>(E364*E353)+(F364*F353)+(G364*G353)+(H364*H353)+(I364*I353)+(J364*J353)</f>
        <v>0</v>
      </c>
      <c r="M364" s="237" t="s">
        <v>31</v>
      </c>
      <c r="N364" s="238" t="b">
        <v>0</v>
      </c>
    </row>
    <row r="365" ht="13.5" customHeight="1">
      <c r="A365" s="221"/>
      <c r="B365" s="239" t="s">
        <v>47</v>
      </c>
      <c r="C365" s="232" t="s">
        <v>34</v>
      </c>
      <c r="D365" s="108"/>
      <c r="E365" s="256"/>
      <c r="F365" s="257"/>
      <c r="G365" s="257"/>
      <c r="H365" s="257"/>
      <c r="I365" s="257"/>
      <c r="J365" s="257"/>
      <c r="K365" s="243" t="s">
        <v>35</v>
      </c>
      <c r="L365" s="236">
        <f>(E365*E353)+(F365*F353)+(G365*G353)+(H365*H353)+(I365*I353)+(J365*J353)</f>
        <v>0</v>
      </c>
      <c r="M365" s="237" t="s">
        <v>36</v>
      </c>
      <c r="N365" s="238" t="b">
        <v>0</v>
      </c>
    </row>
    <row r="366" ht="15.0" customHeight="1">
      <c r="A366" s="68"/>
      <c r="B366" s="245" t="str">
        <f>IFS(L366=0,"",B366&lt;&gt;"",B366,TRUE,NOW())</f>
        <v/>
      </c>
      <c r="C366" s="232" t="s">
        <v>37</v>
      </c>
      <c r="D366" s="108"/>
      <c r="E366" s="258"/>
      <c r="F366" s="258"/>
      <c r="G366" s="258"/>
      <c r="H366" s="258"/>
      <c r="I366" s="258"/>
      <c r="J366" s="258"/>
      <c r="K366" s="248" t="s">
        <v>38</v>
      </c>
      <c r="L366" s="249">
        <f>L365-L364</f>
        <v>0</v>
      </c>
      <c r="M366" s="250" t="s">
        <v>39</v>
      </c>
      <c r="N366" s="238" t="b">
        <v>0</v>
      </c>
    </row>
    <row r="367" ht="13.5" customHeight="1">
      <c r="A367" s="259" t="s">
        <v>48</v>
      </c>
      <c r="B367" s="222" t="s">
        <v>106</v>
      </c>
      <c r="C367" s="223" t="s">
        <v>27</v>
      </c>
      <c r="D367" s="224"/>
      <c r="E367" s="254">
        <f t="shared" ref="E367:J367" si="100">E365-E368</f>
        <v>0</v>
      </c>
      <c r="F367" s="254">
        <f t="shared" si="100"/>
        <v>0</v>
      </c>
      <c r="G367" s="254">
        <f t="shared" si="100"/>
        <v>0</v>
      </c>
      <c r="H367" s="254">
        <f t="shared" si="100"/>
        <v>0</v>
      </c>
      <c r="I367" s="254">
        <f t="shared" si="100"/>
        <v>0</v>
      </c>
      <c r="J367" s="254">
        <f t="shared" si="100"/>
        <v>0</v>
      </c>
      <c r="K367" s="227"/>
      <c r="L367" s="30"/>
      <c r="M367" s="228" t="s">
        <v>28</v>
      </c>
      <c r="N367" s="229" t="b">
        <v>0</v>
      </c>
    </row>
    <row r="368" ht="13.5" customHeight="1">
      <c r="A368" s="87"/>
      <c r="B368" s="231"/>
      <c r="C368" s="232" t="s">
        <v>30</v>
      </c>
      <c r="D368" s="108"/>
      <c r="E368" s="255"/>
      <c r="F368" s="255"/>
      <c r="G368" s="255"/>
      <c r="H368" s="255"/>
      <c r="I368" s="255"/>
      <c r="J368" s="255"/>
      <c r="K368" s="235" t="s">
        <v>30</v>
      </c>
      <c r="L368" s="236">
        <f>(E368*E353)+(F368*F353)+(G368*G353)+(H368*H353)+(I368*I353)+(J368*J353)</f>
        <v>0</v>
      </c>
      <c r="M368" s="237" t="s">
        <v>31</v>
      </c>
      <c r="N368" s="238" t="b">
        <v>0</v>
      </c>
    </row>
    <row r="369" ht="13.5" customHeight="1">
      <c r="A369" s="68"/>
      <c r="B369" s="239" t="s">
        <v>49</v>
      </c>
      <c r="C369" s="232" t="s">
        <v>34</v>
      </c>
      <c r="D369" s="108"/>
      <c r="E369" s="256"/>
      <c r="F369" s="257"/>
      <c r="G369" s="257"/>
      <c r="H369" s="257"/>
      <c r="I369" s="257"/>
      <c r="J369" s="257"/>
      <c r="K369" s="243" t="s">
        <v>35</v>
      </c>
      <c r="L369" s="236">
        <f>(E369*E353)+(F369*F353)+(G369*G353)+(H369*H353)+(I369*I353)+(J369*J353)</f>
        <v>0</v>
      </c>
      <c r="M369" s="237" t="s">
        <v>36</v>
      </c>
      <c r="N369" s="238" t="b">
        <v>0</v>
      </c>
    </row>
    <row r="370" ht="13.5" customHeight="1">
      <c r="A370" s="80"/>
      <c r="B370" s="245" t="str">
        <f>IFS(L370=0,"",B370&lt;&gt;"",B370,TRUE,NOW())</f>
        <v/>
      </c>
      <c r="C370" s="232" t="s">
        <v>37</v>
      </c>
      <c r="D370" s="108"/>
      <c r="E370" s="258"/>
      <c r="F370" s="258"/>
      <c r="G370" s="258"/>
      <c r="H370" s="258"/>
      <c r="I370" s="258"/>
      <c r="J370" s="258"/>
      <c r="K370" s="248" t="s">
        <v>38</v>
      </c>
      <c r="L370" s="249">
        <f>L369-L368</f>
        <v>0</v>
      </c>
      <c r="M370" s="250" t="s">
        <v>39</v>
      </c>
      <c r="N370" s="260" t="b">
        <v>0</v>
      </c>
    </row>
    <row r="371" ht="18.75" customHeight="1">
      <c r="A371" s="261" t="s">
        <v>107</v>
      </c>
      <c r="B371" s="209" t="s">
        <v>20</v>
      </c>
      <c r="C371" s="24"/>
      <c r="D371" s="33"/>
      <c r="E371" s="262">
        <f t="shared" ref="E371:J371" si="101">E6</f>
        <v>16</v>
      </c>
      <c r="F371" s="262">
        <f t="shared" si="101"/>
        <v>26</v>
      </c>
      <c r="G371" s="263">
        <f t="shared" si="101"/>
        <v>26</v>
      </c>
      <c r="H371" s="264">
        <f t="shared" si="101"/>
        <v>26</v>
      </c>
      <c r="I371" s="213">
        <f t="shared" si="101"/>
        <v>31</v>
      </c>
      <c r="J371" s="263">
        <f t="shared" si="101"/>
        <v>36</v>
      </c>
      <c r="K371" s="214" t="s">
        <v>21</v>
      </c>
      <c r="L371" s="25"/>
      <c r="M371" s="215" t="s">
        <v>22</v>
      </c>
      <c r="N371" s="10"/>
    </row>
    <row r="372" ht="13.5" customHeight="1">
      <c r="A372" s="216" t="s">
        <v>23</v>
      </c>
      <c r="B372" s="217" t="s">
        <v>24</v>
      </c>
      <c r="C372" s="218" t="s">
        <v>25</v>
      </c>
      <c r="D372" s="117"/>
      <c r="E372" s="219"/>
      <c r="F372" s="219"/>
      <c r="G372" s="219"/>
      <c r="H372" s="219"/>
      <c r="I372" s="220"/>
      <c r="J372" s="219"/>
      <c r="K372" s="49"/>
      <c r="L372" s="25"/>
      <c r="M372" s="50"/>
      <c r="N372" s="10"/>
    </row>
    <row r="373" ht="13.5" customHeight="1">
      <c r="A373" s="221"/>
      <c r="B373" s="222" t="s">
        <v>108</v>
      </c>
      <c r="C373" s="223" t="s">
        <v>27</v>
      </c>
      <c r="D373" s="224"/>
      <c r="E373" s="225">
        <f t="shared" ref="E373:J373" si="102">E372-E374</f>
        <v>0</v>
      </c>
      <c r="F373" s="225">
        <f t="shared" si="102"/>
        <v>0</v>
      </c>
      <c r="G373" s="225">
        <f t="shared" si="102"/>
        <v>0</v>
      </c>
      <c r="H373" s="225">
        <f t="shared" si="102"/>
        <v>0</v>
      </c>
      <c r="I373" s="225">
        <f t="shared" si="102"/>
        <v>0</v>
      </c>
      <c r="J373" s="226">
        <f t="shared" si="102"/>
        <v>0</v>
      </c>
      <c r="K373" s="227"/>
      <c r="L373" s="30"/>
      <c r="M373" s="228" t="s">
        <v>28</v>
      </c>
      <c r="N373" s="229" t="b">
        <v>0</v>
      </c>
    </row>
    <row r="374" ht="13.5" customHeight="1">
      <c r="A374" s="230" t="s">
        <v>29</v>
      </c>
      <c r="B374" s="231"/>
      <c r="C374" s="232" t="s">
        <v>30</v>
      </c>
      <c r="D374" s="108"/>
      <c r="E374" s="233"/>
      <c r="F374" s="233"/>
      <c r="G374" s="233"/>
      <c r="H374" s="233"/>
      <c r="I374" s="234"/>
      <c r="J374" s="233"/>
      <c r="K374" s="235" t="s">
        <v>30</v>
      </c>
      <c r="L374" s="236">
        <f>(E374*E371)+(F374*F371)+(G374*G371)+(H374*H371)+(I374*I371)+(J374*J371)</f>
        <v>0</v>
      </c>
      <c r="M374" s="237" t="s">
        <v>31</v>
      </c>
      <c r="N374" s="238" t="b">
        <v>0</v>
      </c>
    </row>
    <row r="375" ht="13.5" customHeight="1">
      <c r="A375" s="221"/>
      <c r="B375" s="239" t="s">
        <v>33</v>
      </c>
      <c r="C375" s="232" t="s">
        <v>34</v>
      </c>
      <c r="D375" s="108"/>
      <c r="E375" s="240"/>
      <c r="F375" s="241"/>
      <c r="G375" s="241"/>
      <c r="H375" s="241"/>
      <c r="I375" s="242"/>
      <c r="J375" s="241"/>
      <c r="K375" s="243" t="s">
        <v>35</v>
      </c>
      <c r="L375" s="236">
        <f>(E375*E371)+(F375*F371)+(G375*G371)+(H375*H371)+(I375*I371)+(J375*J371)</f>
        <v>0</v>
      </c>
      <c r="M375" s="244" t="s">
        <v>36</v>
      </c>
      <c r="N375" s="238" t="b">
        <v>0</v>
      </c>
    </row>
    <row r="376" ht="15.0" customHeight="1">
      <c r="A376" s="68"/>
      <c r="B376" s="245" t="str">
        <f>IFS(L376=0,"",B376&lt;&gt;"",B376,TRUE,NOW())</f>
        <v/>
      </c>
      <c r="C376" s="232" t="s">
        <v>37</v>
      </c>
      <c r="D376" s="108"/>
      <c r="E376" s="246"/>
      <c r="F376" s="246"/>
      <c r="G376" s="246"/>
      <c r="H376" s="246"/>
      <c r="I376" s="247"/>
      <c r="J376" s="246"/>
      <c r="K376" s="248" t="s">
        <v>38</v>
      </c>
      <c r="L376" s="249">
        <f>L375-L374</f>
        <v>0</v>
      </c>
      <c r="M376" s="250" t="s">
        <v>39</v>
      </c>
      <c r="N376" s="238" t="b">
        <v>0</v>
      </c>
    </row>
    <row r="377" ht="13.5" customHeight="1">
      <c r="A377" s="230" t="s">
        <v>40</v>
      </c>
      <c r="B377" s="222" t="s">
        <v>108</v>
      </c>
      <c r="C377" s="223" t="s">
        <v>27</v>
      </c>
      <c r="D377" s="224"/>
      <c r="E377" s="225">
        <f t="shared" ref="E377:J377" si="103">E375-E378</f>
        <v>0</v>
      </c>
      <c r="F377" s="225">
        <f t="shared" si="103"/>
        <v>0</v>
      </c>
      <c r="G377" s="225">
        <f t="shared" si="103"/>
        <v>0</v>
      </c>
      <c r="H377" s="225">
        <f t="shared" si="103"/>
        <v>0</v>
      </c>
      <c r="I377" s="225">
        <f t="shared" si="103"/>
        <v>0</v>
      </c>
      <c r="J377" s="226">
        <f t="shared" si="103"/>
        <v>0</v>
      </c>
      <c r="K377" s="227"/>
      <c r="L377" s="30"/>
      <c r="M377" s="228" t="s">
        <v>28</v>
      </c>
      <c r="N377" s="229" t="b">
        <v>0</v>
      </c>
    </row>
    <row r="378" ht="13.5" customHeight="1">
      <c r="A378" s="221"/>
      <c r="B378" s="231"/>
      <c r="C378" s="232" t="s">
        <v>30</v>
      </c>
      <c r="D378" s="108"/>
      <c r="E378" s="233"/>
      <c r="F378" s="233"/>
      <c r="G378" s="233"/>
      <c r="H378" s="233"/>
      <c r="I378" s="234"/>
      <c r="J378" s="251"/>
      <c r="K378" s="235" t="s">
        <v>30</v>
      </c>
      <c r="L378" s="236">
        <f>(E378*E371)+(F378*F371)+(G378*G371)+(H378*H371)+(I378*I371)+(J378*J371)</f>
        <v>0</v>
      </c>
      <c r="M378" s="237" t="s">
        <v>31</v>
      </c>
      <c r="N378" s="238" t="b">
        <v>0</v>
      </c>
    </row>
    <row r="379" ht="13.5" customHeight="1">
      <c r="A379" s="68"/>
      <c r="B379" s="239" t="s">
        <v>42</v>
      </c>
      <c r="C379" s="232" t="s">
        <v>34</v>
      </c>
      <c r="D379" s="108"/>
      <c r="E379" s="240"/>
      <c r="F379" s="241"/>
      <c r="G379" s="241"/>
      <c r="H379" s="241"/>
      <c r="I379" s="242"/>
      <c r="J379" s="252"/>
      <c r="K379" s="243" t="s">
        <v>35</v>
      </c>
      <c r="L379" s="236">
        <f>(E379*E371)+(F379*F371)+(G379*G371)+(H379*H371)+(I379*I371)+(J379*J371)</f>
        <v>0</v>
      </c>
      <c r="M379" s="237" t="s">
        <v>36</v>
      </c>
      <c r="N379" s="238" t="b">
        <v>0</v>
      </c>
    </row>
    <row r="380" ht="13.5" customHeight="1">
      <c r="A380" s="230" t="s">
        <v>43</v>
      </c>
      <c r="B380" s="245" t="str">
        <f>IFS(L380=0,"",B380&lt;&gt;"",B380,TRUE,NOW())</f>
        <v/>
      </c>
      <c r="C380" s="232" t="s">
        <v>37</v>
      </c>
      <c r="D380" s="108"/>
      <c r="E380" s="246"/>
      <c r="F380" s="246"/>
      <c r="G380" s="246"/>
      <c r="H380" s="246"/>
      <c r="I380" s="247"/>
      <c r="J380" s="253"/>
      <c r="K380" s="248" t="s">
        <v>38</v>
      </c>
      <c r="L380" s="249">
        <f>L379-L378</f>
        <v>0</v>
      </c>
      <c r="M380" s="250" t="s">
        <v>39</v>
      </c>
      <c r="N380" s="238" t="b">
        <v>0</v>
      </c>
    </row>
    <row r="381" ht="13.5" customHeight="1">
      <c r="A381" s="230"/>
      <c r="B381" s="222" t="s">
        <v>108</v>
      </c>
      <c r="C381" s="223" t="s">
        <v>27</v>
      </c>
      <c r="D381" s="224"/>
      <c r="E381" s="254">
        <f t="shared" ref="E381:J381" si="104">E379-E382</f>
        <v>0</v>
      </c>
      <c r="F381" s="254">
        <f t="shared" si="104"/>
        <v>0</v>
      </c>
      <c r="G381" s="254">
        <f t="shared" si="104"/>
        <v>0</v>
      </c>
      <c r="H381" s="254">
        <f t="shared" si="104"/>
        <v>0</v>
      </c>
      <c r="I381" s="254">
        <f t="shared" si="104"/>
        <v>0</v>
      </c>
      <c r="J381" s="254">
        <f t="shared" si="104"/>
        <v>0</v>
      </c>
      <c r="K381" s="227"/>
      <c r="L381" s="30"/>
      <c r="M381" s="228" t="s">
        <v>28</v>
      </c>
      <c r="N381" s="229" t="b">
        <v>0</v>
      </c>
    </row>
    <row r="382" ht="13.5" customHeight="1">
      <c r="A382" s="230" t="s">
        <v>45</v>
      </c>
      <c r="B382" s="231"/>
      <c r="C382" s="232" t="s">
        <v>30</v>
      </c>
      <c r="D382" s="108"/>
      <c r="E382" s="255"/>
      <c r="F382" s="255"/>
      <c r="G382" s="255"/>
      <c r="H382" s="255"/>
      <c r="I382" s="255"/>
      <c r="J382" s="255"/>
      <c r="K382" s="235" t="s">
        <v>30</v>
      </c>
      <c r="L382" s="236">
        <f>(E382*E371)+(F382*F371)+(G382*G371)+(H382*H371)+(I382*I371)+(J382*J371)</f>
        <v>0</v>
      </c>
      <c r="M382" s="237" t="s">
        <v>31</v>
      </c>
      <c r="N382" s="238" t="b">
        <v>0</v>
      </c>
    </row>
    <row r="383" ht="17.25" customHeight="1">
      <c r="A383" s="221"/>
      <c r="B383" s="239" t="s">
        <v>47</v>
      </c>
      <c r="C383" s="232" t="s">
        <v>34</v>
      </c>
      <c r="D383" s="108"/>
      <c r="E383" s="256"/>
      <c r="F383" s="257"/>
      <c r="G383" s="257"/>
      <c r="H383" s="257"/>
      <c r="I383" s="257"/>
      <c r="J383" s="257"/>
      <c r="K383" s="243" t="s">
        <v>35</v>
      </c>
      <c r="L383" s="236">
        <f>(E383*E371)+(F383*F371)+(G383*G371)+(H383*H371)+(I383*I371)+(J383*J371)</f>
        <v>0</v>
      </c>
      <c r="M383" s="237" t="s">
        <v>36</v>
      </c>
      <c r="N383" s="238" t="b">
        <v>0</v>
      </c>
    </row>
    <row r="384" ht="13.5" customHeight="1">
      <c r="A384" s="68"/>
      <c r="B384" s="245" t="str">
        <f>IFS(L384=0,"",B384&lt;&gt;"",B384,TRUE,NOW())</f>
        <v/>
      </c>
      <c r="C384" s="232" t="s">
        <v>37</v>
      </c>
      <c r="D384" s="108"/>
      <c r="E384" s="258"/>
      <c r="F384" s="258"/>
      <c r="G384" s="258"/>
      <c r="H384" s="258"/>
      <c r="I384" s="258"/>
      <c r="J384" s="258"/>
      <c r="K384" s="248" t="s">
        <v>38</v>
      </c>
      <c r="L384" s="249">
        <f>L383-L382</f>
        <v>0</v>
      </c>
      <c r="M384" s="250" t="s">
        <v>39</v>
      </c>
      <c r="N384" s="238" t="b">
        <v>0</v>
      </c>
    </row>
    <row r="385" ht="13.5" customHeight="1">
      <c r="A385" s="259" t="s">
        <v>48</v>
      </c>
      <c r="B385" s="222" t="s">
        <v>108</v>
      </c>
      <c r="C385" s="223" t="s">
        <v>27</v>
      </c>
      <c r="D385" s="224"/>
      <c r="E385" s="254">
        <f t="shared" ref="E385:J385" si="105">E383-E386</f>
        <v>0</v>
      </c>
      <c r="F385" s="254">
        <f t="shared" si="105"/>
        <v>0</v>
      </c>
      <c r="G385" s="254">
        <f t="shared" si="105"/>
        <v>0</v>
      </c>
      <c r="H385" s="254">
        <f t="shared" si="105"/>
        <v>0</v>
      </c>
      <c r="I385" s="254">
        <f t="shared" si="105"/>
        <v>0</v>
      </c>
      <c r="J385" s="254">
        <f t="shared" si="105"/>
        <v>0</v>
      </c>
      <c r="K385" s="227"/>
      <c r="L385" s="30"/>
      <c r="M385" s="228" t="s">
        <v>28</v>
      </c>
      <c r="N385" s="229" t="b">
        <v>0</v>
      </c>
    </row>
    <row r="386" ht="13.5" customHeight="1">
      <c r="A386" s="87"/>
      <c r="B386" s="231"/>
      <c r="C386" s="232" t="s">
        <v>30</v>
      </c>
      <c r="D386" s="108"/>
      <c r="E386" s="255"/>
      <c r="F386" s="255"/>
      <c r="G386" s="255"/>
      <c r="H386" s="255"/>
      <c r="I386" s="255"/>
      <c r="J386" s="255"/>
      <c r="K386" s="235" t="s">
        <v>30</v>
      </c>
      <c r="L386" s="236">
        <f>(E386*E371)+(F386*F371)+(G386*G371)+(H386*H371)+(I386*I371)+(J386*J371)</f>
        <v>0</v>
      </c>
      <c r="M386" s="237" t="s">
        <v>31</v>
      </c>
      <c r="N386" s="238" t="b">
        <v>0</v>
      </c>
    </row>
    <row r="387" ht="13.5" customHeight="1">
      <c r="A387" s="68"/>
      <c r="B387" s="239" t="s">
        <v>49</v>
      </c>
      <c r="C387" s="232" t="s">
        <v>34</v>
      </c>
      <c r="D387" s="108"/>
      <c r="E387" s="256"/>
      <c r="F387" s="257"/>
      <c r="G387" s="257"/>
      <c r="H387" s="257"/>
      <c r="I387" s="257"/>
      <c r="J387" s="257"/>
      <c r="K387" s="243" t="s">
        <v>35</v>
      </c>
      <c r="L387" s="236">
        <f>(E387*E371)+(F387*F371)+(G387*G371)+(H387*H371)+(I387*I371)+(J387*J371)</f>
        <v>0</v>
      </c>
      <c r="M387" s="237" t="s">
        <v>36</v>
      </c>
      <c r="N387" s="238" t="b">
        <v>0</v>
      </c>
    </row>
    <row r="388" ht="15.0" customHeight="1">
      <c r="A388" s="80"/>
      <c r="B388" s="245" t="str">
        <f>IFS(L388=0,"",B388&lt;&gt;"",B388,TRUE,NOW())</f>
        <v/>
      </c>
      <c r="C388" s="232" t="s">
        <v>37</v>
      </c>
      <c r="D388" s="108"/>
      <c r="E388" s="258"/>
      <c r="F388" s="258"/>
      <c r="G388" s="258"/>
      <c r="H388" s="258"/>
      <c r="I388" s="258"/>
      <c r="J388" s="258"/>
      <c r="K388" s="248" t="s">
        <v>38</v>
      </c>
      <c r="L388" s="249">
        <f>L387-L386</f>
        <v>0</v>
      </c>
      <c r="M388" s="250" t="s">
        <v>39</v>
      </c>
      <c r="N388" s="260" t="b">
        <v>0</v>
      </c>
    </row>
    <row r="389" ht="13.5" customHeight="1">
      <c r="A389" s="261" t="s">
        <v>109</v>
      </c>
      <c r="B389" s="209" t="s">
        <v>20</v>
      </c>
      <c r="C389" s="24"/>
      <c r="D389" s="33"/>
      <c r="E389" s="262">
        <f t="shared" ref="E389:J389" si="106">E6</f>
        <v>16</v>
      </c>
      <c r="F389" s="262">
        <f t="shared" si="106"/>
        <v>26</v>
      </c>
      <c r="G389" s="263">
        <f t="shared" si="106"/>
        <v>26</v>
      </c>
      <c r="H389" s="264">
        <f t="shared" si="106"/>
        <v>26</v>
      </c>
      <c r="I389" s="213">
        <f t="shared" si="106"/>
        <v>31</v>
      </c>
      <c r="J389" s="263">
        <f t="shared" si="106"/>
        <v>36</v>
      </c>
      <c r="K389" s="214" t="s">
        <v>21</v>
      </c>
      <c r="L389" s="25"/>
      <c r="M389" s="215" t="s">
        <v>22</v>
      </c>
      <c r="N389" s="10"/>
    </row>
    <row r="390" ht="13.5" customHeight="1">
      <c r="A390" s="216" t="s">
        <v>23</v>
      </c>
      <c r="B390" s="217" t="s">
        <v>24</v>
      </c>
      <c r="C390" s="218" t="s">
        <v>25</v>
      </c>
      <c r="D390" s="117"/>
      <c r="E390" s="219"/>
      <c r="F390" s="219"/>
      <c r="G390" s="219"/>
      <c r="H390" s="219"/>
      <c r="I390" s="220"/>
      <c r="J390" s="219"/>
      <c r="K390" s="49"/>
      <c r="L390" s="25"/>
      <c r="M390" s="50"/>
      <c r="N390" s="10"/>
    </row>
    <row r="391" ht="13.5" customHeight="1">
      <c r="A391" s="221"/>
      <c r="B391" s="222" t="s">
        <v>110</v>
      </c>
      <c r="C391" s="223" t="s">
        <v>27</v>
      </c>
      <c r="D391" s="224"/>
      <c r="E391" s="225">
        <f t="shared" ref="E391:J391" si="107">E390-E392</f>
        <v>0</v>
      </c>
      <c r="F391" s="225">
        <f t="shared" si="107"/>
        <v>0</v>
      </c>
      <c r="G391" s="225">
        <f t="shared" si="107"/>
        <v>0</v>
      </c>
      <c r="H391" s="225">
        <f t="shared" si="107"/>
        <v>0</v>
      </c>
      <c r="I391" s="225">
        <f t="shared" si="107"/>
        <v>0</v>
      </c>
      <c r="J391" s="226">
        <f t="shared" si="107"/>
        <v>0</v>
      </c>
      <c r="K391" s="227"/>
      <c r="L391" s="30"/>
      <c r="M391" s="228" t="s">
        <v>28</v>
      </c>
      <c r="N391" s="229" t="b">
        <v>0</v>
      </c>
    </row>
    <row r="392" ht="13.5" customHeight="1">
      <c r="A392" s="230" t="s">
        <v>29</v>
      </c>
      <c r="B392" s="231"/>
      <c r="C392" s="232" t="s">
        <v>30</v>
      </c>
      <c r="D392" s="108"/>
      <c r="E392" s="233"/>
      <c r="F392" s="233"/>
      <c r="G392" s="233"/>
      <c r="H392" s="233"/>
      <c r="I392" s="234"/>
      <c r="J392" s="233"/>
      <c r="K392" s="235" t="s">
        <v>30</v>
      </c>
      <c r="L392" s="236">
        <f>(E392*E389)+(F392*F389)+(G392*G389)+(H392*H389)+(I392*I389)+(J392*J389)</f>
        <v>0</v>
      </c>
      <c r="M392" s="237" t="s">
        <v>31</v>
      </c>
      <c r="N392" s="238" t="b">
        <v>0</v>
      </c>
    </row>
    <row r="393" ht="16.5" customHeight="1">
      <c r="A393" s="221"/>
      <c r="B393" s="239" t="s">
        <v>33</v>
      </c>
      <c r="C393" s="232" t="s">
        <v>34</v>
      </c>
      <c r="D393" s="108"/>
      <c r="E393" s="240"/>
      <c r="F393" s="241"/>
      <c r="G393" s="241"/>
      <c r="H393" s="241"/>
      <c r="I393" s="242"/>
      <c r="J393" s="241"/>
      <c r="K393" s="243" t="s">
        <v>35</v>
      </c>
      <c r="L393" s="236">
        <f>(E393*E389)+(F393*F389)+(G393*G389)+(H393*H389)+(I393*I389)+(J393*J389)</f>
        <v>0</v>
      </c>
      <c r="M393" s="244" t="s">
        <v>36</v>
      </c>
      <c r="N393" s="238" t="b">
        <v>0</v>
      </c>
    </row>
    <row r="394" ht="13.5" customHeight="1">
      <c r="A394" s="68"/>
      <c r="B394" s="245" t="str">
        <f>IFS(L394=0,"",B394&lt;&gt;"",B394,TRUE,NOW())</f>
        <v/>
      </c>
      <c r="C394" s="232" t="s">
        <v>37</v>
      </c>
      <c r="D394" s="108"/>
      <c r="E394" s="246"/>
      <c r="F394" s="246"/>
      <c r="G394" s="246"/>
      <c r="H394" s="246"/>
      <c r="I394" s="247"/>
      <c r="J394" s="246"/>
      <c r="K394" s="248" t="s">
        <v>38</v>
      </c>
      <c r="L394" s="249">
        <f>L393-L392</f>
        <v>0</v>
      </c>
      <c r="M394" s="250" t="s">
        <v>39</v>
      </c>
      <c r="N394" s="238" t="b">
        <v>0</v>
      </c>
    </row>
    <row r="395" ht="13.5" customHeight="1">
      <c r="A395" s="230" t="s">
        <v>40</v>
      </c>
      <c r="B395" s="222" t="s">
        <v>110</v>
      </c>
      <c r="C395" s="223" t="s">
        <v>27</v>
      </c>
      <c r="D395" s="224"/>
      <c r="E395" s="225">
        <f t="shared" ref="E395:J395" si="108">E393-E396</f>
        <v>0</v>
      </c>
      <c r="F395" s="225">
        <f t="shared" si="108"/>
        <v>0</v>
      </c>
      <c r="G395" s="225">
        <f t="shared" si="108"/>
        <v>0</v>
      </c>
      <c r="H395" s="225">
        <f t="shared" si="108"/>
        <v>0</v>
      </c>
      <c r="I395" s="225">
        <f t="shared" si="108"/>
        <v>0</v>
      </c>
      <c r="J395" s="226">
        <f t="shared" si="108"/>
        <v>0</v>
      </c>
      <c r="K395" s="227"/>
      <c r="L395" s="30"/>
      <c r="M395" s="228" t="s">
        <v>28</v>
      </c>
      <c r="N395" s="229" t="b">
        <v>0</v>
      </c>
    </row>
    <row r="396" ht="13.5" customHeight="1">
      <c r="A396" s="221"/>
      <c r="B396" s="231"/>
      <c r="C396" s="232" t="s">
        <v>30</v>
      </c>
      <c r="D396" s="108"/>
      <c r="E396" s="233"/>
      <c r="F396" s="233"/>
      <c r="G396" s="233"/>
      <c r="H396" s="233"/>
      <c r="I396" s="234"/>
      <c r="J396" s="251"/>
      <c r="K396" s="235" t="s">
        <v>30</v>
      </c>
      <c r="L396" s="236">
        <f>(E396*E389)+(F396*F389)+(G396*G389)+(H396*H389)+(I396*I389)+(J396*J389)</f>
        <v>0</v>
      </c>
      <c r="M396" s="237" t="s">
        <v>31</v>
      </c>
      <c r="N396" s="238" t="b">
        <v>0</v>
      </c>
    </row>
    <row r="397" ht="13.5" customHeight="1">
      <c r="A397" s="68"/>
      <c r="B397" s="239" t="s">
        <v>42</v>
      </c>
      <c r="C397" s="232" t="s">
        <v>34</v>
      </c>
      <c r="D397" s="108"/>
      <c r="E397" s="240"/>
      <c r="F397" s="241"/>
      <c r="G397" s="241"/>
      <c r="H397" s="241"/>
      <c r="I397" s="242"/>
      <c r="J397" s="252"/>
      <c r="K397" s="243" t="s">
        <v>35</v>
      </c>
      <c r="L397" s="236">
        <f>(E397*E389)+(F397*F389)+(G397*G389)+(H397*H389)+(I397*I389)+(J397*J389)</f>
        <v>0</v>
      </c>
      <c r="M397" s="237" t="s">
        <v>36</v>
      </c>
      <c r="N397" s="238" t="b">
        <v>0</v>
      </c>
    </row>
    <row r="398" ht="15.0" customHeight="1">
      <c r="A398" s="230" t="s">
        <v>43</v>
      </c>
      <c r="B398" s="245" t="str">
        <f>IFS(L398=0,"",B398&lt;&gt;"",B398,TRUE,NOW())</f>
        <v/>
      </c>
      <c r="C398" s="232" t="s">
        <v>37</v>
      </c>
      <c r="D398" s="108"/>
      <c r="E398" s="246"/>
      <c r="F398" s="246"/>
      <c r="G398" s="246"/>
      <c r="H398" s="246"/>
      <c r="I398" s="247"/>
      <c r="J398" s="253"/>
      <c r="K398" s="248" t="s">
        <v>38</v>
      </c>
      <c r="L398" s="249">
        <f>L397-L396</f>
        <v>0</v>
      </c>
      <c r="M398" s="250" t="s">
        <v>39</v>
      </c>
      <c r="N398" s="238" t="b">
        <v>0</v>
      </c>
    </row>
    <row r="399" ht="13.5" customHeight="1">
      <c r="A399" s="230"/>
      <c r="B399" s="222" t="s">
        <v>110</v>
      </c>
      <c r="C399" s="223" t="s">
        <v>27</v>
      </c>
      <c r="D399" s="224"/>
      <c r="E399" s="254">
        <f t="shared" ref="E399:J399" si="109">E397-E400</f>
        <v>0</v>
      </c>
      <c r="F399" s="254">
        <f t="shared" si="109"/>
        <v>0</v>
      </c>
      <c r="G399" s="254">
        <f t="shared" si="109"/>
        <v>0</v>
      </c>
      <c r="H399" s="254">
        <f t="shared" si="109"/>
        <v>0</v>
      </c>
      <c r="I399" s="254">
        <f t="shared" si="109"/>
        <v>0</v>
      </c>
      <c r="J399" s="254">
        <f t="shared" si="109"/>
        <v>0</v>
      </c>
      <c r="K399" s="227"/>
      <c r="L399" s="30"/>
      <c r="M399" s="228" t="s">
        <v>28</v>
      </c>
      <c r="N399" s="229" t="b">
        <v>0</v>
      </c>
    </row>
    <row r="400" ht="13.5" customHeight="1">
      <c r="A400" s="230" t="s">
        <v>45</v>
      </c>
      <c r="B400" s="231"/>
      <c r="C400" s="232" t="s">
        <v>30</v>
      </c>
      <c r="D400" s="108"/>
      <c r="E400" s="255"/>
      <c r="F400" s="255"/>
      <c r="G400" s="255"/>
      <c r="H400" s="255"/>
      <c r="I400" s="255"/>
      <c r="J400" s="255"/>
      <c r="K400" s="235" t="s">
        <v>30</v>
      </c>
      <c r="L400" s="236">
        <f>(E400*E389)+(F400*F389)+(G400*G389)+(H400*H389)+(I400*I389)+(J400*J389)</f>
        <v>0</v>
      </c>
      <c r="M400" s="237" t="s">
        <v>31</v>
      </c>
      <c r="N400" s="238" t="b">
        <v>0</v>
      </c>
    </row>
    <row r="401" ht="13.5" customHeight="1">
      <c r="A401" s="221"/>
      <c r="B401" s="239" t="s">
        <v>47</v>
      </c>
      <c r="C401" s="232" t="s">
        <v>34</v>
      </c>
      <c r="D401" s="108"/>
      <c r="E401" s="256"/>
      <c r="F401" s="257"/>
      <c r="G401" s="257"/>
      <c r="H401" s="257"/>
      <c r="I401" s="257"/>
      <c r="J401" s="257"/>
      <c r="K401" s="243" t="s">
        <v>35</v>
      </c>
      <c r="L401" s="236">
        <f>(E401*E389)+(F401*F389)+(G401*G389)+(H401*H389)+(I401*I389)+(J401*J389)</f>
        <v>0</v>
      </c>
      <c r="M401" s="237" t="s">
        <v>36</v>
      </c>
      <c r="N401" s="238" t="b">
        <v>0</v>
      </c>
    </row>
    <row r="402" ht="13.5" customHeight="1">
      <c r="A402" s="68"/>
      <c r="B402" s="245" t="str">
        <f>IFS(L402=0,"",B402&lt;&gt;"",B402,TRUE,NOW())</f>
        <v/>
      </c>
      <c r="C402" s="232" t="s">
        <v>37</v>
      </c>
      <c r="D402" s="108"/>
      <c r="E402" s="258"/>
      <c r="F402" s="258"/>
      <c r="G402" s="258"/>
      <c r="H402" s="258"/>
      <c r="I402" s="258"/>
      <c r="J402" s="258"/>
      <c r="K402" s="248" t="s">
        <v>38</v>
      </c>
      <c r="L402" s="249">
        <f>L401-L400</f>
        <v>0</v>
      </c>
      <c r="M402" s="250" t="s">
        <v>39</v>
      </c>
      <c r="N402" s="238" t="b">
        <v>0</v>
      </c>
    </row>
    <row r="403" ht="13.5" customHeight="1">
      <c r="A403" s="259" t="s">
        <v>48</v>
      </c>
      <c r="B403" s="222" t="s">
        <v>110</v>
      </c>
      <c r="C403" s="223" t="s">
        <v>27</v>
      </c>
      <c r="D403" s="224"/>
      <c r="E403" s="254">
        <f t="shared" ref="E403:J403" si="110">E401-E404</f>
        <v>0</v>
      </c>
      <c r="F403" s="254">
        <f t="shared" si="110"/>
        <v>0</v>
      </c>
      <c r="G403" s="254">
        <f t="shared" si="110"/>
        <v>0</v>
      </c>
      <c r="H403" s="254">
        <f t="shared" si="110"/>
        <v>0</v>
      </c>
      <c r="I403" s="254">
        <f t="shared" si="110"/>
        <v>0</v>
      </c>
      <c r="J403" s="254">
        <f t="shared" si="110"/>
        <v>0</v>
      </c>
      <c r="K403" s="227"/>
      <c r="L403" s="30"/>
      <c r="M403" s="228" t="s">
        <v>28</v>
      </c>
      <c r="N403" s="229" t="b">
        <v>0</v>
      </c>
    </row>
    <row r="404" ht="13.5" customHeight="1">
      <c r="A404" s="87"/>
      <c r="B404" s="231"/>
      <c r="C404" s="232" t="s">
        <v>30</v>
      </c>
      <c r="D404" s="108"/>
      <c r="E404" s="255"/>
      <c r="F404" s="255"/>
      <c r="G404" s="255"/>
      <c r="H404" s="255"/>
      <c r="I404" s="255"/>
      <c r="J404" s="255"/>
      <c r="K404" s="235" t="s">
        <v>30</v>
      </c>
      <c r="L404" s="236">
        <f>(E404*E389)+(F404*F389)+(G404*G389)+(H404*H389)+(I404*I389)+(J404*J389)</f>
        <v>0</v>
      </c>
      <c r="M404" s="237" t="s">
        <v>31</v>
      </c>
      <c r="N404" s="238" t="b">
        <v>0</v>
      </c>
    </row>
    <row r="405" ht="15.0" customHeight="1">
      <c r="A405" s="68"/>
      <c r="B405" s="239" t="s">
        <v>49</v>
      </c>
      <c r="C405" s="232" t="s">
        <v>34</v>
      </c>
      <c r="D405" s="108"/>
      <c r="E405" s="256"/>
      <c r="F405" s="257"/>
      <c r="G405" s="257"/>
      <c r="H405" s="257"/>
      <c r="I405" s="257"/>
      <c r="J405" s="257"/>
      <c r="K405" s="243" t="s">
        <v>35</v>
      </c>
      <c r="L405" s="236">
        <f>(E405*E389)+(F405*F389)+(G405*G389)+(H405*H389)+(I405*I389)+(J405*J389)</f>
        <v>0</v>
      </c>
      <c r="M405" s="237" t="s">
        <v>36</v>
      </c>
      <c r="N405" s="238" t="b">
        <v>0</v>
      </c>
    </row>
    <row r="406" ht="13.5" customHeight="1">
      <c r="A406" s="80"/>
      <c r="B406" s="245" t="str">
        <f>IFS(L406=0,"",B406&lt;&gt;"",B406,TRUE,NOW())</f>
        <v/>
      </c>
      <c r="C406" s="265" t="s">
        <v>37</v>
      </c>
      <c r="D406" s="117"/>
      <c r="E406" s="258"/>
      <c r="F406" s="258"/>
      <c r="G406" s="258"/>
      <c r="H406" s="258"/>
      <c r="I406" s="258"/>
      <c r="J406" s="258"/>
      <c r="K406" s="248" t="s">
        <v>38</v>
      </c>
      <c r="L406" s="249">
        <f>L405-L404</f>
        <v>0</v>
      </c>
      <c r="M406" s="250" t="s">
        <v>39</v>
      </c>
      <c r="N406" s="260" t="b">
        <v>0</v>
      </c>
    </row>
    <row r="407" ht="13.5" customHeight="1">
      <c r="A407" s="261" t="s">
        <v>111</v>
      </c>
      <c r="B407" s="209" t="s">
        <v>20</v>
      </c>
      <c r="C407" s="24"/>
      <c r="D407" s="33"/>
      <c r="E407" s="262">
        <f t="shared" ref="E407:J407" si="111">E6</f>
        <v>16</v>
      </c>
      <c r="F407" s="262">
        <f t="shared" si="111"/>
        <v>26</v>
      </c>
      <c r="G407" s="263">
        <f t="shared" si="111"/>
        <v>26</v>
      </c>
      <c r="H407" s="264">
        <f t="shared" si="111"/>
        <v>26</v>
      </c>
      <c r="I407" s="213">
        <f t="shared" si="111"/>
        <v>31</v>
      </c>
      <c r="J407" s="263">
        <f t="shared" si="111"/>
        <v>36</v>
      </c>
      <c r="K407" s="214" t="s">
        <v>21</v>
      </c>
      <c r="L407" s="25"/>
      <c r="M407" s="215" t="s">
        <v>22</v>
      </c>
      <c r="N407" s="10"/>
    </row>
    <row r="408" ht="13.5" customHeight="1">
      <c r="A408" s="216" t="s">
        <v>23</v>
      </c>
      <c r="B408" s="217" t="s">
        <v>24</v>
      </c>
      <c r="C408" s="218" t="s">
        <v>25</v>
      </c>
      <c r="D408" s="117"/>
      <c r="E408" s="219"/>
      <c r="F408" s="219"/>
      <c r="G408" s="219"/>
      <c r="H408" s="219"/>
      <c r="I408" s="220"/>
      <c r="J408" s="219"/>
      <c r="K408" s="49"/>
      <c r="L408" s="25"/>
      <c r="M408" s="50"/>
      <c r="N408" s="10"/>
    </row>
    <row r="409" ht="13.5" customHeight="1">
      <c r="A409" s="221"/>
      <c r="B409" s="222" t="s">
        <v>112</v>
      </c>
      <c r="C409" s="223" t="s">
        <v>27</v>
      </c>
      <c r="D409" s="224"/>
      <c r="E409" s="225">
        <f t="shared" ref="E409:J409" si="112">E408-E410</f>
        <v>0</v>
      </c>
      <c r="F409" s="225">
        <f t="shared" si="112"/>
        <v>0</v>
      </c>
      <c r="G409" s="225">
        <f t="shared" si="112"/>
        <v>0</v>
      </c>
      <c r="H409" s="225">
        <f t="shared" si="112"/>
        <v>0</v>
      </c>
      <c r="I409" s="225">
        <f t="shared" si="112"/>
        <v>0</v>
      </c>
      <c r="J409" s="226">
        <f t="shared" si="112"/>
        <v>0</v>
      </c>
      <c r="K409" s="227"/>
      <c r="L409" s="30"/>
      <c r="M409" s="228" t="s">
        <v>28</v>
      </c>
      <c r="N409" s="229" t="b">
        <v>0</v>
      </c>
    </row>
    <row r="410" ht="15.0" customHeight="1">
      <c r="A410" s="230" t="s">
        <v>29</v>
      </c>
      <c r="B410" s="231"/>
      <c r="C410" s="232" t="s">
        <v>30</v>
      </c>
      <c r="D410" s="108"/>
      <c r="E410" s="233"/>
      <c r="F410" s="233"/>
      <c r="G410" s="233"/>
      <c r="H410" s="233"/>
      <c r="I410" s="234"/>
      <c r="J410" s="233"/>
      <c r="K410" s="235" t="s">
        <v>30</v>
      </c>
      <c r="L410" s="236">
        <f>(E410*E407)+(F410*F407)+(G410*G407)+(H410*H407)+(I410*I407)+(J410*J407)</f>
        <v>0</v>
      </c>
      <c r="M410" s="237" t="s">
        <v>31</v>
      </c>
      <c r="N410" s="238" t="b">
        <v>0</v>
      </c>
    </row>
    <row r="411" ht="13.5" customHeight="1">
      <c r="A411" s="221"/>
      <c r="B411" s="239" t="s">
        <v>33</v>
      </c>
      <c r="C411" s="232" t="s">
        <v>34</v>
      </c>
      <c r="D411" s="108"/>
      <c r="E411" s="240"/>
      <c r="F411" s="241"/>
      <c r="G411" s="241"/>
      <c r="H411" s="241"/>
      <c r="I411" s="242"/>
      <c r="J411" s="241"/>
      <c r="K411" s="243" t="s">
        <v>35</v>
      </c>
      <c r="L411" s="236">
        <f>(E411*E407)+(F411*F407)+(G411*G407)+(H411*H407)+(I411*I407)+(J411*J407)</f>
        <v>0</v>
      </c>
      <c r="M411" s="244" t="s">
        <v>36</v>
      </c>
      <c r="N411" s="238" t="b">
        <v>0</v>
      </c>
    </row>
    <row r="412" ht="13.5" customHeight="1">
      <c r="A412" s="68"/>
      <c r="B412" s="245" t="str">
        <f>IFS(L412=0,"",B412&lt;&gt;"",B412,TRUE,NOW())</f>
        <v/>
      </c>
      <c r="C412" s="232" t="s">
        <v>37</v>
      </c>
      <c r="D412" s="108"/>
      <c r="E412" s="246"/>
      <c r="F412" s="246"/>
      <c r="G412" s="246"/>
      <c r="H412" s="246"/>
      <c r="I412" s="247"/>
      <c r="J412" s="246"/>
      <c r="K412" s="248" t="s">
        <v>38</v>
      </c>
      <c r="L412" s="249">
        <f>L411-L410</f>
        <v>0</v>
      </c>
      <c r="M412" s="250" t="s">
        <v>39</v>
      </c>
      <c r="N412" s="238" t="b">
        <v>0</v>
      </c>
    </row>
    <row r="413" ht="13.5" customHeight="1">
      <c r="A413" s="230" t="s">
        <v>40</v>
      </c>
      <c r="B413" s="222" t="s">
        <v>112</v>
      </c>
      <c r="C413" s="223" t="s">
        <v>27</v>
      </c>
      <c r="D413" s="224"/>
      <c r="E413" s="225">
        <f t="shared" ref="E413:J413" si="113">E411-E414</f>
        <v>0</v>
      </c>
      <c r="F413" s="225">
        <f t="shared" si="113"/>
        <v>0</v>
      </c>
      <c r="G413" s="225">
        <f t="shared" si="113"/>
        <v>0</v>
      </c>
      <c r="H413" s="225">
        <f t="shared" si="113"/>
        <v>0</v>
      </c>
      <c r="I413" s="225">
        <f t="shared" si="113"/>
        <v>0</v>
      </c>
      <c r="J413" s="226">
        <f t="shared" si="113"/>
        <v>0</v>
      </c>
      <c r="K413" s="227"/>
      <c r="L413" s="30"/>
      <c r="M413" s="228" t="s">
        <v>28</v>
      </c>
      <c r="N413" s="229" t="b">
        <v>0</v>
      </c>
    </row>
    <row r="414" ht="13.5" customHeight="1">
      <c r="A414" s="221"/>
      <c r="B414" s="231"/>
      <c r="C414" s="232" t="s">
        <v>30</v>
      </c>
      <c r="D414" s="108"/>
      <c r="E414" s="233"/>
      <c r="F414" s="233"/>
      <c r="G414" s="233"/>
      <c r="H414" s="233"/>
      <c r="I414" s="234"/>
      <c r="J414" s="251"/>
      <c r="K414" s="235" t="s">
        <v>30</v>
      </c>
      <c r="L414" s="236">
        <f>(E414*E407)+(F414*F407)+(G414*G407)+(H414*H407)+(I414*I407)+(J414*J407)</f>
        <v>0</v>
      </c>
      <c r="M414" s="237" t="s">
        <v>31</v>
      </c>
      <c r="N414" s="238" t="b">
        <v>0</v>
      </c>
    </row>
    <row r="415" ht="18.75" customHeight="1">
      <c r="A415" s="68"/>
      <c r="B415" s="239" t="s">
        <v>42</v>
      </c>
      <c r="C415" s="232" t="s">
        <v>34</v>
      </c>
      <c r="D415" s="108"/>
      <c r="E415" s="240"/>
      <c r="F415" s="241"/>
      <c r="G415" s="241"/>
      <c r="H415" s="241"/>
      <c r="I415" s="242"/>
      <c r="J415" s="252"/>
      <c r="K415" s="243" t="s">
        <v>35</v>
      </c>
      <c r="L415" s="236">
        <f>(E415*E407)+(F415*F407)+(G415*G407)+(H415*H407)+(I415*I407)+(J415*J407)</f>
        <v>0</v>
      </c>
      <c r="M415" s="237" t="s">
        <v>36</v>
      </c>
      <c r="N415" s="238" t="b">
        <v>0</v>
      </c>
    </row>
    <row r="416" ht="13.5" customHeight="1">
      <c r="A416" s="230" t="s">
        <v>43</v>
      </c>
      <c r="B416" s="245" t="str">
        <f>IFS(L416=0,"",B416&lt;&gt;"",B416,TRUE,NOW())</f>
        <v/>
      </c>
      <c r="C416" s="232" t="s">
        <v>37</v>
      </c>
      <c r="D416" s="108"/>
      <c r="E416" s="246"/>
      <c r="F416" s="246"/>
      <c r="G416" s="246"/>
      <c r="H416" s="246"/>
      <c r="I416" s="247"/>
      <c r="J416" s="253"/>
      <c r="K416" s="248" t="s">
        <v>38</v>
      </c>
      <c r="L416" s="249">
        <f>L415-L414</f>
        <v>0</v>
      </c>
      <c r="M416" s="250" t="s">
        <v>39</v>
      </c>
      <c r="N416" s="238" t="b">
        <v>0</v>
      </c>
    </row>
    <row r="417" ht="13.5" customHeight="1">
      <c r="A417" s="230"/>
      <c r="B417" s="222" t="s">
        <v>112</v>
      </c>
      <c r="C417" s="223" t="s">
        <v>27</v>
      </c>
      <c r="D417" s="224"/>
      <c r="E417" s="254">
        <f t="shared" ref="E417:J417" si="114">E415-E418</f>
        <v>0</v>
      </c>
      <c r="F417" s="254">
        <f t="shared" si="114"/>
        <v>0</v>
      </c>
      <c r="G417" s="254">
        <f t="shared" si="114"/>
        <v>0</v>
      </c>
      <c r="H417" s="254">
        <f t="shared" si="114"/>
        <v>0</v>
      </c>
      <c r="I417" s="254">
        <f t="shared" si="114"/>
        <v>0</v>
      </c>
      <c r="J417" s="254">
        <f t="shared" si="114"/>
        <v>0</v>
      </c>
      <c r="K417" s="227"/>
      <c r="L417" s="30"/>
      <c r="M417" s="228" t="s">
        <v>28</v>
      </c>
      <c r="N417" s="229" t="b">
        <v>0</v>
      </c>
    </row>
    <row r="418" ht="13.5" customHeight="1">
      <c r="A418" s="230" t="s">
        <v>45</v>
      </c>
      <c r="B418" s="231"/>
      <c r="C418" s="232" t="s">
        <v>30</v>
      </c>
      <c r="D418" s="108"/>
      <c r="E418" s="255"/>
      <c r="F418" s="255"/>
      <c r="G418" s="255"/>
      <c r="H418" s="255"/>
      <c r="I418" s="255"/>
      <c r="J418" s="255"/>
      <c r="K418" s="235" t="s">
        <v>30</v>
      </c>
      <c r="L418" s="236">
        <f>(E418*E407)+(F418*F407)+(G418*G407)+(H418*H407)+(I418*I407)+(J418*J407)</f>
        <v>0</v>
      </c>
      <c r="M418" s="237" t="s">
        <v>31</v>
      </c>
      <c r="N418" s="238" t="b">
        <v>0</v>
      </c>
    </row>
    <row r="419" ht="13.5" customHeight="1">
      <c r="A419" s="221"/>
      <c r="B419" s="239" t="s">
        <v>47</v>
      </c>
      <c r="C419" s="232" t="s">
        <v>34</v>
      </c>
      <c r="D419" s="108"/>
      <c r="E419" s="256"/>
      <c r="F419" s="257"/>
      <c r="G419" s="257"/>
      <c r="H419" s="257"/>
      <c r="I419" s="257"/>
      <c r="J419" s="257"/>
      <c r="K419" s="243" t="s">
        <v>35</v>
      </c>
      <c r="L419" s="236">
        <f>(E419*E407)+(F419*F407)+(G419*G407)+(H419*H407)+(I419*I407)+(J419*J407)</f>
        <v>0</v>
      </c>
      <c r="M419" s="237" t="s">
        <v>36</v>
      </c>
      <c r="N419" s="238" t="b">
        <v>0</v>
      </c>
    </row>
    <row r="420" ht="18.75" customHeight="1">
      <c r="A420" s="68"/>
      <c r="B420" s="245" t="str">
        <f>IFS(L420=0,"",B420&lt;&gt;"",B420,TRUE,NOW())</f>
        <v/>
      </c>
      <c r="C420" s="232" t="s">
        <v>37</v>
      </c>
      <c r="D420" s="108"/>
      <c r="E420" s="258"/>
      <c r="F420" s="258"/>
      <c r="G420" s="258"/>
      <c r="H420" s="258"/>
      <c r="I420" s="258"/>
      <c r="J420" s="258"/>
      <c r="K420" s="248" t="s">
        <v>38</v>
      </c>
      <c r="L420" s="249">
        <f>L419-L418</f>
        <v>0</v>
      </c>
      <c r="M420" s="250" t="s">
        <v>39</v>
      </c>
      <c r="N420" s="238" t="b">
        <v>0</v>
      </c>
    </row>
    <row r="421" ht="13.5" customHeight="1">
      <c r="A421" s="259" t="s">
        <v>48</v>
      </c>
      <c r="B421" s="222" t="s">
        <v>112</v>
      </c>
      <c r="C421" s="223" t="s">
        <v>27</v>
      </c>
      <c r="D421" s="224"/>
      <c r="E421" s="254">
        <f t="shared" ref="E421:J421" si="115">E419-E422</f>
        <v>0</v>
      </c>
      <c r="F421" s="254">
        <f t="shared" si="115"/>
        <v>0</v>
      </c>
      <c r="G421" s="254">
        <f t="shared" si="115"/>
        <v>0</v>
      </c>
      <c r="H421" s="254">
        <f t="shared" si="115"/>
        <v>0</v>
      </c>
      <c r="I421" s="254">
        <f t="shared" si="115"/>
        <v>0</v>
      </c>
      <c r="J421" s="254">
        <f t="shared" si="115"/>
        <v>0</v>
      </c>
      <c r="K421" s="227"/>
      <c r="L421" s="30"/>
      <c r="M421" s="228" t="s">
        <v>28</v>
      </c>
      <c r="N421" s="229" t="b">
        <v>0</v>
      </c>
    </row>
    <row r="422" ht="13.5" customHeight="1">
      <c r="A422" s="87"/>
      <c r="B422" s="231"/>
      <c r="C422" s="232" t="s">
        <v>30</v>
      </c>
      <c r="D422" s="108"/>
      <c r="E422" s="255"/>
      <c r="F422" s="255"/>
      <c r="G422" s="255"/>
      <c r="H422" s="255"/>
      <c r="I422" s="255"/>
      <c r="J422" s="255"/>
      <c r="K422" s="235" t="s">
        <v>30</v>
      </c>
      <c r="L422" s="236">
        <f>(E422*E407)+(F422*F407)+(G422*G407)+(H422*H407)+(I422*I407)+(J422*J407)</f>
        <v>0</v>
      </c>
      <c r="M422" s="237" t="s">
        <v>31</v>
      </c>
      <c r="N422" s="238" t="b">
        <v>0</v>
      </c>
    </row>
    <row r="423" ht="13.5" customHeight="1">
      <c r="A423" s="68"/>
      <c r="B423" s="239" t="s">
        <v>49</v>
      </c>
      <c r="C423" s="232" t="s">
        <v>34</v>
      </c>
      <c r="D423" s="108"/>
      <c r="E423" s="256"/>
      <c r="F423" s="257"/>
      <c r="G423" s="257"/>
      <c r="H423" s="257"/>
      <c r="I423" s="257"/>
      <c r="J423" s="257"/>
      <c r="K423" s="243" t="s">
        <v>35</v>
      </c>
      <c r="L423" s="236">
        <f>(E423*E407)+(F423*F407)+(G423*G407)+(H423*H407)+(I423*I407)+(J423*J407)</f>
        <v>0</v>
      </c>
      <c r="M423" s="237" t="s">
        <v>36</v>
      </c>
      <c r="N423" s="238" t="b">
        <v>0</v>
      </c>
    </row>
    <row r="424" ht="13.5" customHeight="1">
      <c r="A424" s="80"/>
      <c r="B424" s="245" t="str">
        <f>IFS(L424=0,"",B424&lt;&gt;"",B424,TRUE,NOW())</f>
        <v/>
      </c>
      <c r="C424" s="232" t="s">
        <v>37</v>
      </c>
      <c r="D424" s="108"/>
      <c r="E424" s="258"/>
      <c r="F424" s="258"/>
      <c r="G424" s="258"/>
      <c r="H424" s="258"/>
      <c r="I424" s="258"/>
      <c r="J424" s="258"/>
      <c r="K424" s="248" t="s">
        <v>38</v>
      </c>
      <c r="L424" s="249">
        <f>L423-L422</f>
        <v>0</v>
      </c>
      <c r="M424" s="250" t="s">
        <v>39</v>
      </c>
      <c r="N424" s="260" t="b">
        <v>0</v>
      </c>
    </row>
    <row r="425" ht="13.5" customHeight="1">
      <c r="A425" s="261" t="s">
        <v>113</v>
      </c>
      <c r="B425" s="209" t="s">
        <v>20</v>
      </c>
      <c r="C425" s="24"/>
      <c r="D425" s="33"/>
      <c r="E425" s="262">
        <f t="shared" ref="E425:J425" si="116">E6</f>
        <v>16</v>
      </c>
      <c r="F425" s="262">
        <f t="shared" si="116"/>
        <v>26</v>
      </c>
      <c r="G425" s="263">
        <f t="shared" si="116"/>
        <v>26</v>
      </c>
      <c r="H425" s="264">
        <f t="shared" si="116"/>
        <v>26</v>
      </c>
      <c r="I425" s="213">
        <f t="shared" si="116"/>
        <v>31</v>
      </c>
      <c r="J425" s="263">
        <f t="shared" si="116"/>
        <v>36</v>
      </c>
      <c r="K425" s="214" t="s">
        <v>21</v>
      </c>
      <c r="L425" s="25"/>
      <c r="M425" s="215" t="s">
        <v>22</v>
      </c>
      <c r="N425" s="10"/>
    </row>
    <row r="426" ht="13.5" customHeight="1">
      <c r="A426" s="216" t="s">
        <v>23</v>
      </c>
      <c r="B426" s="217" t="s">
        <v>24</v>
      </c>
      <c r="C426" s="218" t="s">
        <v>25</v>
      </c>
      <c r="D426" s="117"/>
      <c r="E426" s="219"/>
      <c r="F426" s="219"/>
      <c r="G426" s="219"/>
      <c r="H426" s="219"/>
      <c r="I426" s="220"/>
      <c r="J426" s="219"/>
      <c r="K426" s="49"/>
      <c r="L426" s="25"/>
      <c r="M426" s="50"/>
      <c r="N426" s="10"/>
    </row>
    <row r="427" ht="15.0" customHeight="1">
      <c r="A427" s="221"/>
      <c r="B427" s="222" t="s">
        <v>114</v>
      </c>
      <c r="C427" s="223" t="s">
        <v>27</v>
      </c>
      <c r="D427" s="224"/>
      <c r="E427" s="225">
        <f t="shared" ref="E427:J427" si="117">E426-E428</f>
        <v>0</v>
      </c>
      <c r="F427" s="225">
        <f t="shared" si="117"/>
        <v>0</v>
      </c>
      <c r="G427" s="225">
        <f t="shared" si="117"/>
        <v>0</v>
      </c>
      <c r="H427" s="225">
        <f t="shared" si="117"/>
        <v>0</v>
      </c>
      <c r="I427" s="225">
        <f t="shared" si="117"/>
        <v>0</v>
      </c>
      <c r="J427" s="226">
        <f t="shared" si="117"/>
        <v>0</v>
      </c>
      <c r="K427" s="227"/>
      <c r="L427" s="30"/>
      <c r="M427" s="228" t="s">
        <v>28</v>
      </c>
      <c r="N427" s="229" t="b">
        <v>0</v>
      </c>
    </row>
    <row r="428" ht="13.5" customHeight="1">
      <c r="A428" s="230" t="s">
        <v>29</v>
      </c>
      <c r="B428" s="231"/>
      <c r="C428" s="232" t="s">
        <v>30</v>
      </c>
      <c r="D428" s="108"/>
      <c r="E428" s="233"/>
      <c r="F428" s="233"/>
      <c r="G428" s="233"/>
      <c r="H428" s="233"/>
      <c r="I428" s="234"/>
      <c r="J428" s="233"/>
      <c r="K428" s="235" t="s">
        <v>30</v>
      </c>
      <c r="L428" s="236">
        <f>(E428*E425)+(F428*F425)+(G428*G425)+(H428*H425)+(I428*I425)+(J428*J425)</f>
        <v>0</v>
      </c>
      <c r="M428" s="237" t="s">
        <v>31</v>
      </c>
      <c r="N428" s="238" t="b">
        <v>0</v>
      </c>
    </row>
    <row r="429" ht="13.5" customHeight="1">
      <c r="A429" s="221"/>
      <c r="B429" s="239" t="s">
        <v>33</v>
      </c>
      <c r="C429" s="232" t="s">
        <v>34</v>
      </c>
      <c r="D429" s="108"/>
      <c r="E429" s="240"/>
      <c r="F429" s="241"/>
      <c r="G429" s="241"/>
      <c r="H429" s="241"/>
      <c r="I429" s="242"/>
      <c r="J429" s="241"/>
      <c r="K429" s="243" t="s">
        <v>35</v>
      </c>
      <c r="L429" s="236">
        <f>(E429*E425)+(F429*F425)+(G429*G425)+(H429*H425)+(I429*I425)+(J429*J425)</f>
        <v>0</v>
      </c>
      <c r="M429" s="244" t="s">
        <v>36</v>
      </c>
      <c r="N429" s="238" t="b">
        <v>0</v>
      </c>
    </row>
    <row r="430" ht="13.5" customHeight="1">
      <c r="A430" s="68"/>
      <c r="B430" s="245" t="str">
        <f>IFS(L430=0,"",B430&lt;&gt;"",B430,TRUE,NOW())</f>
        <v/>
      </c>
      <c r="C430" s="232" t="s">
        <v>37</v>
      </c>
      <c r="D430" s="108"/>
      <c r="E430" s="246"/>
      <c r="F430" s="246"/>
      <c r="G430" s="246"/>
      <c r="H430" s="246"/>
      <c r="I430" s="247"/>
      <c r="J430" s="246"/>
      <c r="K430" s="248" t="s">
        <v>38</v>
      </c>
      <c r="L430" s="249">
        <f>L429-L428</f>
        <v>0</v>
      </c>
      <c r="M430" s="250" t="s">
        <v>39</v>
      </c>
      <c r="N430" s="238" t="b">
        <v>0</v>
      </c>
    </row>
    <row r="431" ht="13.5" customHeight="1">
      <c r="A431" s="230" t="s">
        <v>40</v>
      </c>
      <c r="B431" s="222" t="s">
        <v>114</v>
      </c>
      <c r="C431" s="223" t="s">
        <v>27</v>
      </c>
      <c r="D431" s="224"/>
      <c r="E431" s="225">
        <f t="shared" ref="E431:J431" si="118">E429-E432</f>
        <v>0</v>
      </c>
      <c r="F431" s="225">
        <f t="shared" si="118"/>
        <v>0</v>
      </c>
      <c r="G431" s="225">
        <f t="shared" si="118"/>
        <v>0</v>
      </c>
      <c r="H431" s="225">
        <f t="shared" si="118"/>
        <v>0</v>
      </c>
      <c r="I431" s="225">
        <f t="shared" si="118"/>
        <v>0</v>
      </c>
      <c r="J431" s="226">
        <f t="shared" si="118"/>
        <v>0</v>
      </c>
      <c r="K431" s="227"/>
      <c r="L431" s="30"/>
      <c r="M431" s="228" t="s">
        <v>28</v>
      </c>
      <c r="N431" s="229" t="b">
        <v>0</v>
      </c>
    </row>
    <row r="432" ht="15.0" customHeight="1">
      <c r="A432" s="221"/>
      <c r="B432" s="231"/>
      <c r="C432" s="232" t="s">
        <v>30</v>
      </c>
      <c r="D432" s="108"/>
      <c r="E432" s="233"/>
      <c r="F432" s="233"/>
      <c r="G432" s="233"/>
      <c r="H432" s="233"/>
      <c r="I432" s="234"/>
      <c r="J432" s="251"/>
      <c r="K432" s="235" t="s">
        <v>30</v>
      </c>
      <c r="L432" s="236">
        <f>(E432*E425)+(F432*F425)+(G432*G425)+(H432*H425)+(I432*I425)+(J432*J425)</f>
        <v>0</v>
      </c>
      <c r="M432" s="237" t="s">
        <v>31</v>
      </c>
      <c r="N432" s="238" t="b">
        <v>0</v>
      </c>
    </row>
    <row r="433" ht="13.5" customHeight="1">
      <c r="A433" s="68"/>
      <c r="B433" s="239" t="s">
        <v>42</v>
      </c>
      <c r="C433" s="232" t="s">
        <v>34</v>
      </c>
      <c r="D433" s="108"/>
      <c r="E433" s="240"/>
      <c r="F433" s="241"/>
      <c r="G433" s="241"/>
      <c r="H433" s="241"/>
      <c r="I433" s="242"/>
      <c r="J433" s="252"/>
      <c r="K433" s="243" t="s">
        <v>35</v>
      </c>
      <c r="L433" s="236">
        <f>(E433*E425)+(F433*F425)+(G433*G425)+(H433*H425)+(I433*I425)+(J433*J425)</f>
        <v>0</v>
      </c>
      <c r="M433" s="237" t="s">
        <v>36</v>
      </c>
      <c r="N433" s="238" t="b">
        <v>0</v>
      </c>
    </row>
    <row r="434" ht="13.5" customHeight="1">
      <c r="A434" s="230" t="s">
        <v>43</v>
      </c>
      <c r="B434" s="245" t="str">
        <f>IFS(L434=0,"",B434&lt;&gt;"",B434,TRUE,NOW())</f>
        <v/>
      </c>
      <c r="C434" s="232" t="s">
        <v>37</v>
      </c>
      <c r="D434" s="108"/>
      <c r="E434" s="246"/>
      <c r="F434" s="246"/>
      <c r="G434" s="246"/>
      <c r="H434" s="246"/>
      <c r="I434" s="247"/>
      <c r="J434" s="253"/>
      <c r="K434" s="248" t="s">
        <v>38</v>
      </c>
      <c r="L434" s="249">
        <f>L433-L432</f>
        <v>0</v>
      </c>
      <c r="M434" s="250" t="s">
        <v>39</v>
      </c>
      <c r="N434" s="238" t="b">
        <v>0</v>
      </c>
    </row>
    <row r="435" ht="13.5" customHeight="1">
      <c r="A435" s="230"/>
      <c r="B435" s="222" t="s">
        <v>114</v>
      </c>
      <c r="C435" s="223" t="s">
        <v>27</v>
      </c>
      <c r="D435" s="224"/>
      <c r="E435" s="254">
        <f t="shared" ref="E435:J435" si="119">E433-E436</f>
        <v>0</v>
      </c>
      <c r="F435" s="254">
        <f t="shared" si="119"/>
        <v>0</v>
      </c>
      <c r="G435" s="254">
        <f t="shared" si="119"/>
        <v>0</v>
      </c>
      <c r="H435" s="254">
        <f t="shared" si="119"/>
        <v>0</v>
      </c>
      <c r="I435" s="254">
        <f t="shared" si="119"/>
        <v>0</v>
      </c>
      <c r="J435" s="254">
        <f t="shared" si="119"/>
        <v>0</v>
      </c>
      <c r="K435" s="227"/>
      <c r="L435" s="30"/>
      <c r="M435" s="228" t="s">
        <v>28</v>
      </c>
      <c r="N435" s="229" t="b">
        <v>0</v>
      </c>
    </row>
    <row r="436" ht="13.5" customHeight="1">
      <c r="A436" s="230" t="s">
        <v>45</v>
      </c>
      <c r="B436" s="231"/>
      <c r="C436" s="232" t="s">
        <v>30</v>
      </c>
      <c r="D436" s="108"/>
      <c r="E436" s="255"/>
      <c r="F436" s="255"/>
      <c r="G436" s="255"/>
      <c r="H436" s="255"/>
      <c r="I436" s="255"/>
      <c r="J436" s="255"/>
      <c r="K436" s="235" t="s">
        <v>30</v>
      </c>
      <c r="L436" s="236">
        <f>(E436*E425)+(F436*F425)+(G436*G425)+(H436*H425)+(I436*I425)+(J436*J425)</f>
        <v>0</v>
      </c>
      <c r="M436" s="237" t="s">
        <v>31</v>
      </c>
      <c r="N436" s="238" t="b">
        <v>0</v>
      </c>
    </row>
    <row r="437" ht="15.0" customHeight="1">
      <c r="A437" s="221"/>
      <c r="B437" s="239" t="s">
        <v>47</v>
      </c>
      <c r="C437" s="232" t="s">
        <v>34</v>
      </c>
      <c r="D437" s="108"/>
      <c r="E437" s="256"/>
      <c r="F437" s="257"/>
      <c r="G437" s="257"/>
      <c r="H437" s="257"/>
      <c r="I437" s="257"/>
      <c r="J437" s="257"/>
      <c r="K437" s="243" t="s">
        <v>35</v>
      </c>
      <c r="L437" s="236">
        <f>(E437*E425)+(F437*F425)+(G437*G425)+(H437*H425)+(I437*I425)+(J437*J425)</f>
        <v>0</v>
      </c>
      <c r="M437" s="237" t="s">
        <v>36</v>
      </c>
      <c r="N437" s="238" t="b">
        <v>0</v>
      </c>
    </row>
    <row r="438" ht="13.5" customHeight="1">
      <c r="A438" s="68"/>
      <c r="B438" s="245" t="str">
        <f>IFS(L438=0,"",B438&lt;&gt;"",B438,TRUE,NOW())</f>
        <v/>
      </c>
      <c r="C438" s="232" t="s">
        <v>37</v>
      </c>
      <c r="D438" s="108"/>
      <c r="E438" s="258"/>
      <c r="F438" s="258"/>
      <c r="G438" s="258"/>
      <c r="H438" s="258"/>
      <c r="I438" s="258"/>
      <c r="J438" s="258"/>
      <c r="K438" s="248" t="s">
        <v>38</v>
      </c>
      <c r="L438" s="249">
        <f>L437-L436</f>
        <v>0</v>
      </c>
      <c r="M438" s="250" t="s">
        <v>39</v>
      </c>
      <c r="N438" s="238" t="b">
        <v>0</v>
      </c>
    </row>
    <row r="439" ht="13.5" customHeight="1">
      <c r="A439" s="259" t="s">
        <v>48</v>
      </c>
      <c r="B439" s="222" t="s">
        <v>114</v>
      </c>
      <c r="C439" s="223" t="s">
        <v>27</v>
      </c>
      <c r="D439" s="224"/>
      <c r="E439" s="254">
        <f t="shared" ref="E439:J439" si="120">E437-E440</f>
        <v>0</v>
      </c>
      <c r="F439" s="254">
        <f t="shared" si="120"/>
        <v>0</v>
      </c>
      <c r="G439" s="254">
        <f t="shared" si="120"/>
        <v>0</v>
      </c>
      <c r="H439" s="254">
        <f t="shared" si="120"/>
        <v>0</v>
      </c>
      <c r="I439" s="254">
        <f t="shared" si="120"/>
        <v>0</v>
      </c>
      <c r="J439" s="254">
        <f t="shared" si="120"/>
        <v>0</v>
      </c>
      <c r="K439" s="227"/>
      <c r="L439" s="30"/>
      <c r="M439" s="228" t="s">
        <v>28</v>
      </c>
      <c r="N439" s="229" t="b">
        <v>0</v>
      </c>
    </row>
    <row r="440" ht="13.5" customHeight="1">
      <c r="A440" s="87"/>
      <c r="B440" s="231"/>
      <c r="C440" s="232" t="s">
        <v>30</v>
      </c>
      <c r="D440" s="108"/>
      <c r="E440" s="255"/>
      <c r="F440" s="255"/>
      <c r="G440" s="255"/>
      <c r="H440" s="255"/>
      <c r="I440" s="255"/>
      <c r="J440" s="255"/>
      <c r="K440" s="235" t="s">
        <v>30</v>
      </c>
      <c r="L440" s="236">
        <f>(E440*E425)+(F440*F425)+(G440*G425)+(H440*H425)+(I440*I425)+(J440*J425)</f>
        <v>0</v>
      </c>
      <c r="M440" s="237" t="s">
        <v>31</v>
      </c>
      <c r="N440" s="238" t="b">
        <v>0</v>
      </c>
    </row>
    <row r="441" ht="13.5" customHeight="1">
      <c r="A441" s="68"/>
      <c r="B441" s="239" t="s">
        <v>49</v>
      </c>
      <c r="C441" s="232" t="s">
        <v>34</v>
      </c>
      <c r="D441" s="108"/>
      <c r="E441" s="256"/>
      <c r="F441" s="257"/>
      <c r="G441" s="257"/>
      <c r="H441" s="257"/>
      <c r="I441" s="257"/>
      <c r="J441" s="257"/>
      <c r="K441" s="243" t="s">
        <v>35</v>
      </c>
      <c r="L441" s="236">
        <f>(E441*E425)+(F441*F425)+(G441*G425)+(H441*H425)+(I441*I425)+(J441*J425)</f>
        <v>0</v>
      </c>
      <c r="M441" s="237" t="s">
        <v>36</v>
      </c>
      <c r="N441" s="238" t="b">
        <v>0</v>
      </c>
    </row>
    <row r="442" ht="15.0" customHeight="1">
      <c r="A442" s="80"/>
      <c r="B442" s="245" t="str">
        <f>IFS(L442=0,"",B442&lt;&gt;"",B442,TRUE,NOW())</f>
        <v/>
      </c>
      <c r="C442" s="232" t="s">
        <v>37</v>
      </c>
      <c r="D442" s="108"/>
      <c r="E442" s="258"/>
      <c r="F442" s="258"/>
      <c r="G442" s="258"/>
      <c r="H442" s="258"/>
      <c r="I442" s="258"/>
      <c r="J442" s="258"/>
      <c r="K442" s="248" t="s">
        <v>38</v>
      </c>
      <c r="L442" s="249">
        <f>L441-L440</f>
        <v>0</v>
      </c>
      <c r="M442" s="250" t="s">
        <v>39</v>
      </c>
      <c r="N442" s="260" t="b">
        <v>0</v>
      </c>
    </row>
    <row r="443" ht="13.5" customHeight="1">
      <c r="A443" s="261" t="s">
        <v>115</v>
      </c>
      <c r="B443" s="209" t="s">
        <v>20</v>
      </c>
      <c r="C443" s="24"/>
      <c r="D443" s="33"/>
      <c r="E443" s="262">
        <f t="shared" ref="E443:J443" si="121">E6</f>
        <v>16</v>
      </c>
      <c r="F443" s="262">
        <f t="shared" si="121"/>
        <v>26</v>
      </c>
      <c r="G443" s="263">
        <f t="shared" si="121"/>
        <v>26</v>
      </c>
      <c r="H443" s="264">
        <f t="shared" si="121"/>
        <v>26</v>
      </c>
      <c r="I443" s="213">
        <f t="shared" si="121"/>
        <v>31</v>
      </c>
      <c r="J443" s="263">
        <f t="shared" si="121"/>
        <v>36</v>
      </c>
      <c r="K443" s="214" t="s">
        <v>21</v>
      </c>
      <c r="L443" s="25"/>
      <c r="M443" s="215" t="s">
        <v>22</v>
      </c>
      <c r="N443" s="10"/>
    </row>
    <row r="444" ht="13.5" customHeight="1">
      <c r="A444" s="216" t="s">
        <v>23</v>
      </c>
      <c r="B444" s="217" t="s">
        <v>24</v>
      </c>
      <c r="C444" s="218" t="s">
        <v>25</v>
      </c>
      <c r="D444" s="117"/>
      <c r="E444" s="219"/>
      <c r="F444" s="219"/>
      <c r="G444" s="219"/>
      <c r="H444" s="219"/>
      <c r="I444" s="220"/>
      <c r="J444" s="219"/>
      <c r="K444" s="49"/>
      <c r="L444" s="25"/>
      <c r="M444" s="50"/>
      <c r="N444" s="10"/>
    </row>
    <row r="445" ht="13.5" customHeight="1">
      <c r="A445" s="221"/>
      <c r="B445" s="222" t="s">
        <v>116</v>
      </c>
      <c r="C445" s="223" t="s">
        <v>27</v>
      </c>
      <c r="D445" s="224"/>
      <c r="E445" s="225">
        <f t="shared" ref="E445:J445" si="122">E444-E446</f>
        <v>0</v>
      </c>
      <c r="F445" s="225">
        <f t="shared" si="122"/>
        <v>0</v>
      </c>
      <c r="G445" s="225">
        <f t="shared" si="122"/>
        <v>0</v>
      </c>
      <c r="H445" s="225">
        <f t="shared" si="122"/>
        <v>0</v>
      </c>
      <c r="I445" s="225">
        <f t="shared" si="122"/>
        <v>0</v>
      </c>
      <c r="J445" s="226">
        <f t="shared" si="122"/>
        <v>0</v>
      </c>
      <c r="K445" s="227"/>
      <c r="L445" s="30"/>
      <c r="M445" s="228" t="s">
        <v>28</v>
      </c>
      <c r="N445" s="229" t="b">
        <v>0</v>
      </c>
    </row>
    <row r="446" ht="13.5" customHeight="1">
      <c r="A446" s="230" t="s">
        <v>29</v>
      </c>
      <c r="B446" s="231"/>
      <c r="C446" s="232" t="s">
        <v>30</v>
      </c>
      <c r="D446" s="108"/>
      <c r="E446" s="233"/>
      <c r="F446" s="233"/>
      <c r="G446" s="233"/>
      <c r="H446" s="233"/>
      <c r="I446" s="234"/>
      <c r="J446" s="233"/>
      <c r="K446" s="235" t="s">
        <v>30</v>
      </c>
      <c r="L446" s="236">
        <f>(E446*E443)+(F446*F443)+(G446*G443)+(H446*H443)+(I446*I443)+(J446*J443)</f>
        <v>0</v>
      </c>
      <c r="M446" s="237" t="s">
        <v>31</v>
      </c>
      <c r="N446" s="238" t="b">
        <v>0</v>
      </c>
    </row>
    <row r="447" ht="13.5" customHeight="1">
      <c r="A447" s="221"/>
      <c r="B447" s="239" t="s">
        <v>33</v>
      </c>
      <c r="C447" s="232" t="s">
        <v>34</v>
      </c>
      <c r="D447" s="108"/>
      <c r="E447" s="240"/>
      <c r="F447" s="241"/>
      <c r="G447" s="241"/>
      <c r="H447" s="241"/>
      <c r="I447" s="242"/>
      <c r="J447" s="241"/>
      <c r="K447" s="243" t="s">
        <v>35</v>
      </c>
      <c r="L447" s="236">
        <f>(E447*E443)+(F447*F443)+(G447*G443)+(H447*H443)+(I447*I443)+(J447*J443)</f>
        <v>0</v>
      </c>
      <c r="M447" s="244" t="s">
        <v>36</v>
      </c>
      <c r="N447" s="238" t="b">
        <v>0</v>
      </c>
    </row>
    <row r="448" ht="13.5" customHeight="1">
      <c r="A448" s="68"/>
      <c r="B448" s="245" t="str">
        <f>IFS(L448=0,"",B448&lt;&gt;"",B448,TRUE,NOW())</f>
        <v/>
      </c>
      <c r="C448" s="232" t="s">
        <v>37</v>
      </c>
      <c r="D448" s="108"/>
      <c r="E448" s="246"/>
      <c r="F448" s="246"/>
      <c r="G448" s="246"/>
      <c r="H448" s="246"/>
      <c r="I448" s="247"/>
      <c r="J448" s="246"/>
      <c r="K448" s="248" t="s">
        <v>38</v>
      </c>
      <c r="L448" s="249">
        <f>L447-L446</f>
        <v>0</v>
      </c>
      <c r="M448" s="250" t="s">
        <v>39</v>
      </c>
      <c r="N448" s="238" t="b">
        <v>0</v>
      </c>
    </row>
    <row r="449" ht="17.25" customHeight="1">
      <c r="A449" s="230" t="s">
        <v>40</v>
      </c>
      <c r="B449" s="222" t="s">
        <v>116</v>
      </c>
      <c r="C449" s="223" t="s">
        <v>27</v>
      </c>
      <c r="D449" s="224"/>
      <c r="E449" s="225">
        <f t="shared" ref="E449:J449" si="123">E447-E450</f>
        <v>0</v>
      </c>
      <c r="F449" s="225">
        <f t="shared" si="123"/>
        <v>0</v>
      </c>
      <c r="G449" s="225">
        <f t="shared" si="123"/>
        <v>0</v>
      </c>
      <c r="H449" s="225">
        <f t="shared" si="123"/>
        <v>0</v>
      </c>
      <c r="I449" s="225">
        <f t="shared" si="123"/>
        <v>0</v>
      </c>
      <c r="J449" s="226">
        <f t="shared" si="123"/>
        <v>0</v>
      </c>
      <c r="K449" s="227"/>
      <c r="L449" s="30"/>
      <c r="M449" s="228" t="s">
        <v>28</v>
      </c>
      <c r="N449" s="229" t="b">
        <v>0</v>
      </c>
    </row>
    <row r="450" ht="13.5" customHeight="1">
      <c r="A450" s="221"/>
      <c r="B450" s="231"/>
      <c r="C450" s="232" t="s">
        <v>30</v>
      </c>
      <c r="D450" s="108"/>
      <c r="E450" s="233"/>
      <c r="F450" s="233"/>
      <c r="G450" s="233"/>
      <c r="H450" s="233"/>
      <c r="I450" s="234"/>
      <c r="J450" s="251"/>
      <c r="K450" s="235" t="s">
        <v>30</v>
      </c>
      <c r="L450" s="236">
        <f>(E450*E443)+(F450*F443)+(G450*G443)+(H450*H443)+(I450*I443)+(J450*J443)</f>
        <v>0</v>
      </c>
      <c r="M450" s="237" t="s">
        <v>31</v>
      </c>
      <c r="N450" s="238" t="b">
        <v>0</v>
      </c>
    </row>
    <row r="451" ht="13.5" customHeight="1">
      <c r="A451" s="68"/>
      <c r="B451" s="239" t="s">
        <v>42</v>
      </c>
      <c r="C451" s="232" t="s">
        <v>34</v>
      </c>
      <c r="D451" s="108"/>
      <c r="E451" s="240"/>
      <c r="F451" s="241"/>
      <c r="G451" s="241"/>
      <c r="H451" s="241"/>
      <c r="I451" s="242"/>
      <c r="J451" s="252"/>
      <c r="K451" s="243" t="s">
        <v>35</v>
      </c>
      <c r="L451" s="236">
        <f>(E451*E443)+(F451*F443)+(G451*G443)+(H451*H443)+(I451*I443)+(J451*J443)</f>
        <v>0</v>
      </c>
      <c r="M451" s="237" t="s">
        <v>36</v>
      </c>
      <c r="N451" s="238" t="b">
        <v>0</v>
      </c>
    </row>
    <row r="452" ht="13.5" customHeight="1">
      <c r="A452" s="230" t="s">
        <v>43</v>
      </c>
      <c r="B452" s="245" t="str">
        <f>IFS(L452=0,"",B452&lt;&gt;"",B452,TRUE,NOW())</f>
        <v/>
      </c>
      <c r="C452" s="232" t="s">
        <v>37</v>
      </c>
      <c r="D452" s="108"/>
      <c r="E452" s="246"/>
      <c r="F452" s="246"/>
      <c r="G452" s="246"/>
      <c r="H452" s="246"/>
      <c r="I452" s="247"/>
      <c r="J452" s="253"/>
      <c r="K452" s="248" t="s">
        <v>38</v>
      </c>
      <c r="L452" s="249">
        <f>L451-L450</f>
        <v>0</v>
      </c>
      <c r="M452" s="250" t="s">
        <v>39</v>
      </c>
      <c r="N452" s="238" t="b">
        <v>0</v>
      </c>
    </row>
    <row r="453" ht="13.5" customHeight="1">
      <c r="A453" s="230"/>
      <c r="B453" s="222" t="s">
        <v>116</v>
      </c>
      <c r="C453" s="223" t="s">
        <v>27</v>
      </c>
      <c r="D453" s="224"/>
      <c r="E453" s="254">
        <f t="shared" ref="E453:J453" si="124">E451-E454</f>
        <v>0</v>
      </c>
      <c r="F453" s="254">
        <f t="shared" si="124"/>
        <v>0</v>
      </c>
      <c r="G453" s="254">
        <f t="shared" si="124"/>
        <v>0</v>
      </c>
      <c r="H453" s="254">
        <f t="shared" si="124"/>
        <v>0</v>
      </c>
      <c r="I453" s="254">
        <f t="shared" si="124"/>
        <v>0</v>
      </c>
      <c r="J453" s="254">
        <f t="shared" si="124"/>
        <v>0</v>
      </c>
      <c r="K453" s="227"/>
      <c r="L453" s="30"/>
      <c r="M453" s="228" t="s">
        <v>28</v>
      </c>
      <c r="N453" s="229" t="b">
        <v>0</v>
      </c>
    </row>
    <row r="454" ht="15.0" customHeight="1">
      <c r="A454" s="230" t="s">
        <v>45</v>
      </c>
      <c r="B454" s="231"/>
      <c r="C454" s="232" t="s">
        <v>30</v>
      </c>
      <c r="D454" s="108"/>
      <c r="E454" s="255"/>
      <c r="F454" s="255"/>
      <c r="G454" s="255"/>
      <c r="H454" s="255"/>
      <c r="I454" s="255"/>
      <c r="J454" s="255"/>
      <c r="K454" s="235" t="s">
        <v>30</v>
      </c>
      <c r="L454" s="236">
        <f>(E454*E443)+(F454*F443)+(G454*G443)+(H454*H443)+(I454*I443)+(J454*J443)</f>
        <v>0</v>
      </c>
      <c r="M454" s="237" t="s">
        <v>31</v>
      </c>
      <c r="N454" s="238" t="b">
        <v>0</v>
      </c>
    </row>
    <row r="455" ht="13.5" customHeight="1">
      <c r="A455" s="221"/>
      <c r="B455" s="239" t="s">
        <v>47</v>
      </c>
      <c r="C455" s="232" t="s">
        <v>34</v>
      </c>
      <c r="D455" s="108"/>
      <c r="E455" s="256"/>
      <c r="F455" s="257"/>
      <c r="G455" s="257"/>
      <c r="H455" s="257"/>
      <c r="I455" s="257"/>
      <c r="J455" s="257"/>
      <c r="K455" s="243" t="s">
        <v>35</v>
      </c>
      <c r="L455" s="236">
        <f>(E455*E443)+(F455*F443)+(G455*G443)+(H455*H443)+(I455*I443)+(J455*J443)</f>
        <v>0</v>
      </c>
      <c r="M455" s="237" t="s">
        <v>36</v>
      </c>
      <c r="N455" s="238" t="b">
        <v>0</v>
      </c>
    </row>
    <row r="456" ht="13.5" customHeight="1">
      <c r="A456" s="68"/>
      <c r="B456" s="245" t="str">
        <f>IFS(L456=0,"",B456&lt;&gt;"",B456,TRUE,NOW())</f>
        <v/>
      </c>
      <c r="C456" s="232" t="s">
        <v>37</v>
      </c>
      <c r="D456" s="108"/>
      <c r="E456" s="258"/>
      <c r="F456" s="258"/>
      <c r="G456" s="258"/>
      <c r="H456" s="258"/>
      <c r="I456" s="258"/>
      <c r="J456" s="258"/>
      <c r="K456" s="248" t="s">
        <v>38</v>
      </c>
      <c r="L456" s="249">
        <f>L455-L454</f>
        <v>0</v>
      </c>
      <c r="M456" s="250" t="s">
        <v>39</v>
      </c>
      <c r="N456" s="238" t="b">
        <v>0</v>
      </c>
    </row>
    <row r="457" ht="13.5" customHeight="1">
      <c r="A457" s="259" t="s">
        <v>48</v>
      </c>
      <c r="B457" s="222" t="s">
        <v>116</v>
      </c>
      <c r="C457" s="223" t="s">
        <v>27</v>
      </c>
      <c r="D457" s="224"/>
      <c r="E457" s="254">
        <f t="shared" ref="E457:J457" si="125">E455-E458</f>
        <v>0</v>
      </c>
      <c r="F457" s="254">
        <f t="shared" si="125"/>
        <v>0</v>
      </c>
      <c r="G457" s="254">
        <f t="shared" si="125"/>
        <v>0</v>
      </c>
      <c r="H457" s="254">
        <f t="shared" si="125"/>
        <v>0</v>
      </c>
      <c r="I457" s="254">
        <f t="shared" si="125"/>
        <v>0</v>
      </c>
      <c r="J457" s="254">
        <f t="shared" si="125"/>
        <v>0</v>
      </c>
      <c r="K457" s="227"/>
      <c r="L457" s="30"/>
      <c r="M457" s="228" t="s">
        <v>28</v>
      </c>
      <c r="N457" s="229" t="b">
        <v>0</v>
      </c>
    </row>
    <row r="458" ht="13.5" customHeight="1">
      <c r="A458" s="87"/>
      <c r="B458" s="231"/>
      <c r="C458" s="232" t="s">
        <v>30</v>
      </c>
      <c r="D458" s="108"/>
      <c r="E458" s="255"/>
      <c r="F458" s="255"/>
      <c r="G458" s="255"/>
      <c r="H458" s="255"/>
      <c r="I458" s="255"/>
      <c r="J458" s="255"/>
      <c r="K458" s="235" t="s">
        <v>30</v>
      </c>
      <c r="L458" s="236">
        <f>(E458*E443)+(F458*F443)+(G458*G443)+(H458*H443)+(I458*I443)+(J458*J443)</f>
        <v>0</v>
      </c>
      <c r="M458" s="237" t="s">
        <v>31</v>
      </c>
      <c r="N458" s="238" t="b">
        <v>0</v>
      </c>
    </row>
    <row r="459" ht="15.0" customHeight="1">
      <c r="A459" s="68"/>
      <c r="B459" s="239" t="s">
        <v>49</v>
      </c>
      <c r="C459" s="232" t="s">
        <v>34</v>
      </c>
      <c r="D459" s="108"/>
      <c r="E459" s="256"/>
      <c r="F459" s="257"/>
      <c r="G459" s="257"/>
      <c r="H459" s="257"/>
      <c r="I459" s="257"/>
      <c r="J459" s="257"/>
      <c r="K459" s="243" t="s">
        <v>35</v>
      </c>
      <c r="L459" s="236">
        <f>(E459*E443)+(F459*F443)+(G459*G443)+(H459*H443)+(I459*I443)+(J459*J443)</f>
        <v>0</v>
      </c>
      <c r="M459" s="237" t="s">
        <v>36</v>
      </c>
      <c r="N459" s="238" t="b">
        <v>0</v>
      </c>
    </row>
    <row r="460" ht="13.5" customHeight="1">
      <c r="A460" s="80"/>
      <c r="B460" s="266" t="str">
        <f>IFS(L460=0,"",B460&lt;&gt;"",B460,TRUE,NOW())</f>
        <v/>
      </c>
      <c r="C460" s="265" t="s">
        <v>37</v>
      </c>
      <c r="D460" s="117"/>
      <c r="E460" s="267"/>
      <c r="F460" s="267"/>
      <c r="G460" s="267"/>
      <c r="H460" s="267"/>
      <c r="I460" s="267"/>
      <c r="J460" s="267"/>
      <c r="K460" s="268" t="s">
        <v>38</v>
      </c>
      <c r="L460" s="269">
        <f>L459-L458</f>
        <v>0</v>
      </c>
      <c r="M460" s="250" t="s">
        <v>39</v>
      </c>
      <c r="N460" s="260" t="b">
        <v>0</v>
      </c>
    </row>
    <row r="461" ht="13.5" customHeight="1">
      <c r="A461" s="270" t="s">
        <v>117</v>
      </c>
      <c r="B461" s="271" t="s">
        <v>20</v>
      </c>
      <c r="C461" s="96"/>
      <c r="D461" s="10"/>
      <c r="E461" s="272">
        <f t="shared" ref="E461:J461" si="126">E6</f>
        <v>16</v>
      </c>
      <c r="F461" s="272">
        <f t="shared" si="126"/>
        <v>26</v>
      </c>
      <c r="G461" s="272">
        <f t="shared" si="126"/>
        <v>26</v>
      </c>
      <c r="H461" s="273">
        <f t="shared" si="126"/>
        <v>26</v>
      </c>
      <c r="I461" s="274">
        <f t="shared" si="126"/>
        <v>31</v>
      </c>
      <c r="J461" s="272">
        <f t="shared" si="126"/>
        <v>36</v>
      </c>
      <c r="K461" s="271" t="s">
        <v>21</v>
      </c>
      <c r="L461" s="10"/>
      <c r="M461" s="275" t="s">
        <v>118</v>
      </c>
      <c r="N461" s="10"/>
    </row>
    <row r="462" ht="20.25" customHeight="1">
      <c r="A462" s="276" t="s">
        <v>23</v>
      </c>
      <c r="B462" s="222" t="s">
        <v>117</v>
      </c>
      <c r="C462" s="223" t="s">
        <v>30</v>
      </c>
      <c r="D462" s="224"/>
      <c r="E462" s="277"/>
      <c r="F462" s="277"/>
      <c r="G462" s="277"/>
      <c r="H462" s="277"/>
      <c r="I462" s="278"/>
      <c r="J462" s="277"/>
      <c r="K462" s="279" t="s">
        <v>30</v>
      </c>
      <c r="L462" s="280">
        <f>(E462*E461)+(F462*F461)+(G462*G461)+(H462*H461)+(I462*I461)+(J462*J461)</f>
        <v>0</v>
      </c>
      <c r="M462" s="228" t="s">
        <v>119</v>
      </c>
      <c r="N462" s="281" t="b">
        <v>0</v>
      </c>
    </row>
    <row r="463" ht="13.5" customHeight="1">
      <c r="A463" s="282"/>
      <c r="B463" s="231"/>
      <c r="C463" s="232" t="s">
        <v>34</v>
      </c>
      <c r="D463" s="108"/>
      <c r="E463" s="240"/>
      <c r="F463" s="241"/>
      <c r="G463" s="241"/>
      <c r="H463" s="241"/>
      <c r="I463" s="242"/>
      <c r="J463" s="241"/>
      <c r="K463" s="243" t="s">
        <v>35</v>
      </c>
      <c r="L463" s="236">
        <f>(E463*E461)+(F463*F461)+(G463*G461)+(H463*H461)+(I463*I461)+(J463*J461)</f>
        <v>0</v>
      </c>
      <c r="M463" s="244" t="s">
        <v>121</v>
      </c>
      <c r="N463" s="238" t="b">
        <v>0</v>
      </c>
    </row>
    <row r="464" ht="13.5" customHeight="1">
      <c r="A464" s="80"/>
      <c r="B464" s="283" t="s">
        <v>33</v>
      </c>
      <c r="C464" s="284" t="s">
        <v>37</v>
      </c>
      <c r="D464" s="285"/>
      <c r="E464" s="286"/>
      <c r="F464" s="286"/>
      <c r="G464" s="286"/>
      <c r="H464" s="286"/>
      <c r="I464" s="287"/>
      <c r="J464" s="286"/>
      <c r="K464" s="248" t="s">
        <v>38</v>
      </c>
      <c r="L464" s="249">
        <f>L463-L462</f>
        <v>0</v>
      </c>
      <c r="M464" s="288" t="s">
        <v>122</v>
      </c>
      <c r="N464" s="289" t="b">
        <v>0</v>
      </c>
    </row>
    <row r="465" ht="13.5" customHeight="1">
      <c r="A465" s="276" t="s">
        <v>23</v>
      </c>
      <c r="B465" s="222" t="s">
        <v>117</v>
      </c>
      <c r="C465" s="223" t="s">
        <v>30</v>
      </c>
      <c r="D465" s="224"/>
      <c r="E465" s="277"/>
      <c r="F465" s="277"/>
      <c r="G465" s="277"/>
      <c r="H465" s="277"/>
      <c r="I465" s="278"/>
      <c r="J465" s="290"/>
      <c r="K465" s="279" t="s">
        <v>30</v>
      </c>
      <c r="L465" s="280">
        <f>(E465*E461)+(F465*F461)+(G465*G461)+(H465*H461)+(I465*I461)+(J465*J461)</f>
        <v>0</v>
      </c>
      <c r="M465" s="228" t="s">
        <v>119</v>
      </c>
      <c r="N465" s="281" t="b">
        <v>0</v>
      </c>
    </row>
    <row r="466" ht="13.5" customHeight="1">
      <c r="A466" s="282"/>
      <c r="B466" s="231"/>
      <c r="C466" s="232" t="s">
        <v>34</v>
      </c>
      <c r="D466" s="108"/>
      <c r="E466" s="240"/>
      <c r="F466" s="241"/>
      <c r="G466" s="241"/>
      <c r="H466" s="241"/>
      <c r="I466" s="242"/>
      <c r="J466" s="252"/>
      <c r="K466" s="243" t="s">
        <v>35</v>
      </c>
      <c r="L466" s="236">
        <f>(E466*E461)+(F466*F461)+(G466*G461)+(H466*H461)+(I466*I461)+(J466*J461)</f>
        <v>0</v>
      </c>
      <c r="M466" s="244" t="s">
        <v>121</v>
      </c>
      <c r="N466" s="238" t="b">
        <v>0</v>
      </c>
    </row>
    <row r="467" ht="13.5" customHeight="1">
      <c r="A467" s="80"/>
      <c r="B467" s="283" t="s">
        <v>42</v>
      </c>
      <c r="C467" s="284" t="s">
        <v>37</v>
      </c>
      <c r="D467" s="285"/>
      <c r="E467" s="286"/>
      <c r="F467" s="286"/>
      <c r="G467" s="286"/>
      <c r="H467" s="286"/>
      <c r="I467" s="287"/>
      <c r="J467" s="291"/>
      <c r="K467" s="248" t="s">
        <v>38</v>
      </c>
      <c r="L467" s="249">
        <f>L466-L465</f>
        <v>0</v>
      </c>
      <c r="M467" s="288" t="s">
        <v>122</v>
      </c>
      <c r="N467" s="289" t="b">
        <v>0</v>
      </c>
    </row>
    <row r="468" ht="13.5" customHeight="1">
      <c r="A468" s="276" t="s">
        <v>23</v>
      </c>
      <c r="B468" s="222" t="s">
        <v>117</v>
      </c>
      <c r="C468" s="223" t="s">
        <v>30</v>
      </c>
      <c r="D468" s="224"/>
      <c r="E468" s="292"/>
      <c r="F468" s="292"/>
      <c r="G468" s="292"/>
      <c r="H468" s="292"/>
      <c r="I468" s="292"/>
      <c r="J468" s="292"/>
      <c r="K468" s="279" t="s">
        <v>30</v>
      </c>
      <c r="L468" s="280">
        <f>(E468*E461)+(F468*F461)+(G468*G461)+(H468*H461)+(I468*I461)+(J468*J461)</f>
        <v>0</v>
      </c>
      <c r="M468" s="228" t="s">
        <v>119</v>
      </c>
      <c r="N468" s="281" t="b">
        <v>0</v>
      </c>
    </row>
    <row r="469" ht="13.5" customHeight="1">
      <c r="A469" s="282"/>
      <c r="B469" s="231"/>
      <c r="C469" s="232" t="s">
        <v>34</v>
      </c>
      <c r="D469" s="108"/>
      <c r="E469" s="256"/>
      <c r="F469" s="257"/>
      <c r="G469" s="257"/>
      <c r="H469" s="257"/>
      <c r="I469" s="257"/>
      <c r="J469" s="257"/>
      <c r="K469" s="243" t="s">
        <v>35</v>
      </c>
      <c r="L469" s="236">
        <f>(E469*E461)+(F469*F461)+(G469*G461)+(H469*H461)+(I469*I461)+(J469*J461)</f>
        <v>0</v>
      </c>
      <c r="M469" s="244" t="s">
        <v>121</v>
      </c>
      <c r="N469" s="238" t="b">
        <v>0</v>
      </c>
    </row>
    <row r="470" ht="13.5" customHeight="1">
      <c r="A470" s="80"/>
      <c r="B470" s="283" t="s">
        <v>47</v>
      </c>
      <c r="C470" s="284" t="s">
        <v>37</v>
      </c>
      <c r="D470" s="285"/>
      <c r="E470" s="293"/>
      <c r="F470" s="293"/>
      <c r="G470" s="293"/>
      <c r="H470" s="293"/>
      <c r="I470" s="293"/>
      <c r="J470" s="293"/>
      <c r="K470" s="248" t="s">
        <v>38</v>
      </c>
      <c r="L470" s="249">
        <f>L469-L468</f>
        <v>0</v>
      </c>
      <c r="M470" s="288" t="s">
        <v>122</v>
      </c>
      <c r="N470" s="289" t="b">
        <v>0</v>
      </c>
    </row>
    <row r="471" ht="18.75" customHeight="1">
      <c r="A471" s="276" t="s">
        <v>23</v>
      </c>
      <c r="B471" s="222" t="s">
        <v>117</v>
      </c>
      <c r="C471" s="223" t="s">
        <v>30</v>
      </c>
      <c r="D471" s="224"/>
      <c r="E471" s="292"/>
      <c r="F471" s="292"/>
      <c r="G471" s="292"/>
      <c r="H471" s="292"/>
      <c r="I471" s="292"/>
      <c r="J471" s="292"/>
      <c r="K471" s="279" t="s">
        <v>30</v>
      </c>
      <c r="L471" s="280">
        <f>(E471*E461)+(F471*F461)+(G471*G461)+(H471*H461)+(I471*I461)+(J471*J461)</f>
        <v>0</v>
      </c>
      <c r="M471" s="228" t="s">
        <v>119</v>
      </c>
      <c r="N471" s="281" t="b">
        <v>0</v>
      </c>
    </row>
    <row r="472" ht="13.5" customHeight="1">
      <c r="A472" s="282"/>
      <c r="B472" s="231"/>
      <c r="C472" s="232" t="s">
        <v>34</v>
      </c>
      <c r="D472" s="108"/>
      <c r="E472" s="256"/>
      <c r="F472" s="257"/>
      <c r="G472" s="257"/>
      <c r="H472" s="257"/>
      <c r="I472" s="257"/>
      <c r="J472" s="257"/>
      <c r="K472" s="243" t="s">
        <v>35</v>
      </c>
      <c r="L472" s="236">
        <f>(E472*E461)+(F472*F461)+(G472*G461)+(H472*H461)+(I472*I461)+(J472*J461)</f>
        <v>0</v>
      </c>
      <c r="M472" s="244" t="s">
        <v>121</v>
      </c>
      <c r="N472" s="238" t="b">
        <v>0</v>
      </c>
    </row>
    <row r="473" ht="13.5" customHeight="1">
      <c r="A473" s="80"/>
      <c r="B473" s="283" t="s">
        <v>49</v>
      </c>
      <c r="C473" s="284" t="s">
        <v>37</v>
      </c>
      <c r="D473" s="285"/>
      <c r="E473" s="293"/>
      <c r="F473" s="293"/>
      <c r="G473" s="293"/>
      <c r="H473" s="293"/>
      <c r="I473" s="293"/>
      <c r="J473" s="293"/>
      <c r="K473" s="248" t="s">
        <v>38</v>
      </c>
      <c r="L473" s="249">
        <f>L472-L471</f>
        <v>0</v>
      </c>
      <c r="M473" s="288" t="s">
        <v>122</v>
      </c>
      <c r="N473" s="289" t="b">
        <v>0</v>
      </c>
    </row>
    <row r="474" ht="13.5" customHeight="1">
      <c r="A474" s="270" t="s">
        <v>123</v>
      </c>
      <c r="B474" s="271" t="s">
        <v>20</v>
      </c>
      <c r="C474" s="96"/>
      <c r="D474" s="10"/>
      <c r="E474" s="272">
        <f t="shared" ref="E474:J474" si="127">E6</f>
        <v>16</v>
      </c>
      <c r="F474" s="272">
        <f t="shared" si="127"/>
        <v>26</v>
      </c>
      <c r="G474" s="272">
        <f t="shared" si="127"/>
        <v>26</v>
      </c>
      <c r="H474" s="273">
        <f t="shared" si="127"/>
        <v>26</v>
      </c>
      <c r="I474" s="274">
        <f t="shared" si="127"/>
        <v>31</v>
      </c>
      <c r="J474" s="272">
        <f t="shared" si="127"/>
        <v>36</v>
      </c>
      <c r="K474" s="271" t="s">
        <v>21</v>
      </c>
      <c r="L474" s="10"/>
      <c r="M474" s="275" t="s">
        <v>118</v>
      </c>
      <c r="N474" s="10"/>
    </row>
    <row r="475" ht="13.5" customHeight="1">
      <c r="A475" s="276" t="s">
        <v>23</v>
      </c>
      <c r="B475" s="222" t="s">
        <v>123</v>
      </c>
      <c r="C475" s="223" t="s">
        <v>30</v>
      </c>
      <c r="D475" s="224"/>
      <c r="E475" s="277"/>
      <c r="F475" s="277"/>
      <c r="G475" s="277"/>
      <c r="H475" s="277"/>
      <c r="I475" s="278"/>
      <c r="J475" s="277"/>
      <c r="K475" s="279" t="s">
        <v>30</v>
      </c>
      <c r="L475" s="280">
        <f>(E475*E474)+(F475*F474)+(G475*G474)+(H475*H474)+(I475*I474)+(J475*J474)</f>
        <v>0</v>
      </c>
      <c r="M475" s="228" t="s">
        <v>119</v>
      </c>
      <c r="N475" s="281" t="b">
        <v>0</v>
      </c>
    </row>
    <row r="476" ht="13.5" customHeight="1">
      <c r="A476" s="282"/>
      <c r="B476" s="231"/>
      <c r="C476" s="232" t="s">
        <v>34</v>
      </c>
      <c r="D476" s="108"/>
      <c r="E476" s="240"/>
      <c r="F476" s="241"/>
      <c r="G476" s="241"/>
      <c r="H476" s="241"/>
      <c r="I476" s="242"/>
      <c r="J476" s="241"/>
      <c r="K476" s="243" t="s">
        <v>35</v>
      </c>
      <c r="L476" s="236">
        <f>(E476*E474)+(F476*F474)+(G476*G474)+(H476*H474)+(I476*I474)+(J476*J474)</f>
        <v>0</v>
      </c>
      <c r="M476" s="244" t="s">
        <v>121</v>
      </c>
      <c r="N476" s="238" t="b">
        <v>0</v>
      </c>
    </row>
    <row r="477" ht="13.5" customHeight="1">
      <c r="A477" s="80"/>
      <c r="B477" s="283" t="s">
        <v>33</v>
      </c>
      <c r="C477" s="284" t="s">
        <v>37</v>
      </c>
      <c r="D477" s="285"/>
      <c r="E477" s="286"/>
      <c r="F477" s="286"/>
      <c r="G477" s="286"/>
      <c r="H477" s="286"/>
      <c r="I477" s="287"/>
      <c r="J477" s="286"/>
      <c r="K477" s="248" t="s">
        <v>38</v>
      </c>
      <c r="L477" s="249">
        <f>L476-L475</f>
        <v>0</v>
      </c>
      <c r="M477" s="288" t="s">
        <v>122</v>
      </c>
      <c r="N477" s="289" t="b">
        <v>0</v>
      </c>
    </row>
    <row r="478" ht="15.0" customHeight="1">
      <c r="A478" s="276" t="s">
        <v>23</v>
      </c>
      <c r="B478" s="222" t="s">
        <v>123</v>
      </c>
      <c r="C478" s="223" t="s">
        <v>30</v>
      </c>
      <c r="D478" s="224"/>
      <c r="E478" s="277"/>
      <c r="F478" s="277"/>
      <c r="G478" s="277"/>
      <c r="H478" s="277"/>
      <c r="I478" s="278"/>
      <c r="J478" s="290"/>
      <c r="K478" s="279" t="s">
        <v>30</v>
      </c>
      <c r="L478" s="280">
        <f>(E478*E474)+(F478*F474)+(G478*G474)+(H478*H474)+(I478*I474)+(J478*J474)</f>
        <v>0</v>
      </c>
      <c r="M478" s="228" t="s">
        <v>119</v>
      </c>
      <c r="N478" s="281" t="b">
        <v>0</v>
      </c>
    </row>
    <row r="479" ht="13.5" customHeight="1">
      <c r="A479" s="282"/>
      <c r="B479" s="231"/>
      <c r="C479" s="232" t="s">
        <v>34</v>
      </c>
      <c r="D479" s="108"/>
      <c r="E479" s="240"/>
      <c r="F479" s="241"/>
      <c r="G479" s="241"/>
      <c r="H479" s="241"/>
      <c r="I479" s="242"/>
      <c r="J479" s="252"/>
      <c r="K479" s="243" t="s">
        <v>35</v>
      </c>
      <c r="L479" s="236">
        <f>(E479*E474)+(F479*F474)+(G479*G474)+(H479*H474)+(I479*I474)+(J479*J474)</f>
        <v>0</v>
      </c>
      <c r="M479" s="244" t="s">
        <v>121</v>
      </c>
      <c r="N479" s="238" t="b">
        <v>0</v>
      </c>
    </row>
    <row r="480" ht="13.5" customHeight="1">
      <c r="A480" s="80"/>
      <c r="B480" s="283" t="s">
        <v>42</v>
      </c>
      <c r="C480" s="284" t="s">
        <v>37</v>
      </c>
      <c r="D480" s="285"/>
      <c r="E480" s="286"/>
      <c r="F480" s="286"/>
      <c r="G480" s="286"/>
      <c r="H480" s="286"/>
      <c r="I480" s="287"/>
      <c r="J480" s="291"/>
      <c r="K480" s="248" t="s">
        <v>38</v>
      </c>
      <c r="L480" s="249">
        <f>L479-L478</f>
        <v>0</v>
      </c>
      <c r="M480" s="288" t="s">
        <v>122</v>
      </c>
      <c r="N480" s="289" t="b">
        <v>0</v>
      </c>
    </row>
    <row r="481" ht="13.5" customHeight="1">
      <c r="A481" s="276" t="s">
        <v>23</v>
      </c>
      <c r="B481" s="222" t="s">
        <v>123</v>
      </c>
      <c r="C481" s="223" t="s">
        <v>30</v>
      </c>
      <c r="D481" s="224"/>
      <c r="E481" s="292"/>
      <c r="F481" s="292"/>
      <c r="G481" s="292"/>
      <c r="H481" s="292"/>
      <c r="I481" s="292"/>
      <c r="J481" s="292"/>
      <c r="K481" s="279" t="s">
        <v>30</v>
      </c>
      <c r="L481" s="280">
        <f>(E481*E474)+(F481*F474)+(G481*G474)+(H481*H474)+(I481*I474)+(J481*J474)</f>
        <v>0</v>
      </c>
      <c r="M481" s="228" t="s">
        <v>119</v>
      </c>
      <c r="N481" s="281" t="b">
        <v>0</v>
      </c>
    </row>
    <row r="482" ht="13.5" customHeight="1">
      <c r="A482" s="282"/>
      <c r="B482" s="231"/>
      <c r="C482" s="232" t="s">
        <v>34</v>
      </c>
      <c r="D482" s="108"/>
      <c r="E482" s="256"/>
      <c r="F482" s="257"/>
      <c r="G482" s="257"/>
      <c r="H482" s="257"/>
      <c r="I482" s="257"/>
      <c r="J482" s="257"/>
      <c r="K482" s="243" t="s">
        <v>35</v>
      </c>
      <c r="L482" s="236">
        <f>(E482*E474)+(F482*F474)+(G482*G474)+(H482*H474)+(I482*I474)+(J482*J474)</f>
        <v>0</v>
      </c>
      <c r="M482" s="244" t="s">
        <v>121</v>
      </c>
      <c r="N482" s="238" t="b">
        <v>0</v>
      </c>
    </row>
    <row r="483" ht="13.5" customHeight="1">
      <c r="A483" s="80"/>
      <c r="B483" s="283" t="s">
        <v>47</v>
      </c>
      <c r="C483" s="284" t="s">
        <v>37</v>
      </c>
      <c r="D483" s="285"/>
      <c r="E483" s="293"/>
      <c r="F483" s="293"/>
      <c r="G483" s="293"/>
      <c r="H483" s="293"/>
      <c r="I483" s="293"/>
      <c r="J483" s="293"/>
      <c r="K483" s="248" t="s">
        <v>38</v>
      </c>
      <c r="L483" s="249">
        <f>L482-L481</f>
        <v>0</v>
      </c>
      <c r="M483" s="288" t="s">
        <v>122</v>
      </c>
      <c r="N483" s="289" t="b">
        <v>0</v>
      </c>
    </row>
    <row r="484" ht="13.5" customHeight="1">
      <c r="A484" s="276" t="s">
        <v>23</v>
      </c>
      <c r="B484" s="222" t="s">
        <v>123</v>
      </c>
      <c r="C484" s="223" t="s">
        <v>30</v>
      </c>
      <c r="D484" s="224"/>
      <c r="E484" s="292"/>
      <c r="F484" s="292"/>
      <c r="G484" s="292"/>
      <c r="H484" s="292"/>
      <c r="I484" s="292"/>
      <c r="J484" s="292"/>
      <c r="K484" s="279" t="s">
        <v>30</v>
      </c>
      <c r="L484" s="280">
        <f>(E484*E474)+(F484*F474)+(G484*G474)+(H484*H474)+(I484*I474)+(J484*J474)</f>
        <v>0</v>
      </c>
      <c r="M484" s="228" t="s">
        <v>119</v>
      </c>
      <c r="N484" s="281" t="b">
        <v>0</v>
      </c>
    </row>
    <row r="485" ht="13.5" customHeight="1">
      <c r="A485" s="282"/>
      <c r="B485" s="231"/>
      <c r="C485" s="232" t="s">
        <v>34</v>
      </c>
      <c r="D485" s="108"/>
      <c r="E485" s="256"/>
      <c r="F485" s="257"/>
      <c r="G485" s="257"/>
      <c r="H485" s="257"/>
      <c r="I485" s="257"/>
      <c r="J485" s="257"/>
      <c r="K485" s="243" t="s">
        <v>35</v>
      </c>
      <c r="L485" s="236">
        <f>(E485*E474)+(F485*F474)+(G485*G474)+(H485*H474)+(I485*I474)+(J485*J474)</f>
        <v>0</v>
      </c>
      <c r="M485" s="244" t="s">
        <v>121</v>
      </c>
      <c r="N485" s="238" t="b">
        <v>0</v>
      </c>
    </row>
    <row r="486" ht="13.5" customHeight="1">
      <c r="A486" s="80"/>
      <c r="B486" s="283" t="s">
        <v>49</v>
      </c>
      <c r="C486" s="284" t="s">
        <v>37</v>
      </c>
      <c r="D486" s="285"/>
      <c r="E486" s="293"/>
      <c r="F486" s="293"/>
      <c r="G486" s="293"/>
      <c r="H486" s="293"/>
      <c r="I486" s="293"/>
      <c r="J486" s="293"/>
      <c r="K486" s="248" t="s">
        <v>38</v>
      </c>
      <c r="L486" s="249">
        <f>L485-L484</f>
        <v>0</v>
      </c>
      <c r="M486" s="288" t="s">
        <v>122</v>
      </c>
      <c r="N486" s="289" t="b">
        <v>0</v>
      </c>
    </row>
    <row r="487" ht="13.5" customHeight="1">
      <c r="A487" s="270" t="s">
        <v>124</v>
      </c>
      <c r="B487" s="271" t="s">
        <v>20</v>
      </c>
      <c r="C487" s="96"/>
      <c r="D487" s="10"/>
      <c r="E487" s="272">
        <f t="shared" ref="E487:J487" si="128">E6</f>
        <v>16</v>
      </c>
      <c r="F487" s="272">
        <f t="shared" si="128"/>
        <v>26</v>
      </c>
      <c r="G487" s="272">
        <f t="shared" si="128"/>
        <v>26</v>
      </c>
      <c r="H487" s="273">
        <f t="shared" si="128"/>
        <v>26</v>
      </c>
      <c r="I487" s="274">
        <f t="shared" si="128"/>
        <v>31</v>
      </c>
      <c r="J487" s="272">
        <f t="shared" si="128"/>
        <v>36</v>
      </c>
      <c r="K487" s="271" t="s">
        <v>21</v>
      </c>
      <c r="L487" s="10"/>
      <c r="M487" s="275" t="s">
        <v>118</v>
      </c>
      <c r="N487" s="10"/>
    </row>
    <row r="488" ht="13.5" customHeight="1">
      <c r="A488" s="276" t="s">
        <v>23</v>
      </c>
      <c r="B488" s="222" t="s">
        <v>124</v>
      </c>
      <c r="C488" s="223" t="s">
        <v>30</v>
      </c>
      <c r="D488" s="224"/>
      <c r="E488" s="277"/>
      <c r="F488" s="277"/>
      <c r="G488" s="277"/>
      <c r="H488" s="277"/>
      <c r="I488" s="278"/>
      <c r="J488" s="277"/>
      <c r="K488" s="279" t="s">
        <v>30</v>
      </c>
      <c r="L488" s="280">
        <f>(E488*E487)+(F488*F487)+(G488*G487)+(H488*H487)+(I488*I487)+(J488*J487)</f>
        <v>0</v>
      </c>
      <c r="M488" s="228" t="s">
        <v>119</v>
      </c>
      <c r="N488" s="281" t="b">
        <v>0</v>
      </c>
    </row>
    <row r="489" ht="13.5" customHeight="1">
      <c r="A489" s="282"/>
      <c r="B489" s="231"/>
      <c r="C489" s="232" t="s">
        <v>34</v>
      </c>
      <c r="D489" s="108"/>
      <c r="E489" s="240"/>
      <c r="F489" s="241"/>
      <c r="G489" s="241"/>
      <c r="H489" s="241"/>
      <c r="I489" s="242"/>
      <c r="J489" s="241"/>
      <c r="K489" s="243" t="s">
        <v>35</v>
      </c>
      <c r="L489" s="236">
        <f>(E489*E487)+(F489*F487)+(G489*G487)+(H489*H487)+(I489*I487)+(J489*J487)</f>
        <v>0</v>
      </c>
      <c r="M489" s="244" t="s">
        <v>121</v>
      </c>
      <c r="N489" s="238" t="b">
        <v>0</v>
      </c>
    </row>
    <row r="490" ht="13.5" customHeight="1">
      <c r="A490" s="80"/>
      <c r="B490" s="283" t="s">
        <v>33</v>
      </c>
      <c r="C490" s="284" t="s">
        <v>37</v>
      </c>
      <c r="D490" s="285"/>
      <c r="E490" s="286"/>
      <c r="F490" s="286"/>
      <c r="G490" s="286"/>
      <c r="H490" s="286"/>
      <c r="I490" s="287"/>
      <c r="J490" s="286"/>
      <c r="K490" s="248" t="s">
        <v>38</v>
      </c>
      <c r="L490" s="249">
        <f>L489-L488</f>
        <v>0</v>
      </c>
      <c r="M490" s="288" t="s">
        <v>122</v>
      </c>
      <c r="N490" s="289" t="b">
        <v>0</v>
      </c>
    </row>
    <row r="491" ht="13.5" customHeight="1">
      <c r="A491" s="276" t="s">
        <v>23</v>
      </c>
      <c r="B491" s="222" t="s">
        <v>124</v>
      </c>
      <c r="C491" s="223" t="s">
        <v>30</v>
      </c>
      <c r="D491" s="224"/>
      <c r="E491" s="277"/>
      <c r="F491" s="277"/>
      <c r="G491" s="277"/>
      <c r="H491" s="277"/>
      <c r="I491" s="278"/>
      <c r="J491" s="290"/>
      <c r="K491" s="279" t="s">
        <v>30</v>
      </c>
      <c r="L491" s="280">
        <f>(E491*E487)+(F491*F487)+(G491*G487)+(H491*H487)+(I491*I487)+(J491*J487)</f>
        <v>0</v>
      </c>
      <c r="M491" s="228" t="s">
        <v>119</v>
      </c>
      <c r="N491" s="281" t="b">
        <v>0</v>
      </c>
    </row>
    <row r="492" ht="13.5" customHeight="1">
      <c r="A492" s="282"/>
      <c r="B492" s="231"/>
      <c r="C492" s="232" t="s">
        <v>34</v>
      </c>
      <c r="D492" s="108"/>
      <c r="E492" s="240"/>
      <c r="F492" s="241"/>
      <c r="G492" s="241"/>
      <c r="H492" s="241"/>
      <c r="I492" s="242"/>
      <c r="J492" s="252"/>
      <c r="K492" s="243" t="s">
        <v>35</v>
      </c>
      <c r="L492" s="236">
        <f>(E492*E487)+(F492*F487)+(G492*G487)+(H492*H487)+(I492*I487)+(J492*J487)</f>
        <v>0</v>
      </c>
      <c r="M492" s="244" t="s">
        <v>121</v>
      </c>
      <c r="N492" s="238" t="b">
        <v>0</v>
      </c>
    </row>
    <row r="493" ht="13.5" customHeight="1">
      <c r="A493" s="80"/>
      <c r="B493" s="283" t="s">
        <v>42</v>
      </c>
      <c r="C493" s="284" t="s">
        <v>37</v>
      </c>
      <c r="D493" s="285"/>
      <c r="E493" s="286"/>
      <c r="F493" s="286"/>
      <c r="G493" s="286"/>
      <c r="H493" s="286"/>
      <c r="I493" s="287"/>
      <c r="J493" s="291"/>
      <c r="K493" s="248" t="s">
        <v>38</v>
      </c>
      <c r="L493" s="249">
        <f>L492-L491</f>
        <v>0</v>
      </c>
      <c r="M493" s="288" t="s">
        <v>122</v>
      </c>
      <c r="N493" s="289" t="b">
        <v>0</v>
      </c>
    </row>
    <row r="494" ht="15.0" customHeight="1">
      <c r="A494" s="276" t="s">
        <v>23</v>
      </c>
      <c r="B494" s="222" t="s">
        <v>124</v>
      </c>
      <c r="C494" s="223" t="s">
        <v>30</v>
      </c>
      <c r="D494" s="224"/>
      <c r="E494" s="292"/>
      <c r="F494" s="292"/>
      <c r="G494" s="292"/>
      <c r="H494" s="292"/>
      <c r="I494" s="292"/>
      <c r="J494" s="292"/>
      <c r="K494" s="279" t="s">
        <v>30</v>
      </c>
      <c r="L494" s="280">
        <f>(E494*E487)+(F494*F487)+(G494*G487)+(H494*H487)+(I494*I487)+(J494*J487)</f>
        <v>0</v>
      </c>
      <c r="M494" s="228" t="s">
        <v>119</v>
      </c>
      <c r="N494" s="281" t="b">
        <v>0</v>
      </c>
    </row>
    <row r="495" ht="13.5" customHeight="1">
      <c r="A495" s="282"/>
      <c r="B495" s="231"/>
      <c r="C495" s="232" t="s">
        <v>34</v>
      </c>
      <c r="D495" s="108"/>
      <c r="E495" s="256"/>
      <c r="F495" s="257"/>
      <c r="G495" s="257"/>
      <c r="H495" s="257"/>
      <c r="I495" s="257"/>
      <c r="J495" s="257"/>
      <c r="K495" s="243" t="s">
        <v>35</v>
      </c>
      <c r="L495" s="236">
        <f>(E495*E487)+(F495*F487)+(G495*G487)+(H495*H487)+(I495*I487)+(J495*J487)</f>
        <v>0</v>
      </c>
      <c r="M495" s="244" t="s">
        <v>121</v>
      </c>
      <c r="N495" s="238" t="b">
        <v>0</v>
      </c>
    </row>
    <row r="496" ht="13.5" customHeight="1">
      <c r="A496" s="80"/>
      <c r="B496" s="283" t="s">
        <v>47</v>
      </c>
      <c r="C496" s="284" t="s">
        <v>37</v>
      </c>
      <c r="D496" s="285"/>
      <c r="E496" s="293"/>
      <c r="F496" s="293"/>
      <c r="G496" s="293"/>
      <c r="H496" s="293"/>
      <c r="I496" s="293"/>
      <c r="J496" s="293"/>
      <c r="K496" s="248" t="s">
        <v>38</v>
      </c>
      <c r="L496" s="249">
        <f>L495-L494</f>
        <v>0</v>
      </c>
      <c r="M496" s="288" t="s">
        <v>122</v>
      </c>
      <c r="N496" s="289" t="b">
        <v>0</v>
      </c>
    </row>
    <row r="497" ht="13.5" customHeight="1">
      <c r="A497" s="276" t="s">
        <v>23</v>
      </c>
      <c r="B497" s="222" t="s">
        <v>124</v>
      </c>
      <c r="C497" s="223" t="s">
        <v>30</v>
      </c>
      <c r="D497" s="224"/>
      <c r="E497" s="292"/>
      <c r="F497" s="292"/>
      <c r="G497" s="292"/>
      <c r="H497" s="292"/>
      <c r="I497" s="292"/>
      <c r="J497" s="292"/>
      <c r="K497" s="279" t="s">
        <v>30</v>
      </c>
      <c r="L497" s="280">
        <f>(E497*E487)+(F497*F487)+(G497*G487)+(H497*H487)+(I497*I487)+(J497*J487)</f>
        <v>0</v>
      </c>
      <c r="M497" s="228" t="s">
        <v>119</v>
      </c>
      <c r="N497" s="281" t="b">
        <v>0</v>
      </c>
    </row>
    <row r="498" ht="13.5" customHeight="1">
      <c r="A498" s="282"/>
      <c r="B498" s="231"/>
      <c r="C498" s="232" t="s">
        <v>34</v>
      </c>
      <c r="D498" s="108"/>
      <c r="E498" s="256"/>
      <c r="F498" s="257"/>
      <c r="G498" s="257"/>
      <c r="H498" s="257"/>
      <c r="I498" s="257"/>
      <c r="J498" s="257"/>
      <c r="K498" s="243" t="s">
        <v>35</v>
      </c>
      <c r="L498" s="236">
        <f>(E498*E487)+(F498*F487)+(G498*G487)+(H498*H487)+(I498*I487)+(J498*J487)</f>
        <v>0</v>
      </c>
      <c r="M498" s="244" t="s">
        <v>121</v>
      </c>
      <c r="N498" s="238" t="b">
        <v>0</v>
      </c>
    </row>
    <row r="499" ht="13.5" customHeight="1">
      <c r="A499" s="80"/>
      <c r="B499" s="283" t="s">
        <v>49</v>
      </c>
      <c r="C499" s="284" t="s">
        <v>37</v>
      </c>
      <c r="D499" s="285"/>
      <c r="E499" s="293"/>
      <c r="F499" s="293"/>
      <c r="G499" s="293"/>
      <c r="H499" s="293"/>
      <c r="I499" s="293"/>
      <c r="J499" s="293"/>
      <c r="K499" s="248" t="s">
        <v>38</v>
      </c>
      <c r="L499" s="249">
        <f>L498-L497</f>
        <v>0</v>
      </c>
      <c r="M499" s="288" t="s">
        <v>122</v>
      </c>
      <c r="N499" s="289" t="b">
        <v>0</v>
      </c>
    </row>
    <row r="500" ht="18.75" customHeight="1">
      <c r="A500" s="270" t="s">
        <v>125</v>
      </c>
      <c r="B500" s="271" t="s">
        <v>20</v>
      </c>
      <c r="C500" s="96"/>
      <c r="D500" s="10"/>
      <c r="E500" s="272">
        <f t="shared" ref="E500:J500" si="129">E6</f>
        <v>16</v>
      </c>
      <c r="F500" s="272">
        <f t="shared" si="129"/>
        <v>26</v>
      </c>
      <c r="G500" s="272">
        <f t="shared" si="129"/>
        <v>26</v>
      </c>
      <c r="H500" s="273">
        <f t="shared" si="129"/>
        <v>26</v>
      </c>
      <c r="I500" s="274">
        <f t="shared" si="129"/>
        <v>31</v>
      </c>
      <c r="J500" s="272">
        <f t="shared" si="129"/>
        <v>36</v>
      </c>
      <c r="K500" s="271" t="s">
        <v>21</v>
      </c>
      <c r="L500" s="10"/>
      <c r="M500" s="275" t="s">
        <v>118</v>
      </c>
      <c r="N500" s="10"/>
    </row>
    <row r="501" ht="13.5" customHeight="1">
      <c r="A501" s="276" t="s">
        <v>23</v>
      </c>
      <c r="B501" s="222" t="s">
        <v>125</v>
      </c>
      <c r="C501" s="223" t="s">
        <v>30</v>
      </c>
      <c r="D501" s="224"/>
      <c r="E501" s="277"/>
      <c r="F501" s="277"/>
      <c r="G501" s="277"/>
      <c r="H501" s="277"/>
      <c r="I501" s="278"/>
      <c r="J501" s="277"/>
      <c r="K501" s="279" t="s">
        <v>30</v>
      </c>
      <c r="L501" s="280">
        <f>(E501*E500)+(F501*F500)+(G501*G500)+(H501*H500)+(I501*I500)+(J501*J500)</f>
        <v>0</v>
      </c>
      <c r="M501" s="228" t="s">
        <v>119</v>
      </c>
      <c r="N501" s="281" t="b">
        <v>0</v>
      </c>
    </row>
    <row r="502" ht="13.5" customHeight="1">
      <c r="A502" s="282"/>
      <c r="B502" s="231"/>
      <c r="C502" s="232" t="s">
        <v>34</v>
      </c>
      <c r="D502" s="108"/>
      <c r="E502" s="240"/>
      <c r="F502" s="241"/>
      <c r="G502" s="241"/>
      <c r="H502" s="241"/>
      <c r="I502" s="242"/>
      <c r="J502" s="241"/>
      <c r="K502" s="243" t="s">
        <v>35</v>
      </c>
      <c r="L502" s="236">
        <f>(E502*E500)+(F502*F500)+(G502*G500)+(H502*H500)+(I502*I500)+(J502*J500)</f>
        <v>0</v>
      </c>
      <c r="M502" s="244" t="s">
        <v>121</v>
      </c>
      <c r="N502" s="238" t="b">
        <v>0</v>
      </c>
    </row>
    <row r="503" ht="17.25" customHeight="1">
      <c r="A503" s="80"/>
      <c r="B503" s="283" t="s">
        <v>33</v>
      </c>
      <c r="C503" s="284" t="s">
        <v>37</v>
      </c>
      <c r="D503" s="285"/>
      <c r="E503" s="286"/>
      <c r="F503" s="286"/>
      <c r="G503" s="286"/>
      <c r="H503" s="286"/>
      <c r="I503" s="287"/>
      <c r="J503" s="286"/>
      <c r="K503" s="248" t="s">
        <v>38</v>
      </c>
      <c r="L503" s="249">
        <f>L502-L501</f>
        <v>0</v>
      </c>
      <c r="M503" s="288" t="s">
        <v>122</v>
      </c>
      <c r="N503" s="289" t="b">
        <v>0</v>
      </c>
    </row>
    <row r="504" ht="13.5" customHeight="1">
      <c r="A504" s="276" t="s">
        <v>23</v>
      </c>
      <c r="B504" s="222" t="s">
        <v>125</v>
      </c>
      <c r="C504" s="223" t="s">
        <v>30</v>
      </c>
      <c r="D504" s="224"/>
      <c r="E504" s="277"/>
      <c r="F504" s="277"/>
      <c r="G504" s="277"/>
      <c r="H504" s="277"/>
      <c r="I504" s="278"/>
      <c r="J504" s="290"/>
      <c r="K504" s="279" t="s">
        <v>30</v>
      </c>
      <c r="L504" s="280">
        <f>(E504*E500)+(F504*F500)+(G504*G500)+(H504*H500)+(I504*I500)+(J504*J500)</f>
        <v>0</v>
      </c>
      <c r="M504" s="228" t="s">
        <v>119</v>
      </c>
      <c r="N504" s="281" t="b">
        <v>0</v>
      </c>
    </row>
    <row r="505" ht="13.5" customHeight="1">
      <c r="A505" s="282"/>
      <c r="B505" s="231"/>
      <c r="C505" s="232" t="s">
        <v>34</v>
      </c>
      <c r="D505" s="108"/>
      <c r="E505" s="240"/>
      <c r="F505" s="241"/>
      <c r="G505" s="241"/>
      <c r="H505" s="241"/>
      <c r="I505" s="242"/>
      <c r="J505" s="252"/>
      <c r="K505" s="243" t="s">
        <v>35</v>
      </c>
      <c r="L505" s="236">
        <f>(E505*E500)+(F505*F500)+(G505*G500)+(H505*H500)+(I505*I500)+(J505*J500)</f>
        <v>0</v>
      </c>
      <c r="M505" s="244" t="s">
        <v>121</v>
      </c>
      <c r="N505" s="238" t="b">
        <v>0</v>
      </c>
    </row>
    <row r="506" ht="13.5" customHeight="1">
      <c r="A506" s="80"/>
      <c r="B506" s="283" t="s">
        <v>42</v>
      </c>
      <c r="C506" s="284" t="s">
        <v>37</v>
      </c>
      <c r="D506" s="285"/>
      <c r="E506" s="286"/>
      <c r="F506" s="286"/>
      <c r="G506" s="286"/>
      <c r="H506" s="286"/>
      <c r="I506" s="287"/>
      <c r="J506" s="291"/>
      <c r="K506" s="248" t="s">
        <v>38</v>
      </c>
      <c r="L506" s="249">
        <f>L505-L504</f>
        <v>0</v>
      </c>
      <c r="M506" s="288" t="s">
        <v>122</v>
      </c>
      <c r="N506" s="289" t="b">
        <v>0</v>
      </c>
    </row>
    <row r="507" ht="13.5" customHeight="1">
      <c r="A507" s="276" t="s">
        <v>23</v>
      </c>
      <c r="B507" s="222" t="s">
        <v>125</v>
      </c>
      <c r="C507" s="223" t="s">
        <v>30</v>
      </c>
      <c r="D507" s="224"/>
      <c r="E507" s="292"/>
      <c r="F507" s="292"/>
      <c r="G507" s="292"/>
      <c r="H507" s="292"/>
      <c r="I507" s="292"/>
      <c r="J507" s="292"/>
      <c r="K507" s="279" t="s">
        <v>30</v>
      </c>
      <c r="L507" s="280">
        <f>(E507*E500)+(F507*F500)+(G507*G500)+(H507*H500)+(I507*I500)+(J507*J500)</f>
        <v>0</v>
      </c>
      <c r="M507" s="228" t="s">
        <v>119</v>
      </c>
      <c r="N507" s="281" t="b">
        <v>0</v>
      </c>
    </row>
    <row r="508" ht="13.5" customHeight="1">
      <c r="A508" s="282"/>
      <c r="B508" s="231"/>
      <c r="C508" s="232" t="s">
        <v>34</v>
      </c>
      <c r="D508" s="108"/>
      <c r="E508" s="256"/>
      <c r="F508" s="257"/>
      <c r="G508" s="257"/>
      <c r="H508" s="257"/>
      <c r="I508" s="257"/>
      <c r="J508" s="257"/>
      <c r="K508" s="243" t="s">
        <v>35</v>
      </c>
      <c r="L508" s="236">
        <f>(E508*E500)+(F508*F500)+(G508*G500)+(H508*H500)+(I508*I500)+(J508*J500)</f>
        <v>0</v>
      </c>
      <c r="M508" s="244" t="s">
        <v>121</v>
      </c>
      <c r="N508" s="238" t="b">
        <v>0</v>
      </c>
    </row>
    <row r="509" ht="13.5" customHeight="1">
      <c r="A509" s="80"/>
      <c r="B509" s="283" t="s">
        <v>47</v>
      </c>
      <c r="C509" s="284" t="s">
        <v>37</v>
      </c>
      <c r="D509" s="285"/>
      <c r="E509" s="293"/>
      <c r="F509" s="293"/>
      <c r="G509" s="293"/>
      <c r="H509" s="293"/>
      <c r="I509" s="293"/>
      <c r="J509" s="293"/>
      <c r="K509" s="248" t="s">
        <v>38</v>
      </c>
      <c r="L509" s="249">
        <f>L508-L507</f>
        <v>0</v>
      </c>
      <c r="M509" s="288" t="s">
        <v>122</v>
      </c>
      <c r="N509" s="289" t="b">
        <v>0</v>
      </c>
    </row>
    <row r="510" ht="18.75" customHeight="1">
      <c r="A510" s="276" t="s">
        <v>23</v>
      </c>
      <c r="B510" s="222" t="s">
        <v>125</v>
      </c>
      <c r="C510" s="223" t="s">
        <v>30</v>
      </c>
      <c r="D510" s="224"/>
      <c r="E510" s="292"/>
      <c r="F510" s="292"/>
      <c r="G510" s="292"/>
      <c r="H510" s="292"/>
      <c r="I510" s="292"/>
      <c r="J510" s="292"/>
      <c r="K510" s="279" t="s">
        <v>30</v>
      </c>
      <c r="L510" s="280">
        <f>(E510*E500)+(F510*F500)+(G510*G500)+(H510*H500)+(I510*I500)+(J510*J500)</f>
        <v>0</v>
      </c>
      <c r="M510" s="228" t="s">
        <v>119</v>
      </c>
      <c r="N510" s="281" t="b">
        <v>0</v>
      </c>
    </row>
    <row r="511" ht="13.5" customHeight="1">
      <c r="A511" s="282"/>
      <c r="B511" s="231"/>
      <c r="C511" s="232" t="s">
        <v>34</v>
      </c>
      <c r="D511" s="108"/>
      <c r="E511" s="256"/>
      <c r="F511" s="257"/>
      <c r="G511" s="257"/>
      <c r="H511" s="257"/>
      <c r="I511" s="257"/>
      <c r="J511" s="257"/>
      <c r="K511" s="243" t="s">
        <v>35</v>
      </c>
      <c r="L511" s="236">
        <f>(E511*E500)+(F511*F500)+(G511*G500)+(H511*H500)+(I511*I500)+(J511*J500)</f>
        <v>0</v>
      </c>
      <c r="M511" s="244" t="s">
        <v>121</v>
      </c>
      <c r="N511" s="238" t="b">
        <v>0</v>
      </c>
    </row>
    <row r="512" ht="13.5" customHeight="1">
      <c r="A512" s="80"/>
      <c r="B512" s="283" t="s">
        <v>49</v>
      </c>
      <c r="C512" s="284" t="s">
        <v>37</v>
      </c>
      <c r="D512" s="285"/>
      <c r="E512" s="293"/>
      <c r="F512" s="293"/>
      <c r="G512" s="293"/>
      <c r="H512" s="293"/>
      <c r="I512" s="293"/>
      <c r="J512" s="293"/>
      <c r="K512" s="248" t="s">
        <v>38</v>
      </c>
      <c r="L512" s="249">
        <f>L511-L510</f>
        <v>0</v>
      </c>
      <c r="M512" s="288" t="s">
        <v>122</v>
      </c>
      <c r="N512" s="289" t="b">
        <v>0</v>
      </c>
    </row>
    <row r="513" ht="13.5" customHeight="1">
      <c r="A513" s="270" t="s">
        <v>126</v>
      </c>
      <c r="B513" s="271" t="s">
        <v>20</v>
      </c>
      <c r="C513" s="96"/>
      <c r="D513" s="10"/>
      <c r="E513" s="272">
        <f t="shared" ref="E513:J513" si="130">E6</f>
        <v>16</v>
      </c>
      <c r="F513" s="272">
        <f t="shared" si="130"/>
        <v>26</v>
      </c>
      <c r="G513" s="272">
        <f t="shared" si="130"/>
        <v>26</v>
      </c>
      <c r="H513" s="273">
        <f t="shared" si="130"/>
        <v>26</v>
      </c>
      <c r="I513" s="274">
        <f t="shared" si="130"/>
        <v>31</v>
      </c>
      <c r="J513" s="272">
        <f t="shared" si="130"/>
        <v>36</v>
      </c>
      <c r="K513" s="271" t="s">
        <v>21</v>
      </c>
      <c r="L513" s="10"/>
      <c r="M513" s="275" t="s">
        <v>118</v>
      </c>
      <c r="N513" s="10"/>
    </row>
    <row r="514" ht="13.5" customHeight="1">
      <c r="A514" s="276" t="s">
        <v>23</v>
      </c>
      <c r="B514" s="222" t="s">
        <v>126</v>
      </c>
      <c r="C514" s="223" t="s">
        <v>30</v>
      </c>
      <c r="D514" s="224"/>
      <c r="E514" s="277"/>
      <c r="F514" s="277"/>
      <c r="G514" s="277"/>
      <c r="H514" s="277"/>
      <c r="I514" s="278"/>
      <c r="J514" s="277"/>
      <c r="K514" s="279" t="s">
        <v>30</v>
      </c>
      <c r="L514" s="280">
        <f>(E514*E513)+(F514*F513)+(G514*G513)+(H514*H513)+(I514*I513)+(J514*J513)</f>
        <v>0</v>
      </c>
      <c r="M514" s="228" t="s">
        <v>119</v>
      </c>
      <c r="N514" s="281" t="b">
        <v>0</v>
      </c>
    </row>
    <row r="515" ht="15.0" customHeight="1">
      <c r="A515" s="282"/>
      <c r="B515" s="231"/>
      <c r="C515" s="232" t="s">
        <v>34</v>
      </c>
      <c r="D515" s="108"/>
      <c r="E515" s="240"/>
      <c r="F515" s="241"/>
      <c r="G515" s="241"/>
      <c r="H515" s="241"/>
      <c r="I515" s="242"/>
      <c r="J515" s="241"/>
      <c r="K515" s="243" t="s">
        <v>35</v>
      </c>
      <c r="L515" s="236">
        <f>(E515*E513)+(F515*F513)+(G515*G513)+(H515*H513)+(I515*I513)+(J515*J513)</f>
        <v>0</v>
      </c>
      <c r="M515" s="244" t="s">
        <v>121</v>
      </c>
      <c r="N515" s="238" t="b">
        <v>0</v>
      </c>
    </row>
    <row r="516" ht="13.5" customHeight="1">
      <c r="A516" s="80"/>
      <c r="B516" s="283" t="s">
        <v>33</v>
      </c>
      <c r="C516" s="284" t="s">
        <v>37</v>
      </c>
      <c r="D516" s="285"/>
      <c r="E516" s="286"/>
      <c r="F516" s="286"/>
      <c r="G516" s="286"/>
      <c r="H516" s="286"/>
      <c r="I516" s="287"/>
      <c r="J516" s="286"/>
      <c r="K516" s="248" t="s">
        <v>38</v>
      </c>
      <c r="L516" s="249">
        <f>L515-L514</f>
        <v>0</v>
      </c>
      <c r="M516" s="288" t="s">
        <v>122</v>
      </c>
      <c r="N516" s="289" t="b">
        <v>0</v>
      </c>
    </row>
    <row r="517" ht="13.5" customHeight="1">
      <c r="A517" s="276" t="s">
        <v>23</v>
      </c>
      <c r="B517" s="222" t="s">
        <v>126</v>
      </c>
      <c r="C517" s="223" t="s">
        <v>30</v>
      </c>
      <c r="D517" s="224"/>
      <c r="E517" s="277"/>
      <c r="F517" s="277"/>
      <c r="G517" s="277"/>
      <c r="H517" s="277"/>
      <c r="I517" s="278"/>
      <c r="J517" s="290"/>
      <c r="K517" s="279" t="s">
        <v>30</v>
      </c>
      <c r="L517" s="280">
        <f>(E517*E513)+(F517*F513)+(G517*G513)+(H517*H513)+(I517*I513)+(J517*J513)</f>
        <v>0</v>
      </c>
      <c r="M517" s="228" t="s">
        <v>119</v>
      </c>
      <c r="N517" s="281" t="b">
        <v>0</v>
      </c>
    </row>
    <row r="518" ht="13.5" customHeight="1">
      <c r="A518" s="282"/>
      <c r="B518" s="231"/>
      <c r="C518" s="232" t="s">
        <v>34</v>
      </c>
      <c r="D518" s="108"/>
      <c r="E518" s="240"/>
      <c r="F518" s="241"/>
      <c r="G518" s="241"/>
      <c r="H518" s="241"/>
      <c r="I518" s="242"/>
      <c r="J518" s="252"/>
      <c r="K518" s="243" t="s">
        <v>35</v>
      </c>
      <c r="L518" s="236">
        <f>(E518*E513)+(F518*F513)+(G518*G513)+(H518*H513)+(I518*I513)+(J518*J513)</f>
        <v>0</v>
      </c>
      <c r="M518" s="244" t="s">
        <v>121</v>
      </c>
      <c r="N518" s="238" t="b">
        <v>0</v>
      </c>
    </row>
    <row r="519" ht="20.25" customHeight="1">
      <c r="A519" s="80"/>
      <c r="B519" s="283" t="s">
        <v>42</v>
      </c>
      <c r="C519" s="284" t="s">
        <v>37</v>
      </c>
      <c r="D519" s="285"/>
      <c r="E519" s="286"/>
      <c r="F519" s="286"/>
      <c r="G519" s="286"/>
      <c r="H519" s="286"/>
      <c r="I519" s="287"/>
      <c r="J519" s="291"/>
      <c r="K519" s="248" t="s">
        <v>38</v>
      </c>
      <c r="L519" s="249">
        <f>L518-L517</f>
        <v>0</v>
      </c>
      <c r="M519" s="288" t="s">
        <v>122</v>
      </c>
      <c r="N519" s="289" t="b">
        <v>0</v>
      </c>
    </row>
    <row r="520" ht="13.5" customHeight="1">
      <c r="A520" s="276" t="s">
        <v>23</v>
      </c>
      <c r="B520" s="222" t="s">
        <v>126</v>
      </c>
      <c r="C520" s="223" t="s">
        <v>30</v>
      </c>
      <c r="D520" s="224"/>
      <c r="E520" s="292"/>
      <c r="F520" s="292"/>
      <c r="G520" s="292"/>
      <c r="H520" s="292"/>
      <c r="I520" s="292"/>
      <c r="J520" s="292"/>
      <c r="K520" s="279" t="s">
        <v>30</v>
      </c>
      <c r="L520" s="280">
        <f>(E520*E513)+(F520*F513)+(G520*G513)+(H520*H513)+(I520*I513)+(J520*J513)</f>
        <v>0</v>
      </c>
      <c r="M520" s="228" t="s">
        <v>119</v>
      </c>
      <c r="N520" s="281" t="b">
        <v>0</v>
      </c>
    </row>
    <row r="521" ht="13.5" customHeight="1">
      <c r="A521" s="282"/>
      <c r="B521" s="231"/>
      <c r="C521" s="232" t="s">
        <v>34</v>
      </c>
      <c r="D521" s="108"/>
      <c r="E521" s="256"/>
      <c r="F521" s="257"/>
      <c r="G521" s="257"/>
      <c r="H521" s="257"/>
      <c r="I521" s="257"/>
      <c r="J521" s="257"/>
      <c r="K521" s="243" t="s">
        <v>35</v>
      </c>
      <c r="L521" s="236">
        <f>(E521*E513)+(F521*F513)+(G521*G513)+(H521*H513)+(I521*I513)+(J521*J513)</f>
        <v>0</v>
      </c>
      <c r="M521" s="244" t="s">
        <v>121</v>
      </c>
      <c r="N521" s="238" t="b">
        <v>0</v>
      </c>
    </row>
    <row r="522" ht="13.5" customHeight="1">
      <c r="A522" s="80"/>
      <c r="B522" s="283" t="s">
        <v>47</v>
      </c>
      <c r="C522" s="284" t="s">
        <v>37</v>
      </c>
      <c r="D522" s="285"/>
      <c r="E522" s="293"/>
      <c r="F522" s="293"/>
      <c r="G522" s="293"/>
      <c r="H522" s="293"/>
      <c r="I522" s="293"/>
      <c r="J522" s="293"/>
      <c r="K522" s="248" t="s">
        <v>38</v>
      </c>
      <c r="L522" s="249">
        <f>L521-L520</f>
        <v>0</v>
      </c>
      <c r="M522" s="288" t="s">
        <v>122</v>
      </c>
      <c r="N522" s="289" t="b">
        <v>0</v>
      </c>
    </row>
    <row r="523" ht="13.5" customHeight="1">
      <c r="A523" s="276" t="s">
        <v>23</v>
      </c>
      <c r="B523" s="222" t="s">
        <v>126</v>
      </c>
      <c r="C523" s="223" t="s">
        <v>30</v>
      </c>
      <c r="D523" s="224"/>
      <c r="E523" s="292"/>
      <c r="F523" s="292"/>
      <c r="G523" s="292"/>
      <c r="H523" s="292"/>
      <c r="I523" s="292"/>
      <c r="J523" s="292"/>
      <c r="K523" s="279" t="s">
        <v>30</v>
      </c>
      <c r="L523" s="280">
        <f>(E523*E513)+(F523*F513)+(G523*G513)+(H523*H513)+(I523*I513)+(J523*J513)</f>
        <v>0</v>
      </c>
      <c r="M523" s="228" t="s">
        <v>119</v>
      </c>
      <c r="N523" s="281" t="b">
        <v>0</v>
      </c>
    </row>
    <row r="524" ht="13.5" customHeight="1">
      <c r="A524" s="282"/>
      <c r="B524" s="231"/>
      <c r="C524" s="232" t="s">
        <v>34</v>
      </c>
      <c r="D524" s="108"/>
      <c r="E524" s="256"/>
      <c r="F524" s="257"/>
      <c r="G524" s="257"/>
      <c r="H524" s="257"/>
      <c r="I524" s="257"/>
      <c r="J524" s="257"/>
      <c r="K524" s="243" t="s">
        <v>35</v>
      </c>
      <c r="L524" s="236">
        <f>(E524*E513)+(F524*F513)+(G524*G513)+(H524*H513)+(I524*I513)+(J524*J513)</f>
        <v>0</v>
      </c>
      <c r="M524" s="244" t="s">
        <v>121</v>
      </c>
      <c r="N524" s="238" t="b">
        <v>0</v>
      </c>
    </row>
    <row r="525" ht="13.5" customHeight="1">
      <c r="A525" s="80"/>
      <c r="B525" s="283" t="s">
        <v>49</v>
      </c>
      <c r="C525" s="284" t="s">
        <v>37</v>
      </c>
      <c r="D525" s="285"/>
      <c r="E525" s="293"/>
      <c r="F525" s="293"/>
      <c r="G525" s="293"/>
      <c r="H525" s="293"/>
      <c r="I525" s="293"/>
      <c r="J525" s="293"/>
      <c r="K525" s="248" t="s">
        <v>38</v>
      </c>
      <c r="L525" s="249">
        <f>L524-L523</f>
        <v>0</v>
      </c>
      <c r="M525" s="288" t="s">
        <v>122</v>
      </c>
      <c r="N525" s="289" t="b">
        <v>0</v>
      </c>
    </row>
    <row r="526" ht="13.5" customHeight="1">
      <c r="A526" s="270" t="s">
        <v>127</v>
      </c>
      <c r="B526" s="271" t="s">
        <v>20</v>
      </c>
      <c r="C526" s="96"/>
      <c r="D526" s="10"/>
      <c r="E526" s="272">
        <f t="shared" ref="E526:J526" si="131">E6</f>
        <v>16</v>
      </c>
      <c r="F526" s="272">
        <f t="shared" si="131"/>
        <v>26</v>
      </c>
      <c r="G526" s="272">
        <f t="shared" si="131"/>
        <v>26</v>
      </c>
      <c r="H526" s="273">
        <f t="shared" si="131"/>
        <v>26</v>
      </c>
      <c r="I526" s="274">
        <f t="shared" si="131"/>
        <v>31</v>
      </c>
      <c r="J526" s="272">
        <f t="shared" si="131"/>
        <v>36</v>
      </c>
      <c r="K526" s="271" t="s">
        <v>21</v>
      </c>
      <c r="L526" s="10"/>
      <c r="M526" s="275" t="s">
        <v>118</v>
      </c>
      <c r="N526" s="10"/>
    </row>
    <row r="527" ht="13.5" customHeight="1">
      <c r="A527" s="276" t="s">
        <v>23</v>
      </c>
      <c r="B527" s="222" t="s">
        <v>127</v>
      </c>
      <c r="C527" s="223" t="s">
        <v>30</v>
      </c>
      <c r="D527" s="224"/>
      <c r="E527" s="277"/>
      <c r="F527" s="277"/>
      <c r="G527" s="277"/>
      <c r="H527" s="277"/>
      <c r="I527" s="278"/>
      <c r="J527" s="277"/>
      <c r="K527" s="279" t="s">
        <v>30</v>
      </c>
      <c r="L527" s="280">
        <f>(E527*E526)+(F527*F526)+(G527*G526)+(H527*H526)+(I527*I526)+(J527*J526)</f>
        <v>0</v>
      </c>
      <c r="M527" s="228" t="s">
        <v>119</v>
      </c>
      <c r="N527" s="281" t="b">
        <v>0</v>
      </c>
    </row>
    <row r="528" ht="13.5" customHeight="1">
      <c r="A528" s="282"/>
      <c r="B528" s="231"/>
      <c r="C528" s="232" t="s">
        <v>34</v>
      </c>
      <c r="D528" s="108"/>
      <c r="E528" s="240"/>
      <c r="F528" s="241"/>
      <c r="G528" s="241"/>
      <c r="H528" s="241"/>
      <c r="I528" s="242"/>
      <c r="J528" s="241"/>
      <c r="K528" s="243" t="s">
        <v>35</v>
      </c>
      <c r="L528" s="236">
        <f>(E528*E526)+(F528*F526)+(G528*G526)+(H528*H526)+(I528*I526)+(J528*J526)</f>
        <v>0</v>
      </c>
      <c r="M528" s="244" t="s">
        <v>121</v>
      </c>
      <c r="N528" s="238" t="b">
        <v>0</v>
      </c>
    </row>
    <row r="529" ht="13.5" customHeight="1">
      <c r="A529" s="80"/>
      <c r="B529" s="283" t="s">
        <v>33</v>
      </c>
      <c r="C529" s="284" t="s">
        <v>37</v>
      </c>
      <c r="D529" s="285"/>
      <c r="E529" s="286"/>
      <c r="F529" s="286"/>
      <c r="G529" s="286"/>
      <c r="H529" s="286"/>
      <c r="I529" s="287"/>
      <c r="J529" s="286"/>
      <c r="K529" s="248" t="s">
        <v>38</v>
      </c>
      <c r="L529" s="249">
        <f>L528-L527</f>
        <v>0</v>
      </c>
      <c r="M529" s="288" t="s">
        <v>122</v>
      </c>
      <c r="N529" s="289" t="b">
        <v>0</v>
      </c>
    </row>
    <row r="530" ht="13.5" customHeight="1">
      <c r="A530" s="276" t="s">
        <v>23</v>
      </c>
      <c r="B530" s="222" t="s">
        <v>127</v>
      </c>
      <c r="C530" s="223" t="s">
        <v>30</v>
      </c>
      <c r="D530" s="224"/>
      <c r="E530" s="277"/>
      <c r="F530" s="277"/>
      <c r="G530" s="277"/>
      <c r="H530" s="277"/>
      <c r="I530" s="278"/>
      <c r="J530" s="290"/>
      <c r="K530" s="279" t="s">
        <v>30</v>
      </c>
      <c r="L530" s="280">
        <f>(E530*E526)+(F530*F526)+(G530*G526)+(H530*H526)+(I530*I526)+(J530*J526)</f>
        <v>0</v>
      </c>
      <c r="M530" s="228" t="s">
        <v>119</v>
      </c>
      <c r="N530" s="281" t="b">
        <v>0</v>
      </c>
    </row>
    <row r="531" ht="19.5" customHeight="1">
      <c r="A531" s="282"/>
      <c r="B531" s="231"/>
      <c r="C531" s="232" t="s">
        <v>34</v>
      </c>
      <c r="D531" s="108"/>
      <c r="E531" s="240"/>
      <c r="F531" s="241"/>
      <c r="G531" s="241"/>
      <c r="H531" s="241"/>
      <c r="I531" s="242"/>
      <c r="J531" s="252"/>
      <c r="K531" s="243" t="s">
        <v>35</v>
      </c>
      <c r="L531" s="236">
        <f>(E531*E526)+(F531*F526)+(G531*G526)+(H531*H526)+(I531*I526)+(J531*J526)</f>
        <v>0</v>
      </c>
      <c r="M531" s="244" t="s">
        <v>121</v>
      </c>
      <c r="N531" s="238" t="b">
        <v>0</v>
      </c>
    </row>
    <row r="532" ht="13.5" customHeight="1">
      <c r="A532" s="80"/>
      <c r="B532" s="283" t="s">
        <v>42</v>
      </c>
      <c r="C532" s="284" t="s">
        <v>37</v>
      </c>
      <c r="D532" s="285"/>
      <c r="E532" s="286"/>
      <c r="F532" s="286"/>
      <c r="G532" s="286"/>
      <c r="H532" s="286"/>
      <c r="I532" s="287"/>
      <c r="J532" s="291"/>
      <c r="K532" s="248" t="s">
        <v>38</v>
      </c>
      <c r="L532" s="249">
        <f>L531-L530</f>
        <v>0</v>
      </c>
      <c r="M532" s="288" t="s">
        <v>122</v>
      </c>
      <c r="N532" s="289" t="b">
        <v>0</v>
      </c>
    </row>
    <row r="533" ht="13.5" customHeight="1">
      <c r="A533" s="276" t="s">
        <v>23</v>
      </c>
      <c r="B533" s="222" t="s">
        <v>127</v>
      </c>
      <c r="C533" s="223" t="s">
        <v>30</v>
      </c>
      <c r="D533" s="224"/>
      <c r="E533" s="292"/>
      <c r="F533" s="292"/>
      <c r="G533" s="292"/>
      <c r="H533" s="292"/>
      <c r="I533" s="292"/>
      <c r="J533" s="292"/>
      <c r="K533" s="279" t="s">
        <v>30</v>
      </c>
      <c r="L533" s="280">
        <f>(E533*E526)+(F533*F526)+(G533*G526)+(H533*H526)+(I533*I526)+(J533*J526)</f>
        <v>0</v>
      </c>
      <c r="M533" s="228" t="s">
        <v>119</v>
      </c>
      <c r="N533" s="281" t="b">
        <v>0</v>
      </c>
    </row>
    <row r="534" ht="13.5" customHeight="1">
      <c r="A534" s="282"/>
      <c r="B534" s="231"/>
      <c r="C534" s="232" t="s">
        <v>34</v>
      </c>
      <c r="D534" s="108"/>
      <c r="E534" s="256"/>
      <c r="F534" s="257"/>
      <c r="G534" s="257"/>
      <c r="H534" s="257"/>
      <c r="I534" s="257"/>
      <c r="J534" s="257"/>
      <c r="K534" s="243" t="s">
        <v>35</v>
      </c>
      <c r="L534" s="236">
        <f>(E534*E526)+(F534*F526)+(G534*G526)+(H534*H526)+(I534*I526)+(J534*J526)</f>
        <v>0</v>
      </c>
      <c r="M534" s="244" t="s">
        <v>121</v>
      </c>
      <c r="N534" s="238" t="b">
        <v>0</v>
      </c>
    </row>
    <row r="535" ht="15.0" customHeight="1">
      <c r="A535" s="80"/>
      <c r="B535" s="283" t="s">
        <v>47</v>
      </c>
      <c r="C535" s="284" t="s">
        <v>37</v>
      </c>
      <c r="D535" s="285"/>
      <c r="E535" s="293"/>
      <c r="F535" s="293"/>
      <c r="G535" s="293"/>
      <c r="H535" s="293"/>
      <c r="I535" s="293"/>
      <c r="J535" s="293"/>
      <c r="K535" s="248" t="s">
        <v>38</v>
      </c>
      <c r="L535" s="249">
        <f>L534-L533</f>
        <v>0</v>
      </c>
      <c r="M535" s="288" t="s">
        <v>122</v>
      </c>
      <c r="N535" s="289" t="b">
        <v>0</v>
      </c>
    </row>
    <row r="536" ht="13.5" customHeight="1">
      <c r="A536" s="276" t="s">
        <v>23</v>
      </c>
      <c r="B536" s="222" t="s">
        <v>127</v>
      </c>
      <c r="C536" s="223" t="s">
        <v>30</v>
      </c>
      <c r="D536" s="224"/>
      <c r="E536" s="292"/>
      <c r="F536" s="292"/>
      <c r="G536" s="292"/>
      <c r="H536" s="292"/>
      <c r="I536" s="292"/>
      <c r="J536" s="292"/>
      <c r="K536" s="279" t="s">
        <v>30</v>
      </c>
      <c r="L536" s="280">
        <f>(E536*E526)+(F536*F526)+(G536*G526)+(H536*H526)+(I536*I526)+(J536*J526)</f>
        <v>0</v>
      </c>
      <c r="M536" s="228" t="s">
        <v>119</v>
      </c>
      <c r="N536" s="281" t="b">
        <v>0</v>
      </c>
    </row>
    <row r="537" ht="13.5" customHeight="1">
      <c r="A537" s="282"/>
      <c r="B537" s="231"/>
      <c r="C537" s="232" t="s">
        <v>34</v>
      </c>
      <c r="D537" s="108"/>
      <c r="E537" s="256"/>
      <c r="F537" s="257"/>
      <c r="G537" s="257"/>
      <c r="H537" s="257"/>
      <c r="I537" s="257"/>
      <c r="J537" s="257"/>
      <c r="K537" s="243" t="s">
        <v>35</v>
      </c>
      <c r="L537" s="236">
        <f>(E537*E526)+(F537*F526)+(G537*G526)+(H537*H526)+(I537*I526)+(J537*J526)</f>
        <v>0</v>
      </c>
      <c r="M537" s="244" t="s">
        <v>121</v>
      </c>
      <c r="N537" s="238" t="b">
        <v>0</v>
      </c>
    </row>
    <row r="538" ht="13.5" customHeight="1">
      <c r="A538" s="80"/>
      <c r="B538" s="283" t="s">
        <v>49</v>
      </c>
      <c r="C538" s="284" t="s">
        <v>37</v>
      </c>
      <c r="D538" s="285"/>
      <c r="E538" s="293"/>
      <c r="F538" s="293"/>
      <c r="G538" s="293"/>
      <c r="H538" s="293"/>
      <c r="I538" s="293"/>
      <c r="J538" s="293"/>
      <c r="K538" s="248" t="s">
        <v>38</v>
      </c>
      <c r="L538" s="249">
        <f>L537-L536</f>
        <v>0</v>
      </c>
      <c r="M538" s="288" t="s">
        <v>122</v>
      </c>
      <c r="N538" s="289" t="b">
        <v>0</v>
      </c>
    </row>
    <row r="539" ht="18.75" customHeight="1">
      <c r="A539" s="270" t="s">
        <v>128</v>
      </c>
      <c r="B539" s="271" t="s">
        <v>20</v>
      </c>
      <c r="C539" s="96"/>
      <c r="D539" s="10"/>
      <c r="E539" s="272">
        <f t="shared" ref="E539:J539" si="132">E6</f>
        <v>16</v>
      </c>
      <c r="F539" s="272">
        <f t="shared" si="132"/>
        <v>26</v>
      </c>
      <c r="G539" s="272">
        <f t="shared" si="132"/>
        <v>26</v>
      </c>
      <c r="H539" s="273">
        <f t="shared" si="132"/>
        <v>26</v>
      </c>
      <c r="I539" s="274">
        <f t="shared" si="132"/>
        <v>31</v>
      </c>
      <c r="J539" s="272">
        <f t="shared" si="132"/>
        <v>36</v>
      </c>
      <c r="K539" s="271" t="s">
        <v>21</v>
      </c>
      <c r="L539" s="10"/>
      <c r="M539" s="275" t="s">
        <v>118</v>
      </c>
      <c r="N539" s="10"/>
    </row>
    <row r="540" ht="13.5" customHeight="1">
      <c r="A540" s="276" t="s">
        <v>23</v>
      </c>
      <c r="B540" s="222" t="s">
        <v>128</v>
      </c>
      <c r="C540" s="223" t="s">
        <v>30</v>
      </c>
      <c r="D540" s="224"/>
      <c r="E540" s="277"/>
      <c r="F540" s="277"/>
      <c r="G540" s="277"/>
      <c r="H540" s="277"/>
      <c r="I540" s="278"/>
      <c r="J540" s="277"/>
      <c r="K540" s="279" t="s">
        <v>30</v>
      </c>
      <c r="L540" s="280">
        <f>(E540*E539)+(F540*F539)+(G540*G539)+(H540*H539)+(I540*I539)+(J540*J539)</f>
        <v>0</v>
      </c>
      <c r="M540" s="228" t="s">
        <v>119</v>
      </c>
      <c r="N540" s="281" t="b">
        <v>0</v>
      </c>
    </row>
    <row r="541" ht="13.5" customHeight="1">
      <c r="A541" s="282"/>
      <c r="B541" s="231"/>
      <c r="C541" s="232" t="s">
        <v>34</v>
      </c>
      <c r="D541" s="108"/>
      <c r="E541" s="240"/>
      <c r="F541" s="241"/>
      <c r="G541" s="241"/>
      <c r="H541" s="241"/>
      <c r="I541" s="242"/>
      <c r="J541" s="241"/>
      <c r="K541" s="243" t="s">
        <v>35</v>
      </c>
      <c r="L541" s="236">
        <f>(E541*E539)+(F541*F539)+(G541*G539)+(H541*H539)+(I541*I539)+(J541*J539)</f>
        <v>0</v>
      </c>
      <c r="M541" s="244" t="s">
        <v>121</v>
      </c>
      <c r="N541" s="238" t="b">
        <v>0</v>
      </c>
    </row>
    <row r="542" ht="20.25" customHeight="1">
      <c r="A542" s="80"/>
      <c r="B542" s="283" t="s">
        <v>33</v>
      </c>
      <c r="C542" s="284" t="s">
        <v>37</v>
      </c>
      <c r="D542" s="285"/>
      <c r="E542" s="286"/>
      <c r="F542" s="286"/>
      <c r="G542" s="286"/>
      <c r="H542" s="286"/>
      <c r="I542" s="287"/>
      <c r="J542" s="286"/>
      <c r="K542" s="248" t="s">
        <v>38</v>
      </c>
      <c r="L542" s="249">
        <f>L541-L540</f>
        <v>0</v>
      </c>
      <c r="M542" s="288" t="s">
        <v>122</v>
      </c>
      <c r="N542" s="289" t="b">
        <v>0</v>
      </c>
    </row>
    <row r="543" ht="13.5" customHeight="1">
      <c r="A543" s="276" t="s">
        <v>23</v>
      </c>
      <c r="B543" s="222" t="s">
        <v>128</v>
      </c>
      <c r="C543" s="223" t="s">
        <v>30</v>
      </c>
      <c r="D543" s="224"/>
      <c r="E543" s="277"/>
      <c r="F543" s="277"/>
      <c r="G543" s="277"/>
      <c r="H543" s="277"/>
      <c r="I543" s="278"/>
      <c r="J543" s="290"/>
      <c r="K543" s="279" t="s">
        <v>30</v>
      </c>
      <c r="L543" s="280">
        <f>(E543*E539)+(F543*F539)+(G543*G539)+(H543*H539)+(I543*I539)+(J543*J539)</f>
        <v>0</v>
      </c>
      <c r="M543" s="228" t="s">
        <v>119</v>
      </c>
      <c r="N543" s="281" t="b">
        <v>0</v>
      </c>
    </row>
    <row r="544" ht="13.5" customHeight="1">
      <c r="A544" s="282"/>
      <c r="B544" s="231"/>
      <c r="C544" s="232" t="s">
        <v>34</v>
      </c>
      <c r="D544" s="108"/>
      <c r="E544" s="240"/>
      <c r="F544" s="241"/>
      <c r="G544" s="241"/>
      <c r="H544" s="241"/>
      <c r="I544" s="242"/>
      <c r="J544" s="252"/>
      <c r="K544" s="243" t="s">
        <v>35</v>
      </c>
      <c r="L544" s="236">
        <f>(E544*E539)+(F544*F539)+(G544*G539)+(H544*H539)+(I544*I539)+(J544*J539)</f>
        <v>0</v>
      </c>
      <c r="M544" s="244" t="s">
        <v>121</v>
      </c>
      <c r="N544" s="238" t="b">
        <v>0</v>
      </c>
    </row>
    <row r="545" ht="13.5" customHeight="1">
      <c r="A545" s="80"/>
      <c r="B545" s="283" t="s">
        <v>42</v>
      </c>
      <c r="C545" s="284" t="s">
        <v>37</v>
      </c>
      <c r="D545" s="285"/>
      <c r="E545" s="286"/>
      <c r="F545" s="286"/>
      <c r="G545" s="286"/>
      <c r="H545" s="286"/>
      <c r="I545" s="287"/>
      <c r="J545" s="291"/>
      <c r="K545" s="248" t="s">
        <v>38</v>
      </c>
      <c r="L545" s="249">
        <f>L544-L543</f>
        <v>0</v>
      </c>
      <c r="M545" s="288" t="s">
        <v>122</v>
      </c>
      <c r="N545" s="289" t="b">
        <v>0</v>
      </c>
    </row>
    <row r="546" ht="13.5" customHeight="1">
      <c r="A546" s="276" t="s">
        <v>23</v>
      </c>
      <c r="B546" s="222" t="s">
        <v>128</v>
      </c>
      <c r="C546" s="223" t="s">
        <v>30</v>
      </c>
      <c r="D546" s="224"/>
      <c r="E546" s="292"/>
      <c r="F546" s="292"/>
      <c r="G546" s="292"/>
      <c r="H546" s="292"/>
      <c r="I546" s="292"/>
      <c r="J546" s="292"/>
      <c r="K546" s="279" t="s">
        <v>30</v>
      </c>
      <c r="L546" s="280">
        <f>(E546*E539)+(F546*F539)+(G546*G539)+(H546*H539)+(I546*I539)+(J546*J539)</f>
        <v>0</v>
      </c>
      <c r="M546" s="228" t="s">
        <v>119</v>
      </c>
      <c r="N546" s="281" t="b">
        <v>0</v>
      </c>
    </row>
    <row r="547" ht="15.0" customHeight="1">
      <c r="A547" s="282"/>
      <c r="B547" s="231"/>
      <c r="C547" s="232" t="s">
        <v>34</v>
      </c>
      <c r="D547" s="108"/>
      <c r="E547" s="256"/>
      <c r="F547" s="257"/>
      <c r="G547" s="257"/>
      <c r="H547" s="257"/>
      <c r="I547" s="257"/>
      <c r="J547" s="257"/>
      <c r="K547" s="243" t="s">
        <v>35</v>
      </c>
      <c r="L547" s="236">
        <f>(E547*E539)+(F547*F539)+(G547*G539)+(H547*H539)+(I547*I539)+(J547*J539)</f>
        <v>0</v>
      </c>
      <c r="M547" s="244" t="s">
        <v>121</v>
      </c>
      <c r="N547" s="238" t="b">
        <v>0</v>
      </c>
    </row>
    <row r="548" ht="13.5" customHeight="1">
      <c r="A548" s="80"/>
      <c r="B548" s="283" t="s">
        <v>47</v>
      </c>
      <c r="C548" s="284" t="s">
        <v>37</v>
      </c>
      <c r="D548" s="285"/>
      <c r="E548" s="293"/>
      <c r="F548" s="293"/>
      <c r="G548" s="293"/>
      <c r="H548" s="293"/>
      <c r="I548" s="293"/>
      <c r="J548" s="293"/>
      <c r="K548" s="248" t="s">
        <v>38</v>
      </c>
      <c r="L548" s="249">
        <f>L547-L546</f>
        <v>0</v>
      </c>
      <c r="M548" s="288" t="s">
        <v>122</v>
      </c>
      <c r="N548" s="289" t="b">
        <v>0</v>
      </c>
    </row>
    <row r="549" ht="13.5" customHeight="1">
      <c r="A549" s="276" t="s">
        <v>23</v>
      </c>
      <c r="B549" s="222" t="s">
        <v>128</v>
      </c>
      <c r="C549" s="223" t="s">
        <v>30</v>
      </c>
      <c r="D549" s="224"/>
      <c r="E549" s="292"/>
      <c r="F549" s="292"/>
      <c r="G549" s="292"/>
      <c r="H549" s="292"/>
      <c r="I549" s="292"/>
      <c r="J549" s="292"/>
      <c r="K549" s="279" t="s">
        <v>30</v>
      </c>
      <c r="L549" s="280">
        <f>(E549*E539)+(F549*F539)+(G549*G539)+(H549*H539)+(I549*I539)+(J549*J539)</f>
        <v>0</v>
      </c>
      <c r="M549" s="228" t="s">
        <v>119</v>
      </c>
      <c r="N549" s="281" t="b">
        <v>0</v>
      </c>
    </row>
    <row r="550" ht="13.5" customHeight="1">
      <c r="A550" s="282"/>
      <c r="B550" s="231"/>
      <c r="C550" s="232" t="s">
        <v>34</v>
      </c>
      <c r="D550" s="108"/>
      <c r="E550" s="256"/>
      <c r="F550" s="257"/>
      <c r="G550" s="257"/>
      <c r="H550" s="257"/>
      <c r="I550" s="257"/>
      <c r="J550" s="257"/>
      <c r="K550" s="243" t="s">
        <v>35</v>
      </c>
      <c r="L550" s="236">
        <f>(E550*E539)+(F550*F539)+(G550*G539)+(H550*H539)+(I550*I539)+(J550*J539)</f>
        <v>0</v>
      </c>
      <c r="M550" s="244" t="s">
        <v>121</v>
      </c>
      <c r="N550" s="238" t="b">
        <v>0</v>
      </c>
    </row>
    <row r="551" ht="18.0" customHeight="1">
      <c r="A551" s="80"/>
      <c r="B551" s="283" t="s">
        <v>49</v>
      </c>
      <c r="C551" s="284" t="s">
        <v>37</v>
      </c>
      <c r="D551" s="285"/>
      <c r="E551" s="293"/>
      <c r="F551" s="293"/>
      <c r="G551" s="293"/>
      <c r="H551" s="293"/>
      <c r="I551" s="293"/>
      <c r="J551" s="293"/>
      <c r="K551" s="248" t="s">
        <v>38</v>
      </c>
      <c r="L551" s="249">
        <f>L550-L549</f>
        <v>0</v>
      </c>
      <c r="M551" s="288" t="s">
        <v>122</v>
      </c>
      <c r="N551" s="289" t="b">
        <v>0</v>
      </c>
    </row>
    <row r="552" ht="13.5" customHeight="1">
      <c r="A552" s="270" t="s">
        <v>129</v>
      </c>
      <c r="B552" s="271" t="s">
        <v>20</v>
      </c>
      <c r="C552" s="96"/>
      <c r="D552" s="10"/>
      <c r="E552" s="272">
        <f t="shared" ref="E552:J552" si="133">E6</f>
        <v>16</v>
      </c>
      <c r="F552" s="272">
        <f t="shared" si="133"/>
        <v>26</v>
      </c>
      <c r="G552" s="272">
        <f t="shared" si="133"/>
        <v>26</v>
      </c>
      <c r="H552" s="273">
        <f t="shared" si="133"/>
        <v>26</v>
      </c>
      <c r="I552" s="274">
        <f t="shared" si="133"/>
        <v>31</v>
      </c>
      <c r="J552" s="272">
        <f t="shared" si="133"/>
        <v>36</v>
      </c>
      <c r="K552" s="271" t="s">
        <v>21</v>
      </c>
      <c r="L552" s="10"/>
      <c r="M552" s="275" t="s">
        <v>118</v>
      </c>
      <c r="N552" s="10"/>
    </row>
    <row r="553" ht="13.5" customHeight="1">
      <c r="A553" s="276" t="s">
        <v>23</v>
      </c>
      <c r="B553" s="222" t="s">
        <v>129</v>
      </c>
      <c r="C553" s="223" t="s">
        <v>30</v>
      </c>
      <c r="D553" s="224"/>
      <c r="E553" s="277"/>
      <c r="F553" s="277"/>
      <c r="G553" s="277"/>
      <c r="H553" s="277"/>
      <c r="I553" s="278"/>
      <c r="J553" s="277"/>
      <c r="K553" s="279" t="s">
        <v>30</v>
      </c>
      <c r="L553" s="280">
        <f>(E553*E552)+(F553*F552)+(G553*G552)+(H553*H552)+(I553*I552)+(J553*J552)</f>
        <v>0</v>
      </c>
      <c r="M553" s="228" t="s">
        <v>119</v>
      </c>
      <c r="N553" s="281" t="b">
        <v>0</v>
      </c>
    </row>
    <row r="554" ht="18.0" customHeight="1">
      <c r="A554" s="282"/>
      <c r="B554" s="231"/>
      <c r="C554" s="232" t="s">
        <v>34</v>
      </c>
      <c r="D554" s="108"/>
      <c r="E554" s="240"/>
      <c r="F554" s="241"/>
      <c r="G554" s="241"/>
      <c r="H554" s="241"/>
      <c r="I554" s="242"/>
      <c r="J554" s="241"/>
      <c r="K554" s="243" t="s">
        <v>35</v>
      </c>
      <c r="L554" s="236">
        <f>(E554*E552)+(F554*F552)+(G554*G552)+(H554*H552)+(I554*I552)+(J554*J552)</f>
        <v>0</v>
      </c>
      <c r="M554" s="244" t="s">
        <v>121</v>
      </c>
      <c r="N554" s="238" t="b">
        <v>0</v>
      </c>
    </row>
    <row r="555" ht="13.5" customHeight="1">
      <c r="A555" s="80"/>
      <c r="B555" s="283" t="s">
        <v>33</v>
      </c>
      <c r="C555" s="284" t="s">
        <v>37</v>
      </c>
      <c r="D555" s="285"/>
      <c r="E555" s="286"/>
      <c r="F555" s="286"/>
      <c r="G555" s="286"/>
      <c r="H555" s="286"/>
      <c r="I555" s="287"/>
      <c r="J555" s="286"/>
      <c r="K555" s="248" t="s">
        <v>38</v>
      </c>
      <c r="L555" s="249">
        <f>L554-L553</f>
        <v>0</v>
      </c>
      <c r="M555" s="288" t="s">
        <v>122</v>
      </c>
      <c r="N555" s="289" t="b">
        <v>0</v>
      </c>
    </row>
    <row r="556" ht="13.5" customHeight="1">
      <c r="A556" s="276" t="s">
        <v>23</v>
      </c>
      <c r="B556" s="222" t="s">
        <v>129</v>
      </c>
      <c r="C556" s="223" t="s">
        <v>30</v>
      </c>
      <c r="D556" s="224"/>
      <c r="E556" s="277"/>
      <c r="F556" s="277"/>
      <c r="G556" s="277"/>
      <c r="H556" s="277"/>
      <c r="I556" s="278"/>
      <c r="J556" s="290"/>
      <c r="K556" s="279" t="s">
        <v>30</v>
      </c>
      <c r="L556" s="280">
        <f>(E556*E552)+(F556*F552)+(G556*G552)+(H556*H552)+(I556*I552)+(J556*J552)</f>
        <v>0</v>
      </c>
      <c r="M556" s="228" t="s">
        <v>119</v>
      </c>
      <c r="N556" s="281" t="b">
        <v>0</v>
      </c>
    </row>
    <row r="557" ht="13.5" customHeight="1">
      <c r="A557" s="282"/>
      <c r="B557" s="231"/>
      <c r="C557" s="232" t="s">
        <v>34</v>
      </c>
      <c r="D557" s="108"/>
      <c r="E557" s="240"/>
      <c r="F557" s="241"/>
      <c r="G557" s="241"/>
      <c r="H557" s="241"/>
      <c r="I557" s="242"/>
      <c r="J557" s="252"/>
      <c r="K557" s="243" t="s">
        <v>35</v>
      </c>
      <c r="L557" s="236">
        <f>(E557*E552)+(F557*F552)+(G557*G552)+(H557*H552)+(I557*I552)+(J557*J552)</f>
        <v>0</v>
      </c>
      <c r="M557" s="244" t="s">
        <v>121</v>
      </c>
      <c r="N557" s="238" t="b">
        <v>0</v>
      </c>
    </row>
    <row r="558" ht="18.75" customHeight="1">
      <c r="A558" s="80"/>
      <c r="B558" s="283" t="s">
        <v>42</v>
      </c>
      <c r="C558" s="284" t="s">
        <v>37</v>
      </c>
      <c r="D558" s="285"/>
      <c r="E558" s="286"/>
      <c r="F558" s="286"/>
      <c r="G558" s="286"/>
      <c r="H558" s="286"/>
      <c r="I558" s="287"/>
      <c r="J558" s="291"/>
      <c r="K558" s="248" t="s">
        <v>38</v>
      </c>
      <c r="L558" s="249">
        <f>L557-L556</f>
        <v>0</v>
      </c>
      <c r="M558" s="288" t="s">
        <v>122</v>
      </c>
      <c r="N558" s="289" t="b">
        <v>0</v>
      </c>
    </row>
    <row r="559" ht="13.5" customHeight="1">
      <c r="A559" s="276" t="s">
        <v>23</v>
      </c>
      <c r="B559" s="222" t="s">
        <v>129</v>
      </c>
      <c r="C559" s="223" t="s">
        <v>30</v>
      </c>
      <c r="D559" s="224"/>
      <c r="E559" s="292"/>
      <c r="F559" s="292"/>
      <c r="G559" s="292"/>
      <c r="H559" s="292"/>
      <c r="I559" s="292"/>
      <c r="J559" s="292"/>
      <c r="K559" s="279" t="s">
        <v>30</v>
      </c>
      <c r="L559" s="280">
        <f>(E559*E552)+(F559*F552)+(G559*G552)+(H559*H552)+(I559*I552)+(J559*J552)</f>
        <v>0</v>
      </c>
      <c r="M559" s="228" t="s">
        <v>119</v>
      </c>
      <c r="N559" s="281" t="b">
        <v>0</v>
      </c>
    </row>
    <row r="560" ht="13.5" customHeight="1">
      <c r="A560" s="282"/>
      <c r="B560" s="231"/>
      <c r="C560" s="232" t="s">
        <v>34</v>
      </c>
      <c r="D560" s="108"/>
      <c r="E560" s="256"/>
      <c r="F560" s="257"/>
      <c r="G560" s="257"/>
      <c r="H560" s="257"/>
      <c r="I560" s="257"/>
      <c r="J560" s="257"/>
      <c r="K560" s="243" t="s">
        <v>35</v>
      </c>
      <c r="L560" s="236">
        <f>(E560*E552)+(F560*F552)+(G560*G552)+(H560*H552)+(I560*I552)+(J560*J552)</f>
        <v>0</v>
      </c>
      <c r="M560" s="244" t="s">
        <v>121</v>
      </c>
      <c r="N560" s="238" t="b">
        <v>0</v>
      </c>
    </row>
    <row r="561" ht="13.5" customHeight="1">
      <c r="A561" s="80"/>
      <c r="B561" s="283" t="s">
        <v>47</v>
      </c>
      <c r="C561" s="284" t="s">
        <v>37</v>
      </c>
      <c r="D561" s="285"/>
      <c r="E561" s="293"/>
      <c r="F561" s="293"/>
      <c r="G561" s="293"/>
      <c r="H561" s="293"/>
      <c r="I561" s="293"/>
      <c r="J561" s="293"/>
      <c r="K561" s="248" t="s">
        <v>38</v>
      </c>
      <c r="L561" s="249">
        <f>L560-L559</f>
        <v>0</v>
      </c>
      <c r="M561" s="288" t="s">
        <v>122</v>
      </c>
      <c r="N561" s="289" t="b">
        <v>0</v>
      </c>
    </row>
    <row r="562" ht="13.5" customHeight="1">
      <c r="A562" s="276" t="s">
        <v>23</v>
      </c>
      <c r="B562" s="222" t="s">
        <v>129</v>
      </c>
      <c r="C562" s="223" t="s">
        <v>30</v>
      </c>
      <c r="D562" s="224"/>
      <c r="E562" s="292"/>
      <c r="F562" s="292"/>
      <c r="G562" s="292"/>
      <c r="H562" s="292"/>
      <c r="I562" s="292"/>
      <c r="J562" s="292"/>
      <c r="K562" s="279" t="s">
        <v>30</v>
      </c>
      <c r="L562" s="280">
        <f>(E562*E552)+(F562*F552)+(G562*G552)+(H562*H552)+(I562*I552)+(J562*J552)</f>
        <v>0</v>
      </c>
      <c r="M562" s="228" t="s">
        <v>119</v>
      </c>
      <c r="N562" s="281" t="b">
        <v>0</v>
      </c>
    </row>
    <row r="563" ht="15.0" customHeight="1">
      <c r="A563" s="282"/>
      <c r="B563" s="231"/>
      <c r="C563" s="232" t="s">
        <v>34</v>
      </c>
      <c r="D563" s="108"/>
      <c r="E563" s="256"/>
      <c r="F563" s="257"/>
      <c r="G563" s="257"/>
      <c r="H563" s="257"/>
      <c r="I563" s="257"/>
      <c r="J563" s="257"/>
      <c r="K563" s="243" t="s">
        <v>35</v>
      </c>
      <c r="L563" s="236">
        <f>(E563*E552)+(F563*F552)+(G563*G552)+(H563*H552)+(I563*I552)+(J563*J552)</f>
        <v>0</v>
      </c>
      <c r="M563" s="244" t="s">
        <v>121</v>
      </c>
      <c r="N563" s="238" t="b">
        <v>0</v>
      </c>
    </row>
    <row r="564" ht="13.5" customHeight="1">
      <c r="A564" s="80"/>
      <c r="B564" s="283" t="s">
        <v>49</v>
      </c>
      <c r="C564" s="284" t="s">
        <v>37</v>
      </c>
      <c r="D564" s="285"/>
      <c r="E564" s="293"/>
      <c r="F564" s="293"/>
      <c r="G564" s="293"/>
      <c r="H564" s="293"/>
      <c r="I564" s="293"/>
      <c r="J564" s="293"/>
      <c r="K564" s="248" t="s">
        <v>38</v>
      </c>
      <c r="L564" s="249">
        <f>L563-L562</f>
        <v>0</v>
      </c>
      <c r="M564" s="288" t="s">
        <v>122</v>
      </c>
      <c r="N564" s="289" t="b">
        <v>0</v>
      </c>
    </row>
    <row r="565" ht="13.5" customHeight="1">
      <c r="A565" s="270" t="s">
        <v>130</v>
      </c>
      <c r="B565" s="271" t="s">
        <v>20</v>
      </c>
      <c r="C565" s="96"/>
      <c r="D565" s="10"/>
      <c r="E565" s="272">
        <f t="shared" ref="E565:J565" si="134">E6</f>
        <v>16</v>
      </c>
      <c r="F565" s="272">
        <f t="shared" si="134"/>
        <v>26</v>
      </c>
      <c r="G565" s="272">
        <f t="shared" si="134"/>
        <v>26</v>
      </c>
      <c r="H565" s="273">
        <f t="shared" si="134"/>
        <v>26</v>
      </c>
      <c r="I565" s="274">
        <f t="shared" si="134"/>
        <v>31</v>
      </c>
      <c r="J565" s="272">
        <f t="shared" si="134"/>
        <v>36</v>
      </c>
      <c r="K565" s="271" t="s">
        <v>21</v>
      </c>
      <c r="L565" s="10"/>
      <c r="M565" s="275" t="s">
        <v>118</v>
      </c>
      <c r="N565" s="10"/>
    </row>
    <row r="566" ht="20.25" customHeight="1">
      <c r="A566" s="276" t="s">
        <v>23</v>
      </c>
      <c r="B566" s="222" t="s">
        <v>130</v>
      </c>
      <c r="C566" s="223" t="s">
        <v>30</v>
      </c>
      <c r="D566" s="224"/>
      <c r="E566" s="277"/>
      <c r="F566" s="277"/>
      <c r="G566" s="277"/>
      <c r="H566" s="277"/>
      <c r="I566" s="278"/>
      <c r="J566" s="277"/>
      <c r="K566" s="279" t="s">
        <v>30</v>
      </c>
      <c r="L566" s="280">
        <f>(E566*E565)+(F566*F565)+(G566*G565)+(H566*H565)+(I566*I565)+(J566*J565)</f>
        <v>0</v>
      </c>
      <c r="M566" s="228" t="s">
        <v>119</v>
      </c>
      <c r="N566" s="281" t="b">
        <v>0</v>
      </c>
    </row>
    <row r="567" ht="13.5" customHeight="1">
      <c r="A567" s="282"/>
      <c r="B567" s="231"/>
      <c r="C567" s="232" t="s">
        <v>34</v>
      </c>
      <c r="D567" s="108"/>
      <c r="E567" s="240"/>
      <c r="F567" s="241"/>
      <c r="G567" s="241"/>
      <c r="H567" s="241"/>
      <c r="I567" s="242"/>
      <c r="J567" s="241"/>
      <c r="K567" s="243" t="s">
        <v>35</v>
      </c>
      <c r="L567" s="236">
        <f>(E567*E565)+(F567*F565)+(G567*G565)+(H567*H565)+(I567*I565)+(J567*J565)</f>
        <v>0</v>
      </c>
      <c r="M567" s="244" t="s">
        <v>121</v>
      </c>
      <c r="N567" s="238" t="b">
        <v>0</v>
      </c>
    </row>
    <row r="568" ht="13.5" customHeight="1">
      <c r="A568" s="80"/>
      <c r="B568" s="283" t="s">
        <v>33</v>
      </c>
      <c r="C568" s="284" t="s">
        <v>37</v>
      </c>
      <c r="D568" s="285"/>
      <c r="E568" s="286"/>
      <c r="F568" s="286"/>
      <c r="G568" s="286"/>
      <c r="H568" s="286"/>
      <c r="I568" s="287"/>
      <c r="J568" s="286"/>
      <c r="K568" s="248" t="s">
        <v>38</v>
      </c>
      <c r="L568" s="249">
        <f>L567-L566</f>
        <v>0</v>
      </c>
      <c r="M568" s="288" t="s">
        <v>122</v>
      </c>
      <c r="N568" s="289" t="b">
        <v>0</v>
      </c>
    </row>
    <row r="569" ht="13.5" customHeight="1">
      <c r="A569" s="276" t="s">
        <v>23</v>
      </c>
      <c r="B569" s="222" t="s">
        <v>130</v>
      </c>
      <c r="C569" s="223" t="s">
        <v>30</v>
      </c>
      <c r="D569" s="224"/>
      <c r="E569" s="277"/>
      <c r="F569" s="277"/>
      <c r="G569" s="277"/>
      <c r="H569" s="277"/>
      <c r="I569" s="278"/>
      <c r="J569" s="290"/>
      <c r="K569" s="279" t="s">
        <v>30</v>
      </c>
      <c r="L569" s="280">
        <f>(E569*E565)+(F569*F565)+(G569*G565)+(H569*H565)+(I569*I565)+(J569*J565)</f>
        <v>0</v>
      </c>
      <c r="M569" s="228" t="s">
        <v>119</v>
      </c>
      <c r="N569" s="281" t="b">
        <v>0</v>
      </c>
    </row>
    <row r="570" ht="15.0" customHeight="1">
      <c r="A570" s="282"/>
      <c r="B570" s="231"/>
      <c r="C570" s="232" t="s">
        <v>34</v>
      </c>
      <c r="D570" s="108"/>
      <c r="E570" s="240"/>
      <c r="F570" s="241"/>
      <c r="G570" s="241"/>
      <c r="H570" s="241"/>
      <c r="I570" s="242"/>
      <c r="J570" s="252"/>
      <c r="K570" s="243" t="s">
        <v>35</v>
      </c>
      <c r="L570" s="236">
        <f>(E570*E565)+(F570*F565)+(G570*G565)+(H570*H565)+(I570*I565)+(J570*J565)</f>
        <v>0</v>
      </c>
      <c r="M570" s="244" t="s">
        <v>121</v>
      </c>
      <c r="N570" s="238" t="b">
        <v>0</v>
      </c>
    </row>
    <row r="571" ht="22.5" customHeight="1">
      <c r="A571" s="80"/>
      <c r="B571" s="283" t="s">
        <v>42</v>
      </c>
      <c r="C571" s="284" t="s">
        <v>37</v>
      </c>
      <c r="D571" s="285"/>
      <c r="E571" s="286"/>
      <c r="F571" s="286"/>
      <c r="G571" s="286"/>
      <c r="H571" s="286"/>
      <c r="I571" s="287"/>
      <c r="J571" s="291"/>
      <c r="K571" s="248" t="s">
        <v>38</v>
      </c>
      <c r="L571" s="249">
        <f>L570-L569</f>
        <v>0</v>
      </c>
      <c r="M571" s="288" t="s">
        <v>122</v>
      </c>
      <c r="N571" s="289" t="b">
        <v>0</v>
      </c>
    </row>
    <row r="572" ht="13.5" customHeight="1">
      <c r="A572" s="276" t="s">
        <v>23</v>
      </c>
      <c r="B572" s="222" t="s">
        <v>130</v>
      </c>
      <c r="C572" s="223" t="s">
        <v>30</v>
      </c>
      <c r="D572" s="224"/>
      <c r="E572" s="292"/>
      <c r="F572" s="292"/>
      <c r="G572" s="292"/>
      <c r="H572" s="292"/>
      <c r="I572" s="292"/>
      <c r="J572" s="292"/>
      <c r="K572" s="279" t="s">
        <v>30</v>
      </c>
      <c r="L572" s="280">
        <f>(E572*E565)+(F572*F565)+(G572*G565)+(H572*H565)+(I572*I565)+(J572*J565)</f>
        <v>0</v>
      </c>
      <c r="M572" s="228" t="s">
        <v>119</v>
      </c>
      <c r="N572" s="281" t="b">
        <v>0</v>
      </c>
    </row>
    <row r="573" ht="13.5" customHeight="1">
      <c r="A573" s="282"/>
      <c r="B573" s="231"/>
      <c r="C573" s="232" t="s">
        <v>34</v>
      </c>
      <c r="D573" s="108"/>
      <c r="E573" s="256"/>
      <c r="F573" s="257"/>
      <c r="G573" s="257"/>
      <c r="H573" s="257"/>
      <c r="I573" s="257"/>
      <c r="J573" s="257"/>
      <c r="K573" s="243" t="s">
        <v>35</v>
      </c>
      <c r="L573" s="236">
        <f>(E573*E565)+(F573*F565)+(G573*G565)+(H573*H565)+(I573*I565)+(J573*J565)</f>
        <v>0</v>
      </c>
      <c r="M573" s="244" t="s">
        <v>121</v>
      </c>
      <c r="N573" s="238" t="b">
        <v>0</v>
      </c>
    </row>
    <row r="574" ht="19.5" customHeight="1">
      <c r="A574" s="80"/>
      <c r="B574" s="283" t="s">
        <v>47</v>
      </c>
      <c r="C574" s="284" t="s">
        <v>37</v>
      </c>
      <c r="D574" s="285"/>
      <c r="E574" s="293"/>
      <c r="F574" s="293"/>
      <c r="G574" s="293"/>
      <c r="H574" s="293"/>
      <c r="I574" s="293"/>
      <c r="J574" s="293"/>
      <c r="K574" s="248" t="s">
        <v>38</v>
      </c>
      <c r="L574" s="249">
        <f>L573-L572</f>
        <v>0</v>
      </c>
      <c r="M574" s="288" t="s">
        <v>122</v>
      </c>
      <c r="N574" s="289" t="b">
        <v>0</v>
      </c>
    </row>
    <row r="575" ht="13.5" customHeight="1">
      <c r="A575" s="276" t="s">
        <v>23</v>
      </c>
      <c r="B575" s="222" t="s">
        <v>130</v>
      </c>
      <c r="C575" s="223" t="s">
        <v>30</v>
      </c>
      <c r="D575" s="224"/>
      <c r="E575" s="292"/>
      <c r="F575" s="292"/>
      <c r="G575" s="292"/>
      <c r="H575" s="292"/>
      <c r="I575" s="292"/>
      <c r="J575" s="292"/>
      <c r="K575" s="279" t="s">
        <v>30</v>
      </c>
      <c r="L575" s="280">
        <f>(E575*E565)+(F575*F565)+(G575*G565)+(H575*H565)+(I575*I565)+(J575*J565)</f>
        <v>0</v>
      </c>
      <c r="M575" s="228" t="s">
        <v>119</v>
      </c>
      <c r="N575" s="281" t="b">
        <v>0</v>
      </c>
    </row>
    <row r="576" ht="13.5" customHeight="1">
      <c r="A576" s="282"/>
      <c r="B576" s="231"/>
      <c r="C576" s="232" t="s">
        <v>34</v>
      </c>
      <c r="D576" s="108"/>
      <c r="E576" s="256"/>
      <c r="F576" s="257"/>
      <c r="G576" s="257"/>
      <c r="H576" s="257"/>
      <c r="I576" s="257"/>
      <c r="J576" s="257"/>
      <c r="K576" s="243" t="s">
        <v>35</v>
      </c>
      <c r="L576" s="236">
        <f>(E576*E565)+(F576*F565)+(G576*G565)+(H576*H565)+(I576*I565)+(J576*J565)</f>
        <v>0</v>
      </c>
      <c r="M576" s="244" t="s">
        <v>121</v>
      </c>
      <c r="N576" s="238" t="b">
        <v>0</v>
      </c>
    </row>
    <row r="577" ht="13.5" customHeight="1">
      <c r="A577" s="80"/>
      <c r="B577" s="283" t="s">
        <v>49</v>
      </c>
      <c r="C577" s="284" t="s">
        <v>37</v>
      </c>
      <c r="D577" s="285"/>
      <c r="E577" s="293"/>
      <c r="F577" s="293"/>
      <c r="G577" s="293"/>
      <c r="H577" s="293"/>
      <c r="I577" s="293"/>
      <c r="J577" s="293"/>
      <c r="K577" s="248" t="s">
        <v>38</v>
      </c>
      <c r="L577" s="249">
        <f>L576-L575</f>
        <v>0</v>
      </c>
      <c r="M577" s="288" t="s">
        <v>122</v>
      </c>
      <c r="N577" s="289" t="b">
        <v>0</v>
      </c>
    </row>
    <row r="578" ht="13.5" customHeight="1">
      <c r="A578" s="270" t="s">
        <v>131</v>
      </c>
      <c r="B578" s="271" t="s">
        <v>20</v>
      </c>
      <c r="C578" s="96"/>
      <c r="D578" s="10"/>
      <c r="E578" s="272">
        <f t="shared" ref="E578:J578" si="135">E6</f>
        <v>16</v>
      </c>
      <c r="F578" s="272">
        <f t="shared" si="135"/>
        <v>26</v>
      </c>
      <c r="G578" s="272">
        <f t="shared" si="135"/>
        <v>26</v>
      </c>
      <c r="H578" s="272">
        <f t="shared" si="135"/>
        <v>26</v>
      </c>
      <c r="I578" s="272">
        <f t="shared" si="135"/>
        <v>31</v>
      </c>
      <c r="J578" s="272">
        <f t="shared" si="135"/>
        <v>36</v>
      </c>
      <c r="K578" s="271" t="s">
        <v>21</v>
      </c>
      <c r="L578" s="10"/>
      <c r="M578" s="275" t="s">
        <v>118</v>
      </c>
      <c r="N578" s="10"/>
    </row>
    <row r="579" ht="13.5" customHeight="1">
      <c r="A579" s="276" t="s">
        <v>23</v>
      </c>
      <c r="B579" s="222" t="s">
        <v>131</v>
      </c>
      <c r="C579" s="223" t="s">
        <v>30</v>
      </c>
      <c r="D579" s="224"/>
      <c r="E579" s="277"/>
      <c r="F579" s="277"/>
      <c r="G579" s="277"/>
      <c r="H579" s="277"/>
      <c r="I579" s="278"/>
      <c r="J579" s="277"/>
      <c r="K579" s="279" t="s">
        <v>30</v>
      </c>
      <c r="L579" s="280">
        <f>(E579*E578)+(F579*F578)+(G579*G578)+(H579*H578)+(I579*I578)+(J579*J578)</f>
        <v>0</v>
      </c>
      <c r="M579" s="228" t="s">
        <v>119</v>
      </c>
      <c r="N579" s="281" t="b">
        <v>0</v>
      </c>
    </row>
    <row r="580" ht="13.5" customHeight="1">
      <c r="A580" s="282"/>
      <c r="B580" s="231"/>
      <c r="C580" s="232" t="s">
        <v>34</v>
      </c>
      <c r="D580" s="108"/>
      <c r="E580" s="240"/>
      <c r="F580" s="241"/>
      <c r="G580" s="241"/>
      <c r="H580" s="241"/>
      <c r="I580" s="242"/>
      <c r="J580" s="241"/>
      <c r="K580" s="243" t="s">
        <v>35</v>
      </c>
      <c r="L580" s="236">
        <f>(E580*E578)+(F580*F578)+(G580*G578)+(H580*H578)+(I580*I578)+(J580*J578)</f>
        <v>0</v>
      </c>
      <c r="M580" s="244" t="s">
        <v>121</v>
      </c>
      <c r="N580" s="238" t="b">
        <v>0</v>
      </c>
    </row>
    <row r="581" ht="13.5" customHeight="1">
      <c r="A581" s="80"/>
      <c r="B581" s="283" t="s">
        <v>33</v>
      </c>
      <c r="C581" s="284" t="s">
        <v>37</v>
      </c>
      <c r="D581" s="285"/>
      <c r="E581" s="286"/>
      <c r="F581" s="286"/>
      <c r="G581" s="286"/>
      <c r="H581" s="286"/>
      <c r="I581" s="287"/>
      <c r="J581" s="286"/>
      <c r="K581" s="248" t="s">
        <v>38</v>
      </c>
      <c r="L581" s="249">
        <f>L580-L579</f>
        <v>0</v>
      </c>
      <c r="M581" s="288" t="s">
        <v>122</v>
      </c>
      <c r="N581" s="289" t="b">
        <v>0</v>
      </c>
    </row>
    <row r="582" ht="19.5" customHeight="1">
      <c r="A582" s="276" t="s">
        <v>23</v>
      </c>
      <c r="B582" s="222" t="s">
        <v>131</v>
      </c>
      <c r="C582" s="223" t="s">
        <v>30</v>
      </c>
      <c r="D582" s="224"/>
      <c r="E582" s="277"/>
      <c r="F582" s="277"/>
      <c r="G582" s="277"/>
      <c r="H582" s="277"/>
      <c r="I582" s="278"/>
      <c r="J582" s="290"/>
      <c r="K582" s="279" t="s">
        <v>30</v>
      </c>
      <c r="L582" s="280">
        <f>(E582*E578)+(F582*F578)+(G582*G578)+(H582*H578)+(I582*I578)+(J582*J578)</f>
        <v>0</v>
      </c>
      <c r="M582" s="228" t="s">
        <v>119</v>
      </c>
      <c r="N582" s="281" t="b">
        <v>0</v>
      </c>
    </row>
    <row r="583" ht="13.5" customHeight="1">
      <c r="A583" s="282"/>
      <c r="B583" s="231"/>
      <c r="C583" s="232" t="s">
        <v>34</v>
      </c>
      <c r="D583" s="108"/>
      <c r="E583" s="240"/>
      <c r="F583" s="241"/>
      <c r="G583" s="241"/>
      <c r="H583" s="241"/>
      <c r="I583" s="242"/>
      <c r="J583" s="252"/>
      <c r="K583" s="243" t="s">
        <v>35</v>
      </c>
      <c r="L583" s="236">
        <f>(E583*E578)+(F583*F578)+(G583*G578)+(H583*H578)+(I583*I578)+(J583*J578)</f>
        <v>0</v>
      </c>
      <c r="M583" s="244" t="s">
        <v>121</v>
      </c>
      <c r="N583" s="238" t="b">
        <v>0</v>
      </c>
    </row>
    <row r="584" ht="13.5" customHeight="1">
      <c r="A584" s="80"/>
      <c r="B584" s="283" t="s">
        <v>42</v>
      </c>
      <c r="C584" s="284" t="s">
        <v>37</v>
      </c>
      <c r="D584" s="285"/>
      <c r="E584" s="286"/>
      <c r="F584" s="286"/>
      <c r="G584" s="286"/>
      <c r="H584" s="286"/>
      <c r="I584" s="287"/>
      <c r="J584" s="291"/>
      <c r="K584" s="248" t="s">
        <v>38</v>
      </c>
      <c r="L584" s="249">
        <f>L583-L582</f>
        <v>0</v>
      </c>
      <c r="M584" s="288" t="s">
        <v>122</v>
      </c>
      <c r="N584" s="289" t="b">
        <v>0</v>
      </c>
    </row>
    <row r="585" ht="13.5" customHeight="1">
      <c r="A585" s="276" t="s">
        <v>23</v>
      </c>
      <c r="B585" s="222" t="s">
        <v>131</v>
      </c>
      <c r="C585" s="223" t="s">
        <v>30</v>
      </c>
      <c r="D585" s="224"/>
      <c r="E585" s="292"/>
      <c r="F585" s="292"/>
      <c r="G585" s="292"/>
      <c r="H585" s="292"/>
      <c r="I585" s="292"/>
      <c r="J585" s="292"/>
      <c r="K585" s="279" t="s">
        <v>30</v>
      </c>
      <c r="L585" s="280">
        <f>(E585*E578)+(F585*F578)+(G585*G578)+(H585*H578)+(I585*I578)+(J585*J578)</f>
        <v>0</v>
      </c>
      <c r="M585" s="228" t="s">
        <v>119</v>
      </c>
      <c r="N585" s="281" t="b">
        <v>0</v>
      </c>
    </row>
    <row r="586" ht="15.0" customHeight="1">
      <c r="A586" s="282"/>
      <c r="B586" s="231"/>
      <c r="C586" s="232" t="s">
        <v>34</v>
      </c>
      <c r="D586" s="108"/>
      <c r="E586" s="256"/>
      <c r="F586" s="257"/>
      <c r="G586" s="257"/>
      <c r="H586" s="257"/>
      <c r="I586" s="257"/>
      <c r="J586" s="257"/>
      <c r="K586" s="243" t="s">
        <v>35</v>
      </c>
      <c r="L586" s="236">
        <f>(E586*E578)+(F586*F578)+(G586*G578)+(H586*H578)+(I586*I578)+(J586*J578)</f>
        <v>0</v>
      </c>
      <c r="M586" s="244" t="s">
        <v>121</v>
      </c>
      <c r="N586" s="238" t="b">
        <v>0</v>
      </c>
    </row>
    <row r="587" ht="13.5" customHeight="1">
      <c r="A587" s="80"/>
      <c r="B587" s="283" t="s">
        <v>47</v>
      </c>
      <c r="C587" s="284" t="s">
        <v>37</v>
      </c>
      <c r="D587" s="285"/>
      <c r="E587" s="293"/>
      <c r="F587" s="293"/>
      <c r="G587" s="293"/>
      <c r="H587" s="293"/>
      <c r="I587" s="293"/>
      <c r="J587" s="293"/>
      <c r="K587" s="248" t="s">
        <v>38</v>
      </c>
      <c r="L587" s="249">
        <f>L586-L585</f>
        <v>0</v>
      </c>
      <c r="M587" s="288" t="s">
        <v>122</v>
      </c>
      <c r="N587" s="289" t="b">
        <v>0</v>
      </c>
    </row>
    <row r="588" ht="13.5" customHeight="1">
      <c r="A588" s="276" t="s">
        <v>23</v>
      </c>
      <c r="B588" s="222" t="s">
        <v>131</v>
      </c>
      <c r="C588" s="223" t="s">
        <v>30</v>
      </c>
      <c r="D588" s="224"/>
      <c r="E588" s="292"/>
      <c r="F588" s="292"/>
      <c r="G588" s="292"/>
      <c r="H588" s="292"/>
      <c r="I588" s="292"/>
      <c r="J588" s="292"/>
      <c r="K588" s="279" t="s">
        <v>30</v>
      </c>
      <c r="L588" s="280">
        <f>(E588*E578)+(F588*F578)+(G588*G578)+(H588*H578)+(I588*I578)+(J588*J578)</f>
        <v>0</v>
      </c>
      <c r="M588" s="228" t="s">
        <v>119</v>
      </c>
      <c r="N588" s="281" t="b">
        <v>0</v>
      </c>
    </row>
    <row r="589" ht="13.5" customHeight="1">
      <c r="A589" s="282"/>
      <c r="B589" s="231"/>
      <c r="C589" s="232" t="s">
        <v>34</v>
      </c>
      <c r="D589" s="108"/>
      <c r="E589" s="256"/>
      <c r="F589" s="257"/>
      <c r="G589" s="257"/>
      <c r="H589" s="257"/>
      <c r="I589" s="257"/>
      <c r="J589" s="257"/>
      <c r="K589" s="243" t="s">
        <v>35</v>
      </c>
      <c r="L589" s="236">
        <f>(E589*E578)+(F589*F578)+(G589*G578)+(H589*H578)+(I589*I578)+(J589*J578)</f>
        <v>0</v>
      </c>
      <c r="M589" s="244" t="s">
        <v>121</v>
      </c>
      <c r="N589" s="238" t="b">
        <v>0</v>
      </c>
    </row>
    <row r="590" ht="18.75" customHeight="1">
      <c r="A590" s="80"/>
      <c r="B590" s="283" t="s">
        <v>49</v>
      </c>
      <c r="C590" s="284" t="s">
        <v>37</v>
      </c>
      <c r="D590" s="285"/>
      <c r="E590" s="293"/>
      <c r="F590" s="293"/>
      <c r="G590" s="293"/>
      <c r="H590" s="293"/>
      <c r="I590" s="293"/>
      <c r="J590" s="293"/>
      <c r="K590" s="248" t="s">
        <v>38</v>
      </c>
      <c r="L590" s="249">
        <f>L589-L588</f>
        <v>0</v>
      </c>
      <c r="M590" s="288" t="s">
        <v>122</v>
      </c>
      <c r="N590" s="289" t="b">
        <v>0</v>
      </c>
    </row>
    <row r="591" ht="13.5" customHeight="1">
      <c r="A591" s="294" t="s">
        <v>132</v>
      </c>
      <c r="B591" s="295"/>
      <c r="C591" s="295"/>
      <c r="D591" s="295"/>
      <c r="E591" s="295"/>
      <c r="F591" s="295"/>
      <c r="G591" s="295"/>
      <c r="H591" s="295"/>
      <c r="I591" s="295"/>
      <c r="J591" s="295"/>
      <c r="K591" s="295"/>
      <c r="L591" s="295"/>
      <c r="M591" s="295"/>
      <c r="N591" s="296"/>
    </row>
    <row r="592" ht="13.5" customHeight="1">
      <c r="A592" s="297" t="s">
        <v>133</v>
      </c>
      <c r="B592" s="298"/>
      <c r="C592" s="299" t="s">
        <v>15</v>
      </c>
      <c r="D592" s="54"/>
      <c r="E592" s="300">
        <f t="shared" ref="E592:J592" si="136">E7-(E15+E33+E51+E69+E87+E105+E123+E141+E159+E177+E195+E213+E231+E249+E267+E285+E303+E321+E339+E357+E375+E393+E411+E429+E447+E463+E476+E489+E502+E515+E528+E541+E554+E567+E580)</f>
        <v>0</v>
      </c>
      <c r="F592" s="300">
        <f t="shared" si="136"/>
        <v>0</v>
      </c>
      <c r="G592" s="300">
        <f t="shared" si="136"/>
        <v>0</v>
      </c>
      <c r="H592" s="300">
        <f t="shared" si="136"/>
        <v>0</v>
      </c>
      <c r="I592" s="300">
        <f t="shared" si="136"/>
        <v>0</v>
      </c>
      <c r="J592" s="300">
        <f t="shared" si="136"/>
        <v>0</v>
      </c>
      <c r="K592" s="301" t="s">
        <v>134</v>
      </c>
      <c r="L592" s="302">
        <f>L16+L34+L52+L70+L88+L106+L124+L142+L160+L178+L196+L214+L232+L250+L268+L286+L304+L322+L340+L358+L376+L394+L412+L430+L448+L464+L477+L490+L503+L516+L529+L542+L555+L568+L581</f>
        <v>0</v>
      </c>
      <c r="M592" s="303"/>
      <c r="N592" s="304"/>
    </row>
    <row r="593" ht="13.5" customHeight="1">
      <c r="A593" s="126"/>
      <c r="B593" s="305"/>
      <c r="C593" s="306" t="s">
        <v>137</v>
      </c>
      <c r="D593" s="285"/>
      <c r="E593" s="307">
        <f t="shared" ref="E593:J593" si="137">E14+E32+E50+E68+E86+E104+E122+E140+E158+E176+E194+E212+E230+E248+E266+E284+E302+E320+E338+E356+E374+E392+E410+E428+E446+E462+E475+E488+E501+E514+E527+E540+E553+E566+E579</f>
        <v>0</v>
      </c>
      <c r="F593" s="307">
        <f t="shared" si="137"/>
        <v>0</v>
      </c>
      <c r="G593" s="307">
        <f t="shared" si="137"/>
        <v>0</v>
      </c>
      <c r="H593" s="307">
        <f t="shared" si="137"/>
        <v>0</v>
      </c>
      <c r="I593" s="307">
        <f t="shared" si="137"/>
        <v>0</v>
      </c>
      <c r="J593" s="307">
        <f t="shared" si="137"/>
        <v>0</v>
      </c>
      <c r="K593" s="308"/>
      <c r="L593" s="80"/>
      <c r="M593" s="309"/>
      <c r="N593" s="296"/>
    </row>
    <row r="594" ht="13.5" customHeight="1">
      <c r="A594" s="310" t="s">
        <v>138</v>
      </c>
      <c r="B594" s="311"/>
      <c r="C594" s="299" t="s">
        <v>15</v>
      </c>
      <c r="D594" s="54"/>
      <c r="E594" s="300">
        <f t="shared" ref="E594:J594" si="138">E8-(E19+E37+E55+E73+E91+E109+E127+E145+E163+E181+E199+E217+E235+E253+E271+E289+E307+E325+E343+E361+E379+E397+E415+E433+E451+E466+E479+E492+E505+E518+E531+E544+E557+E570+E583)</f>
        <v>0</v>
      </c>
      <c r="F594" s="300">
        <f t="shared" si="138"/>
        <v>0</v>
      </c>
      <c r="G594" s="300">
        <f t="shared" si="138"/>
        <v>0</v>
      </c>
      <c r="H594" s="300">
        <f t="shared" si="138"/>
        <v>0</v>
      </c>
      <c r="I594" s="300">
        <f t="shared" si="138"/>
        <v>0</v>
      </c>
      <c r="J594" s="300">
        <f t="shared" si="138"/>
        <v>0</v>
      </c>
      <c r="K594" s="312" t="s">
        <v>139</v>
      </c>
      <c r="L594" s="313">
        <f>L20+L38+L56+L74+L92+L110+L128+L146+L164+L182+L200+L218+L236+L254+L272+L290+L308+L326+L344+L362+L380+L398+L416+L434+L452+L467+L480+L493+L506+L519+L532+L545+L558+L571+L584</f>
        <v>0</v>
      </c>
      <c r="M594" s="303"/>
      <c r="N594" s="304"/>
    </row>
    <row r="595" ht="13.5" customHeight="1">
      <c r="A595" s="126"/>
      <c r="B595" s="305"/>
      <c r="C595" s="306" t="s">
        <v>137</v>
      </c>
      <c r="D595" s="285"/>
      <c r="E595" s="307">
        <f t="shared" ref="E595:J595" si="139">E36+E54+E72+E90+E126+E144+E162+E180+E198+E216+E234+E252+E270+E288+E306+E324+E342+E360+E378+E396+E414+E432+E450+E465+E478+E491+E504+E517+E530+E543+E556+E569+E582</f>
        <v>0</v>
      </c>
      <c r="F595" s="307">
        <f t="shared" si="139"/>
        <v>0</v>
      </c>
      <c r="G595" s="307">
        <f t="shared" si="139"/>
        <v>0</v>
      </c>
      <c r="H595" s="307">
        <f t="shared" si="139"/>
        <v>0</v>
      </c>
      <c r="I595" s="307">
        <f t="shared" si="139"/>
        <v>0</v>
      </c>
      <c r="J595" s="307">
        <f t="shared" si="139"/>
        <v>0</v>
      </c>
      <c r="K595" s="308"/>
      <c r="L595" s="80"/>
      <c r="M595" s="309"/>
      <c r="N595" s="296"/>
    </row>
    <row r="596" ht="13.5" customHeight="1">
      <c r="A596" s="310" t="s">
        <v>140</v>
      </c>
      <c r="B596" s="311"/>
      <c r="C596" s="299" t="s">
        <v>15</v>
      </c>
      <c r="D596" s="54"/>
      <c r="E596" s="314">
        <f t="shared" ref="E596:J596" si="140">E9-(E23+E41+E59+E77+E95+E113+E131+E149+E167+E185+E203+E221+E239+E257+E275+E293+E311+E329+E347+E365+E383+E401+E419+E437+E455+E469+E482+E495+E508+E521+E534+E547+E560+E573+E586)</f>
        <v>0</v>
      </c>
      <c r="F596" s="314">
        <f t="shared" si="140"/>
        <v>0</v>
      </c>
      <c r="G596" s="314">
        <f t="shared" si="140"/>
        <v>0</v>
      </c>
      <c r="H596" s="314">
        <f t="shared" si="140"/>
        <v>0</v>
      </c>
      <c r="I596" s="314">
        <f t="shared" si="140"/>
        <v>0</v>
      </c>
      <c r="J596" s="314">
        <f t="shared" si="140"/>
        <v>0</v>
      </c>
      <c r="K596" s="312" t="s">
        <v>141</v>
      </c>
      <c r="L596" s="302">
        <f>L24+L42+L60+L78+L96+L114+L132+L150+L168+L186+L204+L222+L240+L258+L276+L294+L312+L330+L348+L366+L384+L402+L420+L438+L456+L470+L483+L496+L509+L522+L535+L548+L561+L574+L587</f>
        <v>0</v>
      </c>
      <c r="M596" s="303"/>
      <c r="N596" s="304"/>
    </row>
    <row r="597" ht="13.5" customHeight="1">
      <c r="A597" s="126"/>
      <c r="B597" s="305"/>
      <c r="C597" s="306" t="s">
        <v>137</v>
      </c>
      <c r="D597" s="285"/>
      <c r="E597" s="307">
        <f t="shared" ref="E597:J597" si="141">E22+E40+E58+E76+E94+E112+E130+E148+E166+E184+E202+E220+E238+E256+E274+E292+E310+E328+E346+E364+E382+E400+E418+E436+E454+E468+E481+E494+E507+E520+E533+E546+E559+E572+E585</f>
        <v>0</v>
      </c>
      <c r="F597" s="307">
        <f t="shared" si="141"/>
        <v>0</v>
      </c>
      <c r="G597" s="307">
        <f t="shared" si="141"/>
        <v>0</v>
      </c>
      <c r="H597" s="307">
        <f t="shared" si="141"/>
        <v>0</v>
      </c>
      <c r="I597" s="307">
        <f t="shared" si="141"/>
        <v>0</v>
      </c>
      <c r="J597" s="307">
        <f t="shared" si="141"/>
        <v>0</v>
      </c>
      <c r="K597" s="308"/>
      <c r="L597" s="80"/>
      <c r="M597" s="309"/>
      <c r="N597" s="296"/>
    </row>
    <row r="598" ht="13.5" customHeight="1">
      <c r="A598" s="310" t="s">
        <v>142</v>
      </c>
      <c r="B598" s="311"/>
      <c r="C598" s="299" t="s">
        <v>15</v>
      </c>
      <c r="D598" s="54"/>
      <c r="E598" s="314">
        <f t="shared" ref="E598:J598" si="142">E10-(E27+E45+E63+E81+E99+E117+E135+E153+E171+E189+E207+E225+E243+E261+E279+E297+E315+E333+E351+E369+E387+E405+E423+E441+E459+E472+E485+E498+E511+E524+E537+E550+E563+E576+E589)</f>
        <v>0</v>
      </c>
      <c r="F598" s="314">
        <f t="shared" si="142"/>
        <v>0</v>
      </c>
      <c r="G598" s="314">
        <f t="shared" si="142"/>
        <v>0</v>
      </c>
      <c r="H598" s="314">
        <f t="shared" si="142"/>
        <v>0</v>
      </c>
      <c r="I598" s="314">
        <f t="shared" si="142"/>
        <v>0</v>
      </c>
      <c r="J598" s="314">
        <f t="shared" si="142"/>
        <v>0</v>
      </c>
      <c r="K598" s="312" t="s">
        <v>143</v>
      </c>
      <c r="L598" s="302">
        <f>L28+L46+L64+L82+L100+L118+L136+L154+L172+L190+L208+L226+L244+L262+L280+L298+L316+L334+L352+L370+L388+L406+L424+L442+L460+L473+L486+L499+L512+L525+L538+L551+L564+L577+L590</f>
        <v>0</v>
      </c>
      <c r="M598" s="303"/>
      <c r="N598" s="304"/>
    </row>
    <row r="599" ht="13.5" customHeight="1">
      <c r="A599" s="126"/>
      <c r="B599" s="305"/>
      <c r="C599" s="306" t="s">
        <v>137</v>
      </c>
      <c r="D599" s="285"/>
      <c r="E599" s="307">
        <f t="shared" ref="E599:J599" si="143">E26+E44+E62+E80+E98+E116+E134+E152+E170+E188+E206+E224+E242+E260+E278+E296+E314+E332+E350+E368+E386+E404+E422+E440+E458+E471+E484+E497+E510+E523+E536+E549+E562+E575+E588</f>
        <v>0</v>
      </c>
      <c r="F599" s="307">
        <f t="shared" si="143"/>
        <v>0</v>
      </c>
      <c r="G599" s="307">
        <f t="shared" si="143"/>
        <v>0</v>
      </c>
      <c r="H599" s="307">
        <f t="shared" si="143"/>
        <v>0</v>
      </c>
      <c r="I599" s="307">
        <f t="shared" si="143"/>
        <v>0</v>
      </c>
      <c r="J599" s="307">
        <f t="shared" si="143"/>
        <v>0</v>
      </c>
      <c r="K599" s="308"/>
      <c r="L599" s="80"/>
      <c r="M599" s="309"/>
      <c r="N599" s="296"/>
    </row>
    <row r="600" ht="13.5" customHeight="1">
      <c r="A600" s="105" t="s">
        <v>144</v>
      </c>
      <c r="B600" s="96"/>
      <c r="C600" s="96"/>
      <c r="D600" s="96"/>
      <c r="E600" s="96"/>
      <c r="F600" s="96"/>
      <c r="G600" s="96"/>
      <c r="H600" s="96"/>
      <c r="I600" s="96"/>
      <c r="J600" s="96"/>
      <c r="K600" s="96"/>
      <c r="L600" s="96"/>
      <c r="M600" s="96"/>
      <c r="N600" s="10"/>
    </row>
    <row r="601" ht="13.5" customHeight="1">
      <c r="A601" s="315"/>
      <c r="B601" s="316"/>
      <c r="C601" s="316"/>
      <c r="D601" s="316"/>
      <c r="E601" s="317" t="s">
        <v>7</v>
      </c>
      <c r="F601" s="318" t="s">
        <v>145</v>
      </c>
      <c r="G601" s="318" t="s">
        <v>9</v>
      </c>
      <c r="H601" s="318" t="s">
        <v>10</v>
      </c>
      <c r="I601" s="318" t="s">
        <v>11</v>
      </c>
      <c r="J601" s="319" t="s">
        <v>146</v>
      </c>
      <c r="K601" s="315"/>
      <c r="L601" s="315"/>
      <c r="M601" s="315"/>
      <c r="N601" s="315"/>
    </row>
    <row r="602" ht="13.5" customHeight="1">
      <c r="A602" s="320">
        <v>1.0</v>
      </c>
      <c r="B602" s="321" t="s">
        <v>147</v>
      </c>
      <c r="C602" s="322"/>
      <c r="D602" s="224"/>
      <c r="E602" s="323">
        <f t="shared" ref="E602:J602" si="144">E13+E31+E49+E67+E85+E103+E121+E139+E157+E175+E193+E211+E229+E247+E265+E283+E301+E319+E337+E355+E373+E391+E409+E427+E445</f>
        <v>0</v>
      </c>
      <c r="F602" s="323">
        <f t="shared" si="144"/>
        <v>0</v>
      </c>
      <c r="G602" s="323">
        <f t="shared" si="144"/>
        <v>0</v>
      </c>
      <c r="H602" s="323">
        <f t="shared" si="144"/>
        <v>0</v>
      </c>
      <c r="I602" s="323">
        <f t="shared" si="144"/>
        <v>0</v>
      </c>
      <c r="J602" s="323">
        <f t="shared" si="144"/>
        <v>0</v>
      </c>
      <c r="K602" s="147"/>
      <c r="L602" s="2"/>
      <c r="M602" s="2"/>
      <c r="N602" s="3"/>
    </row>
    <row r="603" ht="13.5" customHeight="1">
      <c r="A603" s="68"/>
      <c r="B603" s="324" t="s">
        <v>148</v>
      </c>
      <c r="C603" s="325"/>
      <c r="D603" s="108"/>
      <c r="E603" s="326">
        <f t="shared" ref="E603:J603" si="145">E15+E33+E51+E69+E87+E105+E123+E141+E159+E177+E195+E213+E231+E249+E267+E285+E303+E321+E339+E357+E375+E393+E411+E429+E447+E463+E476+E489+E502+E515+E528+E541+E554+E567+E580</f>
        <v>0</v>
      </c>
      <c r="F603" s="326">
        <f t="shared" si="145"/>
        <v>0</v>
      </c>
      <c r="G603" s="326">
        <f t="shared" si="145"/>
        <v>0</v>
      </c>
      <c r="H603" s="326">
        <f t="shared" si="145"/>
        <v>0</v>
      </c>
      <c r="I603" s="326">
        <f t="shared" si="145"/>
        <v>0</v>
      </c>
      <c r="J603" s="326">
        <f t="shared" si="145"/>
        <v>0</v>
      </c>
      <c r="K603" s="38"/>
      <c r="N603" s="5"/>
    </row>
    <row r="604" ht="13.5" customHeight="1">
      <c r="A604" s="68"/>
      <c r="B604" s="324" t="s">
        <v>149</v>
      </c>
      <c r="C604" s="325"/>
      <c r="D604" s="108"/>
      <c r="E604" s="327">
        <f t="shared" ref="E604:J604" si="146">E16+E34+E52+E70+E88+E106+E124+E142+E160+E178+E196+E214+E232+E250+E268+E286+E304+E322+E340+E358+E376+E394+E412+E430+E448+E464+E477+E490+E503+E516+E529+E542+E555+E568+E581</f>
        <v>0</v>
      </c>
      <c r="F604" s="327">
        <f t="shared" si="146"/>
        <v>0</v>
      </c>
      <c r="G604" s="327">
        <f t="shared" si="146"/>
        <v>0</v>
      </c>
      <c r="H604" s="327">
        <f t="shared" si="146"/>
        <v>0</v>
      </c>
      <c r="I604" s="327">
        <f t="shared" si="146"/>
        <v>0</v>
      </c>
      <c r="J604" s="327">
        <f t="shared" si="146"/>
        <v>0</v>
      </c>
      <c r="K604" s="38"/>
      <c r="N604" s="5"/>
    </row>
    <row r="605" ht="13.5" customHeight="1">
      <c r="A605" s="68"/>
      <c r="B605" s="324" t="s">
        <v>150</v>
      </c>
      <c r="C605" s="325"/>
      <c r="D605" s="108"/>
      <c r="E605" s="328">
        <f t="shared" ref="E605:J605" si="147">E14+E32+E50+E68+E86+E104+E122+E140+E158+E176+E194+E212+E230+E248+E266+E284+E302+E320+E338+E356+E374+E392+E410+E428+E446+E462+E475+E488+E501+E514+E527+E540+E553+E566+E579</f>
        <v>0</v>
      </c>
      <c r="F605" s="328">
        <f t="shared" si="147"/>
        <v>0</v>
      </c>
      <c r="G605" s="328">
        <f t="shared" si="147"/>
        <v>0</v>
      </c>
      <c r="H605" s="328">
        <f t="shared" si="147"/>
        <v>0</v>
      </c>
      <c r="I605" s="328">
        <f t="shared" si="147"/>
        <v>0</v>
      </c>
      <c r="J605" s="328">
        <f t="shared" si="147"/>
        <v>0</v>
      </c>
      <c r="K605" s="38"/>
      <c r="N605" s="5"/>
    </row>
    <row r="606" ht="13.5" customHeight="1">
      <c r="A606" s="80"/>
      <c r="B606" s="324" t="s">
        <v>151</v>
      </c>
      <c r="C606" s="325"/>
      <c r="D606" s="108"/>
      <c r="E606" s="329">
        <f t="shared" ref="E606:J606" si="148">(E603+E604)</f>
        <v>0</v>
      </c>
      <c r="F606" s="329">
        <f t="shared" si="148"/>
        <v>0</v>
      </c>
      <c r="G606" s="329">
        <f t="shared" si="148"/>
        <v>0</v>
      </c>
      <c r="H606" s="329">
        <f t="shared" si="148"/>
        <v>0</v>
      </c>
      <c r="I606" s="329">
        <f t="shared" si="148"/>
        <v>0</v>
      </c>
      <c r="J606" s="329">
        <f t="shared" si="148"/>
        <v>0</v>
      </c>
      <c r="K606" s="126"/>
      <c r="L606" s="24"/>
      <c r="M606" s="24"/>
      <c r="N606" s="25"/>
    </row>
    <row r="607" ht="13.5" customHeight="1">
      <c r="A607" s="315"/>
      <c r="B607" s="316"/>
      <c r="C607" s="316"/>
      <c r="D607" s="316"/>
      <c r="E607" s="317" t="s">
        <v>7</v>
      </c>
      <c r="F607" s="318" t="s">
        <v>145</v>
      </c>
      <c r="G607" s="318" t="s">
        <v>9</v>
      </c>
      <c r="H607" s="318" t="s">
        <v>10</v>
      </c>
      <c r="I607" s="318" t="s">
        <v>11</v>
      </c>
      <c r="J607" s="319" t="s">
        <v>146</v>
      </c>
      <c r="K607" s="315"/>
      <c r="L607" s="315"/>
      <c r="M607" s="315"/>
      <c r="N607" s="315"/>
    </row>
    <row r="608" ht="13.5" customHeight="1">
      <c r="A608" s="320">
        <v>2.0</v>
      </c>
      <c r="B608" s="321" t="s">
        <v>147</v>
      </c>
      <c r="C608" s="322"/>
      <c r="D608" s="224"/>
      <c r="E608" s="323">
        <f t="shared" ref="E608:J608" si="149">E17+E35+E53+E71+E89+E107+E125+E143+E161+E179+E197+E215+E233+E251+E269+E287+E305+E323+E341+E359+E377+E395+E413+E431+E449</f>
        <v>0</v>
      </c>
      <c r="F608" s="323">
        <f t="shared" si="149"/>
        <v>0</v>
      </c>
      <c r="G608" s="323">
        <f t="shared" si="149"/>
        <v>0</v>
      </c>
      <c r="H608" s="323">
        <f t="shared" si="149"/>
        <v>0</v>
      </c>
      <c r="I608" s="323">
        <f t="shared" si="149"/>
        <v>0</v>
      </c>
      <c r="J608" s="323">
        <f t="shared" si="149"/>
        <v>0</v>
      </c>
      <c r="K608" s="147"/>
      <c r="L608" s="2"/>
      <c r="M608" s="2"/>
      <c r="N608" s="3"/>
    </row>
    <row r="609" ht="13.5" customHeight="1">
      <c r="A609" s="68"/>
      <c r="B609" s="324" t="s">
        <v>148</v>
      </c>
      <c r="C609" s="325"/>
      <c r="D609" s="108"/>
      <c r="E609" s="326">
        <f t="shared" ref="E609:J609" si="150">E19+E37+E55+E73+E91+E109+E127+E145+E163+E181+E199+E217+E235+E253+E271+E289+E307+E325+E343+E361+E379+E397+E415+E433+E451+E466+E479+E492+E505+E518+E531+E544+E557+E570+E583</f>
        <v>0</v>
      </c>
      <c r="F609" s="326">
        <f t="shared" si="150"/>
        <v>0</v>
      </c>
      <c r="G609" s="326">
        <f t="shared" si="150"/>
        <v>0</v>
      </c>
      <c r="H609" s="326">
        <f t="shared" si="150"/>
        <v>0</v>
      </c>
      <c r="I609" s="326">
        <f t="shared" si="150"/>
        <v>0</v>
      </c>
      <c r="J609" s="326">
        <f t="shared" si="150"/>
        <v>0</v>
      </c>
      <c r="K609" s="38"/>
      <c r="N609" s="5"/>
    </row>
    <row r="610" ht="13.5" customHeight="1">
      <c r="A610" s="68"/>
      <c r="B610" s="324" t="s">
        <v>149</v>
      </c>
      <c r="C610" s="325"/>
      <c r="D610" s="108"/>
      <c r="E610" s="327">
        <f t="shared" ref="E610:J610" si="151">E20+E38+E56+E74+E92+E110+E128+E146+E164+E182+E200+E218+E236+E254+E272+E290+E308+E326+E344+E362+E380+E398+E416+E434+E452+E467+E480+E493+E506+E519+E532+E545+E558+E571+E584</f>
        <v>0</v>
      </c>
      <c r="F610" s="327">
        <f t="shared" si="151"/>
        <v>0</v>
      </c>
      <c r="G610" s="327">
        <f t="shared" si="151"/>
        <v>0</v>
      </c>
      <c r="H610" s="327">
        <f t="shared" si="151"/>
        <v>0</v>
      </c>
      <c r="I610" s="327">
        <f t="shared" si="151"/>
        <v>0</v>
      </c>
      <c r="J610" s="327">
        <f t="shared" si="151"/>
        <v>0</v>
      </c>
      <c r="K610" s="38"/>
      <c r="N610" s="5"/>
    </row>
    <row r="611" ht="13.5" customHeight="1">
      <c r="A611" s="68"/>
      <c r="B611" s="324" t="s">
        <v>150</v>
      </c>
      <c r="C611" s="325"/>
      <c r="D611" s="108"/>
      <c r="E611" s="328">
        <f t="shared" ref="E611:J611" si="152">E18+E36+E54+E72+E90+E108+E126+E144+E162+E180+E198+E216+E234+E252+E270+E288+E306+E324+E342+E360+E378+E396+E414+E432+E450+E465+E478+E491+E504+E517+E530+E543+E556+E569+E582</f>
        <v>0</v>
      </c>
      <c r="F611" s="328">
        <f t="shared" si="152"/>
        <v>0</v>
      </c>
      <c r="G611" s="328">
        <f t="shared" si="152"/>
        <v>0</v>
      </c>
      <c r="H611" s="328">
        <f t="shared" si="152"/>
        <v>0</v>
      </c>
      <c r="I611" s="328">
        <f t="shared" si="152"/>
        <v>0</v>
      </c>
      <c r="J611" s="328">
        <f t="shared" si="152"/>
        <v>0</v>
      </c>
      <c r="K611" s="38"/>
      <c r="N611" s="5"/>
    </row>
    <row r="612" ht="13.5" customHeight="1">
      <c r="A612" s="80"/>
      <c r="B612" s="324" t="s">
        <v>151</v>
      </c>
      <c r="C612" s="325"/>
      <c r="D612" s="108"/>
      <c r="E612" s="329">
        <f t="shared" ref="E612:J612" si="153">(E609+E610)</f>
        <v>0</v>
      </c>
      <c r="F612" s="329">
        <f t="shared" si="153"/>
        <v>0</v>
      </c>
      <c r="G612" s="329">
        <f t="shared" si="153"/>
        <v>0</v>
      </c>
      <c r="H612" s="329">
        <f t="shared" si="153"/>
        <v>0</v>
      </c>
      <c r="I612" s="329">
        <f t="shared" si="153"/>
        <v>0</v>
      </c>
      <c r="J612" s="329">
        <f t="shared" si="153"/>
        <v>0</v>
      </c>
      <c r="K612" s="126"/>
      <c r="L612" s="24"/>
      <c r="M612" s="24"/>
      <c r="N612" s="25"/>
    </row>
    <row r="613" ht="13.5" customHeight="1">
      <c r="A613" s="315"/>
      <c r="B613" s="316"/>
      <c r="C613" s="316"/>
      <c r="D613" s="316"/>
      <c r="E613" s="317" t="s">
        <v>7</v>
      </c>
      <c r="F613" s="318" t="s">
        <v>145</v>
      </c>
      <c r="G613" s="318" t="s">
        <v>9</v>
      </c>
      <c r="H613" s="318" t="s">
        <v>10</v>
      </c>
      <c r="I613" s="318" t="s">
        <v>11</v>
      </c>
      <c r="J613" s="319" t="s">
        <v>146</v>
      </c>
      <c r="K613" s="315"/>
      <c r="L613" s="315"/>
      <c r="M613" s="315"/>
      <c r="N613" s="315"/>
    </row>
    <row r="614" ht="13.5" customHeight="1">
      <c r="A614" s="320">
        <v>3.0</v>
      </c>
      <c r="B614" s="321" t="s">
        <v>147</v>
      </c>
      <c r="C614" s="322"/>
      <c r="D614" s="224"/>
      <c r="E614" s="323">
        <f t="shared" ref="E614:J614" si="154">E21+E39+E57+E75+E93+E111+E129+E147+E165+E183+E201+E219+E237+E255+E273+E291+E309+E327+E345+E363+E381+E399+E417+E435+E453</f>
        <v>0</v>
      </c>
      <c r="F614" s="323">
        <f t="shared" si="154"/>
        <v>0</v>
      </c>
      <c r="G614" s="323">
        <f t="shared" si="154"/>
        <v>0</v>
      </c>
      <c r="H614" s="323">
        <f t="shared" si="154"/>
        <v>0</v>
      </c>
      <c r="I614" s="323">
        <f t="shared" si="154"/>
        <v>0</v>
      </c>
      <c r="J614" s="323">
        <f t="shared" si="154"/>
        <v>0</v>
      </c>
      <c r="K614" s="147"/>
      <c r="L614" s="2"/>
      <c r="M614" s="2"/>
      <c r="N614" s="3"/>
    </row>
    <row r="615" ht="13.5" customHeight="1">
      <c r="A615" s="68"/>
      <c r="B615" s="324" t="s">
        <v>148</v>
      </c>
      <c r="C615" s="325"/>
      <c r="D615" s="108"/>
      <c r="E615" s="330">
        <f t="shared" ref="E615:J615" si="155">E23+E41+E59+E77+E95+E113+E131+E149+E167+E185+E203+E221+E239+E257+E275+E293+E311+E329+E347+E365+E383+E401+E419+E437+E455+E469+E482+E495+E508+E521+E534+E547+E573+E586</f>
        <v>0</v>
      </c>
      <c r="F615" s="330">
        <f t="shared" si="155"/>
        <v>0</v>
      </c>
      <c r="G615" s="330">
        <f t="shared" si="155"/>
        <v>0</v>
      </c>
      <c r="H615" s="330">
        <f t="shared" si="155"/>
        <v>0</v>
      </c>
      <c r="I615" s="330">
        <f t="shared" si="155"/>
        <v>0</v>
      </c>
      <c r="J615" s="330">
        <f t="shared" si="155"/>
        <v>0</v>
      </c>
      <c r="K615" s="38"/>
      <c r="N615" s="5"/>
    </row>
    <row r="616" ht="13.5" customHeight="1">
      <c r="A616" s="68"/>
      <c r="B616" s="324" t="s">
        <v>149</v>
      </c>
      <c r="C616" s="325"/>
      <c r="D616" s="108"/>
      <c r="E616" s="331">
        <f t="shared" ref="E616:J616" si="156">E24+E42+E60+E78+E96+E114+E132+E150+E168+E186+E204+E222+E240+E258+E276+E294+E312+E330+E348+E366+E384+E402+E420+E438+E456+E470+E483+E496+E509+E522+E535+E548+E561+E574+E587</f>
        <v>0</v>
      </c>
      <c r="F616" s="331">
        <f t="shared" si="156"/>
        <v>0</v>
      </c>
      <c r="G616" s="331">
        <f t="shared" si="156"/>
        <v>0</v>
      </c>
      <c r="H616" s="331">
        <f t="shared" si="156"/>
        <v>0</v>
      </c>
      <c r="I616" s="331">
        <f t="shared" si="156"/>
        <v>0</v>
      </c>
      <c r="J616" s="331">
        <f t="shared" si="156"/>
        <v>0</v>
      </c>
      <c r="K616" s="38"/>
      <c r="N616" s="5"/>
    </row>
    <row r="617" ht="13.5" customHeight="1">
      <c r="A617" s="68"/>
      <c r="B617" s="324" t="s">
        <v>150</v>
      </c>
      <c r="C617" s="325"/>
      <c r="D617" s="108"/>
      <c r="E617" s="332">
        <f t="shared" ref="E617:J617" si="157">E22+E40+E58+E76+E94+E112+E130+E148+E166+E184+E202+E220+E238+E256+E274+E292+E310+E328+E346+E364+E382+E400+E418+E436+E454+E468+E481+E494+E507+E520+E533+E546+E559+E572+E585</f>
        <v>0</v>
      </c>
      <c r="F617" s="332">
        <f t="shared" si="157"/>
        <v>0</v>
      </c>
      <c r="G617" s="332">
        <f t="shared" si="157"/>
        <v>0</v>
      </c>
      <c r="H617" s="332">
        <f t="shared" si="157"/>
        <v>0</v>
      </c>
      <c r="I617" s="332">
        <f t="shared" si="157"/>
        <v>0</v>
      </c>
      <c r="J617" s="332">
        <f t="shared" si="157"/>
        <v>0</v>
      </c>
      <c r="K617" s="38"/>
      <c r="N617" s="5"/>
    </row>
    <row r="618" ht="13.5" customHeight="1">
      <c r="A618" s="80"/>
      <c r="B618" s="324" t="s">
        <v>151</v>
      </c>
      <c r="C618" s="325"/>
      <c r="D618" s="108"/>
      <c r="E618" s="333">
        <f t="shared" ref="E618:J618" si="158">(E615+E616)</f>
        <v>0</v>
      </c>
      <c r="F618" s="333">
        <f t="shared" si="158"/>
        <v>0</v>
      </c>
      <c r="G618" s="333">
        <f t="shared" si="158"/>
        <v>0</v>
      </c>
      <c r="H618" s="333">
        <f t="shared" si="158"/>
        <v>0</v>
      </c>
      <c r="I618" s="333">
        <f t="shared" si="158"/>
        <v>0</v>
      </c>
      <c r="J618" s="333">
        <f t="shared" si="158"/>
        <v>0</v>
      </c>
      <c r="K618" s="126"/>
      <c r="L618" s="24"/>
      <c r="M618" s="24"/>
      <c r="N618" s="25"/>
    </row>
    <row r="619" ht="13.5" customHeight="1">
      <c r="A619" s="315"/>
      <c r="B619" s="316"/>
      <c r="C619" s="316"/>
      <c r="D619" s="316"/>
      <c r="E619" s="317" t="s">
        <v>7</v>
      </c>
      <c r="F619" s="318" t="s">
        <v>145</v>
      </c>
      <c r="G619" s="318" t="s">
        <v>9</v>
      </c>
      <c r="H619" s="318" t="s">
        <v>10</v>
      </c>
      <c r="I619" s="318" t="s">
        <v>11</v>
      </c>
      <c r="J619" s="319" t="s">
        <v>146</v>
      </c>
      <c r="K619" s="315"/>
      <c r="L619" s="315"/>
      <c r="M619" s="315"/>
      <c r="N619" s="315"/>
    </row>
    <row r="620" ht="13.5" customHeight="1">
      <c r="A620" s="320">
        <v>4.0</v>
      </c>
      <c r="B620" s="321" t="s">
        <v>147</v>
      </c>
      <c r="C620" s="322"/>
      <c r="D620" s="224"/>
      <c r="E620" s="323">
        <f t="shared" ref="E620:J620" si="159">E25+E43+E61+E79+E97+E115+E133+E151+E169+E187+E205+E223+E241+E259+E277+E295+E313+E331+E349+E367+E385+E403+E421+E439+E457</f>
        <v>0</v>
      </c>
      <c r="F620" s="323">
        <f t="shared" si="159"/>
        <v>0</v>
      </c>
      <c r="G620" s="323">
        <f t="shared" si="159"/>
        <v>0</v>
      </c>
      <c r="H620" s="323">
        <f t="shared" si="159"/>
        <v>0</v>
      </c>
      <c r="I620" s="323">
        <f t="shared" si="159"/>
        <v>0</v>
      </c>
      <c r="J620" s="323">
        <f t="shared" si="159"/>
        <v>0</v>
      </c>
      <c r="K620" s="147"/>
      <c r="L620" s="2"/>
      <c r="M620" s="2"/>
      <c r="N620" s="3"/>
    </row>
    <row r="621" ht="13.5" customHeight="1">
      <c r="A621" s="68"/>
      <c r="B621" s="324" t="s">
        <v>148</v>
      </c>
      <c r="C621" s="325"/>
      <c r="D621" s="108"/>
      <c r="E621" s="326">
        <f t="shared" ref="E621:J621" si="160">E27+E45+E63+E81+E99+E117+E135+E153+E171+E189+E207+E225+E243+E261+E279+E297+E315+E333+E351+E369+E387+E405+E423+E441+E459+E472+E485+E498+E511+E524+E537+E550+E563+E576+E589</f>
        <v>0</v>
      </c>
      <c r="F621" s="326">
        <f t="shared" si="160"/>
        <v>0</v>
      </c>
      <c r="G621" s="326">
        <f t="shared" si="160"/>
        <v>0</v>
      </c>
      <c r="H621" s="326">
        <f t="shared" si="160"/>
        <v>0</v>
      </c>
      <c r="I621" s="326">
        <f t="shared" si="160"/>
        <v>0</v>
      </c>
      <c r="J621" s="326">
        <f t="shared" si="160"/>
        <v>0</v>
      </c>
      <c r="K621" s="38"/>
      <c r="N621" s="5"/>
    </row>
    <row r="622" ht="13.5" customHeight="1">
      <c r="A622" s="68"/>
      <c r="B622" s="324" t="s">
        <v>149</v>
      </c>
      <c r="C622" s="325"/>
      <c r="D622" s="108"/>
      <c r="E622" s="327">
        <f t="shared" ref="E622:J622" si="161">E28+E46+E64+E82+E100+E118+E136+E154+E172+E190+E208+E226+E244+E262+E280+E298+E316+E334+E352+E370+E388+E406+E424+E442+E460+E473+E486+E499+E512+E525+E538+E551+E564+E577+E590</f>
        <v>0</v>
      </c>
      <c r="F622" s="327">
        <f t="shared" si="161"/>
        <v>0</v>
      </c>
      <c r="G622" s="327">
        <f t="shared" si="161"/>
        <v>0</v>
      </c>
      <c r="H622" s="327">
        <f t="shared" si="161"/>
        <v>0</v>
      </c>
      <c r="I622" s="327">
        <f t="shared" si="161"/>
        <v>0</v>
      </c>
      <c r="J622" s="327">
        <f t="shared" si="161"/>
        <v>0</v>
      </c>
      <c r="K622" s="38"/>
      <c r="N622" s="5"/>
    </row>
    <row r="623" ht="13.5" customHeight="1">
      <c r="A623" s="68"/>
      <c r="B623" s="324" t="s">
        <v>150</v>
      </c>
      <c r="C623" s="325"/>
      <c r="D623" s="108"/>
      <c r="E623" s="328">
        <f t="shared" ref="E623:J623" si="162">E26+E44+E62+E80+E98+E116+E134+E152+E170+E188+E206+E224+E242+E260+E278+E296+E314+E332+E350+E368+E386+E404+E422+E440+E458+E471+E484+E497+E510+E523+E536+E549+E562+E575+E588</f>
        <v>0</v>
      </c>
      <c r="F623" s="328">
        <f t="shared" si="162"/>
        <v>0</v>
      </c>
      <c r="G623" s="328">
        <f t="shared" si="162"/>
        <v>0</v>
      </c>
      <c r="H623" s="328">
        <f t="shared" si="162"/>
        <v>0</v>
      </c>
      <c r="I623" s="328">
        <f t="shared" si="162"/>
        <v>0</v>
      </c>
      <c r="J623" s="328">
        <f t="shared" si="162"/>
        <v>0</v>
      </c>
      <c r="K623" s="38"/>
      <c r="N623" s="5"/>
    </row>
    <row r="624" ht="13.5" customHeight="1">
      <c r="A624" s="80"/>
      <c r="B624" s="324" t="s">
        <v>151</v>
      </c>
      <c r="C624" s="325"/>
      <c r="D624" s="108"/>
      <c r="E624" s="329">
        <f t="shared" ref="E624:J624" si="163">(E621+E622)</f>
        <v>0</v>
      </c>
      <c r="F624" s="329">
        <f t="shared" si="163"/>
        <v>0</v>
      </c>
      <c r="G624" s="329">
        <f t="shared" si="163"/>
        <v>0</v>
      </c>
      <c r="H624" s="329">
        <f t="shared" si="163"/>
        <v>0</v>
      </c>
      <c r="I624" s="329">
        <f t="shared" si="163"/>
        <v>0</v>
      </c>
      <c r="J624" s="329">
        <f t="shared" si="163"/>
        <v>0</v>
      </c>
      <c r="K624" s="126"/>
      <c r="L624" s="24"/>
      <c r="M624" s="24"/>
      <c r="N624" s="25"/>
    </row>
    <row r="625" ht="13.5" customHeight="1">
      <c r="A625" s="105" t="s">
        <v>152</v>
      </c>
      <c r="B625" s="96"/>
      <c r="C625" s="96"/>
      <c r="D625" s="96"/>
      <c r="E625" s="96"/>
      <c r="F625" s="96"/>
      <c r="G625" s="96"/>
      <c r="H625" s="96"/>
      <c r="I625" s="96"/>
      <c r="J625" s="96"/>
      <c r="K625" s="96"/>
      <c r="L625" s="96"/>
      <c r="M625" s="96"/>
      <c r="N625" s="10"/>
    </row>
    <row r="626" ht="13.5" customHeight="1">
      <c r="A626" s="315"/>
      <c r="B626" s="316"/>
      <c r="C626" s="316"/>
      <c r="D626" s="316"/>
      <c r="E626" s="317" t="s">
        <v>7</v>
      </c>
      <c r="F626" s="318" t="s">
        <v>145</v>
      </c>
      <c r="G626" s="318" t="s">
        <v>9</v>
      </c>
      <c r="H626" s="318" t="s">
        <v>10</v>
      </c>
      <c r="I626" s="318" t="s">
        <v>11</v>
      </c>
      <c r="J626" s="319" t="s">
        <v>146</v>
      </c>
      <c r="K626" s="334"/>
      <c r="L626" s="334"/>
      <c r="M626" s="334"/>
      <c r="N626" s="334"/>
    </row>
    <row r="627" ht="13.5" customHeight="1">
      <c r="A627" s="335" t="s">
        <v>2</v>
      </c>
      <c r="B627" s="321" t="s">
        <v>147</v>
      </c>
      <c r="C627" s="322"/>
      <c r="D627" s="224"/>
      <c r="E627" s="323">
        <f t="shared" ref="E627:J627" si="164">E602+E608+E614+E620</f>
        <v>0</v>
      </c>
      <c r="F627" s="323">
        <f t="shared" si="164"/>
        <v>0</v>
      </c>
      <c r="G627" s="323">
        <f t="shared" si="164"/>
        <v>0</v>
      </c>
      <c r="H627" s="323">
        <f t="shared" si="164"/>
        <v>0</v>
      </c>
      <c r="I627" s="323">
        <f t="shared" si="164"/>
        <v>0</v>
      </c>
      <c r="J627" s="336">
        <f t="shared" si="164"/>
        <v>0</v>
      </c>
      <c r="K627" s="147"/>
      <c r="L627" s="2"/>
      <c r="M627" s="2"/>
      <c r="N627" s="3"/>
    </row>
    <row r="628" ht="13.5" customHeight="1">
      <c r="A628" s="68"/>
      <c r="B628" s="324" t="s">
        <v>148</v>
      </c>
      <c r="C628" s="325"/>
      <c r="D628" s="108"/>
      <c r="E628" s="326">
        <f t="shared" ref="E628:J628" si="165">E603+E609+E615+E621</f>
        <v>0</v>
      </c>
      <c r="F628" s="326">
        <f t="shared" si="165"/>
        <v>0</v>
      </c>
      <c r="G628" s="326">
        <f t="shared" si="165"/>
        <v>0</v>
      </c>
      <c r="H628" s="326">
        <f t="shared" si="165"/>
        <v>0</v>
      </c>
      <c r="I628" s="326">
        <f t="shared" si="165"/>
        <v>0</v>
      </c>
      <c r="J628" s="337">
        <f t="shared" si="165"/>
        <v>0</v>
      </c>
      <c r="K628" s="38"/>
      <c r="N628" s="5"/>
    </row>
    <row r="629" ht="13.5" customHeight="1">
      <c r="A629" s="68"/>
      <c r="B629" s="324" t="s">
        <v>149</v>
      </c>
      <c r="C629" s="325"/>
      <c r="D629" s="108"/>
      <c r="E629" s="327">
        <f t="shared" ref="E629:J629" si="166">E604+E610+E616+E622</f>
        <v>0</v>
      </c>
      <c r="F629" s="327">
        <f t="shared" si="166"/>
        <v>0</v>
      </c>
      <c r="G629" s="327">
        <f t="shared" si="166"/>
        <v>0</v>
      </c>
      <c r="H629" s="327">
        <f t="shared" si="166"/>
        <v>0</v>
      </c>
      <c r="I629" s="327">
        <f t="shared" si="166"/>
        <v>0</v>
      </c>
      <c r="J629" s="338">
        <f t="shared" si="166"/>
        <v>0</v>
      </c>
      <c r="K629" s="38"/>
      <c r="N629" s="5"/>
    </row>
    <row r="630" ht="13.5" customHeight="1">
      <c r="A630" s="68"/>
      <c r="B630" s="324" t="s">
        <v>153</v>
      </c>
      <c r="C630" s="325"/>
      <c r="D630" s="108"/>
      <c r="E630" s="328">
        <f t="shared" ref="E630:J630" si="167">E605+E611+E617+E623</f>
        <v>0</v>
      </c>
      <c r="F630" s="328">
        <f t="shared" si="167"/>
        <v>0</v>
      </c>
      <c r="G630" s="328">
        <f t="shared" si="167"/>
        <v>0</v>
      </c>
      <c r="H630" s="328">
        <f t="shared" si="167"/>
        <v>0</v>
      </c>
      <c r="I630" s="328">
        <f t="shared" si="167"/>
        <v>0</v>
      </c>
      <c r="J630" s="339">
        <f t="shared" si="167"/>
        <v>0</v>
      </c>
      <c r="K630" s="38"/>
      <c r="N630" s="5"/>
    </row>
    <row r="631" ht="13.5" customHeight="1">
      <c r="A631" s="80"/>
      <c r="B631" s="340" t="s">
        <v>151</v>
      </c>
      <c r="C631" s="24"/>
      <c r="D631" s="33"/>
      <c r="E631" s="329">
        <f t="shared" ref="E631:J631" si="168">(E628+E629)-E630</f>
        <v>0</v>
      </c>
      <c r="F631" s="329">
        <f t="shared" si="168"/>
        <v>0</v>
      </c>
      <c r="G631" s="329">
        <f t="shared" si="168"/>
        <v>0</v>
      </c>
      <c r="H631" s="329">
        <f t="shared" si="168"/>
        <v>0</v>
      </c>
      <c r="I631" s="329">
        <f t="shared" si="168"/>
        <v>0</v>
      </c>
      <c r="J631" s="341">
        <f t="shared" si="168"/>
        <v>0</v>
      </c>
      <c r="K631" s="126"/>
      <c r="L631" s="24"/>
      <c r="M631" s="24"/>
      <c r="N631" s="25"/>
    </row>
  </sheetData>
  <mergeCells count="1160">
    <mergeCell ref="B327:B328"/>
    <mergeCell ref="B331:B332"/>
    <mergeCell ref="C331:D331"/>
    <mergeCell ref="A332:A334"/>
    <mergeCell ref="C332:D332"/>
    <mergeCell ref="C333:D333"/>
    <mergeCell ref="C334:D334"/>
    <mergeCell ref="B335:D335"/>
    <mergeCell ref="C336:D336"/>
    <mergeCell ref="C337:D337"/>
    <mergeCell ref="C338:D338"/>
    <mergeCell ref="A339:A340"/>
    <mergeCell ref="C339:D339"/>
    <mergeCell ref="C340:D340"/>
    <mergeCell ref="C398:D398"/>
    <mergeCell ref="C399:D399"/>
    <mergeCell ref="B391:B392"/>
    <mergeCell ref="B395:B396"/>
    <mergeCell ref="C395:D395"/>
    <mergeCell ref="C396:D396"/>
    <mergeCell ref="C397:D397"/>
    <mergeCell ref="B399:B400"/>
    <mergeCell ref="C400:D400"/>
    <mergeCell ref="C404:D404"/>
    <mergeCell ref="C405:D405"/>
    <mergeCell ref="A396:A397"/>
    <mergeCell ref="A401:A402"/>
    <mergeCell ref="C401:D401"/>
    <mergeCell ref="C402:D402"/>
    <mergeCell ref="B403:B404"/>
    <mergeCell ref="C403:D403"/>
    <mergeCell ref="A404:A406"/>
    <mergeCell ref="C411:D411"/>
    <mergeCell ref="C412:D412"/>
    <mergeCell ref="C406:D406"/>
    <mergeCell ref="B407:D407"/>
    <mergeCell ref="C408:D408"/>
    <mergeCell ref="B409:B410"/>
    <mergeCell ref="C409:D409"/>
    <mergeCell ref="C410:D410"/>
    <mergeCell ref="A411:A412"/>
    <mergeCell ref="C417:D417"/>
    <mergeCell ref="C418:D418"/>
    <mergeCell ref="B413:B414"/>
    <mergeCell ref="C413:D413"/>
    <mergeCell ref="A414:A415"/>
    <mergeCell ref="C414:D414"/>
    <mergeCell ref="C415:D415"/>
    <mergeCell ref="C416:D416"/>
    <mergeCell ref="B417:B418"/>
    <mergeCell ref="C423:D423"/>
    <mergeCell ref="C424:D424"/>
    <mergeCell ref="A419:A420"/>
    <mergeCell ref="C419:D419"/>
    <mergeCell ref="C420:D420"/>
    <mergeCell ref="B421:B422"/>
    <mergeCell ref="C421:D421"/>
    <mergeCell ref="A422:A424"/>
    <mergeCell ref="C422:D422"/>
    <mergeCell ref="B427:B428"/>
    <mergeCell ref="B431:B432"/>
    <mergeCell ref="B425:D425"/>
    <mergeCell ref="C426:D426"/>
    <mergeCell ref="C427:D427"/>
    <mergeCell ref="C428:D428"/>
    <mergeCell ref="C429:D429"/>
    <mergeCell ref="C430:D430"/>
    <mergeCell ref="C431:D431"/>
    <mergeCell ref="B381:B382"/>
    <mergeCell ref="B385:B386"/>
    <mergeCell ref="C385:D385"/>
    <mergeCell ref="A386:A388"/>
    <mergeCell ref="C386:D386"/>
    <mergeCell ref="C387:D387"/>
    <mergeCell ref="C388:D388"/>
    <mergeCell ref="B389:D389"/>
    <mergeCell ref="C390:D390"/>
    <mergeCell ref="C391:D391"/>
    <mergeCell ref="C392:D392"/>
    <mergeCell ref="A393:A394"/>
    <mergeCell ref="C393:D393"/>
    <mergeCell ref="C394:D394"/>
    <mergeCell ref="A432:A433"/>
    <mergeCell ref="A437:A438"/>
    <mergeCell ref="A429:A430"/>
    <mergeCell ref="C432:D432"/>
    <mergeCell ref="C433:D433"/>
    <mergeCell ref="C434:D434"/>
    <mergeCell ref="B435:B436"/>
    <mergeCell ref="C435:D435"/>
    <mergeCell ref="C436:D436"/>
    <mergeCell ref="C195:D195"/>
    <mergeCell ref="C196:D196"/>
    <mergeCell ref="C190:D190"/>
    <mergeCell ref="B191:D191"/>
    <mergeCell ref="C192:D192"/>
    <mergeCell ref="B193:B194"/>
    <mergeCell ref="C193:D193"/>
    <mergeCell ref="C194:D194"/>
    <mergeCell ref="A195:A196"/>
    <mergeCell ref="C201:D201"/>
    <mergeCell ref="C202:D202"/>
    <mergeCell ref="B197:B198"/>
    <mergeCell ref="C197:D197"/>
    <mergeCell ref="A198:A199"/>
    <mergeCell ref="C198:D198"/>
    <mergeCell ref="C199:D199"/>
    <mergeCell ref="C200:D200"/>
    <mergeCell ref="B201:B202"/>
    <mergeCell ref="C207:D207"/>
    <mergeCell ref="C208:D208"/>
    <mergeCell ref="A203:A204"/>
    <mergeCell ref="C203:D203"/>
    <mergeCell ref="C204:D204"/>
    <mergeCell ref="B205:B206"/>
    <mergeCell ref="C205:D205"/>
    <mergeCell ref="A206:A208"/>
    <mergeCell ref="C206:D206"/>
    <mergeCell ref="C437:D437"/>
    <mergeCell ref="C438:D438"/>
    <mergeCell ref="B439:B440"/>
    <mergeCell ref="C439:D439"/>
    <mergeCell ref="A440:A442"/>
    <mergeCell ref="C440:D440"/>
    <mergeCell ref="C441:D441"/>
    <mergeCell ref="C459:D459"/>
    <mergeCell ref="C460:D460"/>
    <mergeCell ref="A455:A456"/>
    <mergeCell ref="C455:D455"/>
    <mergeCell ref="C456:D456"/>
    <mergeCell ref="C457:D457"/>
    <mergeCell ref="C458:D458"/>
    <mergeCell ref="B461:D461"/>
    <mergeCell ref="C462:D462"/>
    <mergeCell ref="C477:D477"/>
    <mergeCell ref="C478:D478"/>
    <mergeCell ref="C470:D470"/>
    <mergeCell ref="C471:D471"/>
    <mergeCell ref="C472:D472"/>
    <mergeCell ref="C473:D473"/>
    <mergeCell ref="B474:D474"/>
    <mergeCell ref="C475:D475"/>
    <mergeCell ref="C476:D476"/>
    <mergeCell ref="B481:B482"/>
    <mergeCell ref="B484:B485"/>
    <mergeCell ref="B488:B489"/>
    <mergeCell ref="B491:B492"/>
    <mergeCell ref="B494:B495"/>
    <mergeCell ref="B457:B458"/>
    <mergeCell ref="B462:B463"/>
    <mergeCell ref="B465:B466"/>
    <mergeCell ref="B468:B469"/>
    <mergeCell ref="B471:B472"/>
    <mergeCell ref="B475:B476"/>
    <mergeCell ref="B478:B479"/>
    <mergeCell ref="C486:D486"/>
    <mergeCell ref="B487:D487"/>
    <mergeCell ref="C488:D488"/>
    <mergeCell ref="C479:D479"/>
    <mergeCell ref="C480:D480"/>
    <mergeCell ref="C481:D481"/>
    <mergeCell ref="C482:D482"/>
    <mergeCell ref="C483:D483"/>
    <mergeCell ref="C484:D484"/>
    <mergeCell ref="C485:D485"/>
    <mergeCell ref="A557:A558"/>
    <mergeCell ref="A560:A561"/>
    <mergeCell ref="A550:A551"/>
    <mergeCell ref="B553:B554"/>
    <mergeCell ref="A554:A555"/>
    <mergeCell ref="B556:B557"/>
    <mergeCell ref="C558:D558"/>
    <mergeCell ref="B559:B560"/>
    <mergeCell ref="C559:D559"/>
    <mergeCell ref="C570:D570"/>
    <mergeCell ref="C571:D571"/>
    <mergeCell ref="A563:A564"/>
    <mergeCell ref="A567:A568"/>
    <mergeCell ref="C567:D567"/>
    <mergeCell ref="C568:D568"/>
    <mergeCell ref="B569:B570"/>
    <mergeCell ref="C569:D569"/>
    <mergeCell ref="A570:A571"/>
    <mergeCell ref="C575:D575"/>
    <mergeCell ref="C576:D576"/>
    <mergeCell ref="B572:B573"/>
    <mergeCell ref="C572:D572"/>
    <mergeCell ref="A573:A574"/>
    <mergeCell ref="C573:D573"/>
    <mergeCell ref="C574:D574"/>
    <mergeCell ref="B575:B576"/>
    <mergeCell ref="A576:A577"/>
    <mergeCell ref="C528:D528"/>
    <mergeCell ref="C529:D529"/>
    <mergeCell ref="A521:A522"/>
    <mergeCell ref="A524:A525"/>
    <mergeCell ref="C524:D524"/>
    <mergeCell ref="C525:D525"/>
    <mergeCell ref="B526:D526"/>
    <mergeCell ref="C527:D527"/>
    <mergeCell ref="A528:A529"/>
    <mergeCell ref="C533:D533"/>
    <mergeCell ref="C534:D534"/>
    <mergeCell ref="B530:B531"/>
    <mergeCell ref="C530:D530"/>
    <mergeCell ref="A531:A532"/>
    <mergeCell ref="C531:D531"/>
    <mergeCell ref="C532:D532"/>
    <mergeCell ref="A534:A535"/>
    <mergeCell ref="C535:D535"/>
    <mergeCell ref="C536:D536"/>
    <mergeCell ref="C537:D537"/>
    <mergeCell ref="C538:D538"/>
    <mergeCell ref="B539:D539"/>
    <mergeCell ref="B540:B541"/>
    <mergeCell ref="C540:D540"/>
    <mergeCell ref="C541:D541"/>
    <mergeCell ref="B533:B534"/>
    <mergeCell ref="B536:B537"/>
    <mergeCell ref="A537:A538"/>
    <mergeCell ref="A541:A542"/>
    <mergeCell ref="B543:B544"/>
    <mergeCell ref="A544:A545"/>
    <mergeCell ref="A547:A548"/>
    <mergeCell ref="C581:D581"/>
    <mergeCell ref="C582:D582"/>
    <mergeCell ref="B618:D618"/>
    <mergeCell ref="B620:D620"/>
    <mergeCell ref="B610:D610"/>
    <mergeCell ref="B611:D611"/>
    <mergeCell ref="B612:D612"/>
    <mergeCell ref="B614:D614"/>
    <mergeCell ref="B615:D615"/>
    <mergeCell ref="B616:D616"/>
    <mergeCell ref="B617:D617"/>
    <mergeCell ref="B630:D630"/>
    <mergeCell ref="B631:D631"/>
    <mergeCell ref="B621:D621"/>
    <mergeCell ref="B622:D622"/>
    <mergeCell ref="B623:D623"/>
    <mergeCell ref="B624:D624"/>
    <mergeCell ref="B627:D627"/>
    <mergeCell ref="B628:D628"/>
    <mergeCell ref="B629:D629"/>
    <mergeCell ref="B582:B583"/>
    <mergeCell ref="C583:D583"/>
    <mergeCell ref="C577:D577"/>
    <mergeCell ref="B578:D578"/>
    <mergeCell ref="B579:B580"/>
    <mergeCell ref="C579:D579"/>
    <mergeCell ref="A580:A581"/>
    <mergeCell ref="C580:D580"/>
    <mergeCell ref="C584:D584"/>
    <mergeCell ref="C585:D585"/>
    <mergeCell ref="C586:D586"/>
    <mergeCell ref="C587:D587"/>
    <mergeCell ref="C588:D588"/>
    <mergeCell ref="C589:D589"/>
    <mergeCell ref="C590:D590"/>
    <mergeCell ref="C592:D592"/>
    <mergeCell ref="A596:B597"/>
    <mergeCell ref="A598:B599"/>
    <mergeCell ref="A602:A606"/>
    <mergeCell ref="A608:A612"/>
    <mergeCell ref="A614:A618"/>
    <mergeCell ref="A620:A624"/>
    <mergeCell ref="A627:A631"/>
    <mergeCell ref="A583:A584"/>
    <mergeCell ref="B585:B586"/>
    <mergeCell ref="A586:A587"/>
    <mergeCell ref="B588:B589"/>
    <mergeCell ref="A589:A590"/>
    <mergeCell ref="A592:B593"/>
    <mergeCell ref="A594:B595"/>
    <mergeCell ref="C593:D593"/>
    <mergeCell ref="C594:D594"/>
    <mergeCell ref="C595:D595"/>
    <mergeCell ref="C596:D596"/>
    <mergeCell ref="C597:D597"/>
    <mergeCell ref="C598:D598"/>
    <mergeCell ref="C599:D599"/>
    <mergeCell ref="B602:D602"/>
    <mergeCell ref="B603:D603"/>
    <mergeCell ref="B604:D604"/>
    <mergeCell ref="B605:D605"/>
    <mergeCell ref="B606:D606"/>
    <mergeCell ref="B608:D608"/>
    <mergeCell ref="B609:D609"/>
    <mergeCell ref="C492:D492"/>
    <mergeCell ref="C493:D493"/>
    <mergeCell ref="C494:D494"/>
    <mergeCell ref="A482:A483"/>
    <mergeCell ref="A485:A486"/>
    <mergeCell ref="A489:A490"/>
    <mergeCell ref="C489:D489"/>
    <mergeCell ref="C490:D490"/>
    <mergeCell ref="C491:D491"/>
    <mergeCell ref="A492:A493"/>
    <mergeCell ref="C447:D447"/>
    <mergeCell ref="C448:D448"/>
    <mergeCell ref="C442:D442"/>
    <mergeCell ref="B443:D443"/>
    <mergeCell ref="C444:D444"/>
    <mergeCell ref="B445:B446"/>
    <mergeCell ref="C445:D445"/>
    <mergeCell ref="C446:D446"/>
    <mergeCell ref="A447:A448"/>
    <mergeCell ref="C453:D453"/>
    <mergeCell ref="C454:D454"/>
    <mergeCell ref="B449:B450"/>
    <mergeCell ref="C449:D449"/>
    <mergeCell ref="A450:A451"/>
    <mergeCell ref="C450:D450"/>
    <mergeCell ref="C451:D451"/>
    <mergeCell ref="C452:D452"/>
    <mergeCell ref="B453:B454"/>
    <mergeCell ref="C463:D463"/>
    <mergeCell ref="C464:D464"/>
    <mergeCell ref="C465:D465"/>
    <mergeCell ref="C466:D466"/>
    <mergeCell ref="C467:D467"/>
    <mergeCell ref="C468:D468"/>
    <mergeCell ref="C469:D469"/>
    <mergeCell ref="A458:A460"/>
    <mergeCell ref="A463:A464"/>
    <mergeCell ref="A466:A467"/>
    <mergeCell ref="A469:A470"/>
    <mergeCell ref="A472:A473"/>
    <mergeCell ref="A476:A477"/>
    <mergeCell ref="A479:A480"/>
    <mergeCell ref="A495:A496"/>
    <mergeCell ref="C495:D495"/>
    <mergeCell ref="C496:D496"/>
    <mergeCell ref="B497:B498"/>
    <mergeCell ref="C497:D497"/>
    <mergeCell ref="A498:A499"/>
    <mergeCell ref="C498:D498"/>
    <mergeCell ref="C522:D522"/>
    <mergeCell ref="C523:D523"/>
    <mergeCell ref="C515:D515"/>
    <mergeCell ref="C516:D516"/>
    <mergeCell ref="C517:D517"/>
    <mergeCell ref="C518:D518"/>
    <mergeCell ref="C519:D519"/>
    <mergeCell ref="C520:D520"/>
    <mergeCell ref="C521:D521"/>
    <mergeCell ref="C503:D503"/>
    <mergeCell ref="C504:D504"/>
    <mergeCell ref="B504:B505"/>
    <mergeCell ref="C505:D505"/>
    <mergeCell ref="C499:D499"/>
    <mergeCell ref="B500:D500"/>
    <mergeCell ref="B501:B502"/>
    <mergeCell ref="C501:D501"/>
    <mergeCell ref="A502:A503"/>
    <mergeCell ref="C502:D502"/>
    <mergeCell ref="C506:D506"/>
    <mergeCell ref="B513:D513"/>
    <mergeCell ref="C514:D514"/>
    <mergeCell ref="C507:D507"/>
    <mergeCell ref="C508:D508"/>
    <mergeCell ref="C509:D509"/>
    <mergeCell ref="C510:D510"/>
    <mergeCell ref="C511:D511"/>
    <mergeCell ref="C512:D512"/>
    <mergeCell ref="B514:B515"/>
    <mergeCell ref="B517:B518"/>
    <mergeCell ref="B520:B521"/>
    <mergeCell ref="B523:B524"/>
    <mergeCell ref="B527:B528"/>
    <mergeCell ref="A505:A506"/>
    <mergeCell ref="B507:B508"/>
    <mergeCell ref="A508:A509"/>
    <mergeCell ref="B510:B511"/>
    <mergeCell ref="A511:A512"/>
    <mergeCell ref="A515:A516"/>
    <mergeCell ref="A518:A519"/>
    <mergeCell ref="C549:D549"/>
    <mergeCell ref="C550:D550"/>
    <mergeCell ref="C542:D542"/>
    <mergeCell ref="C543:D543"/>
    <mergeCell ref="C544:D544"/>
    <mergeCell ref="C545:D545"/>
    <mergeCell ref="C546:D546"/>
    <mergeCell ref="C547:D547"/>
    <mergeCell ref="C548:D548"/>
    <mergeCell ref="C556:D556"/>
    <mergeCell ref="C557:D557"/>
    <mergeCell ref="B546:B547"/>
    <mergeCell ref="B549:B550"/>
    <mergeCell ref="C551:D551"/>
    <mergeCell ref="B552:D552"/>
    <mergeCell ref="C553:D553"/>
    <mergeCell ref="C554:D554"/>
    <mergeCell ref="C555:D555"/>
    <mergeCell ref="B562:B563"/>
    <mergeCell ref="B566:B567"/>
    <mergeCell ref="C560:D560"/>
    <mergeCell ref="C561:D561"/>
    <mergeCell ref="C562:D562"/>
    <mergeCell ref="C563:D563"/>
    <mergeCell ref="C564:D564"/>
    <mergeCell ref="B565:D565"/>
    <mergeCell ref="C566:D566"/>
    <mergeCell ref="A5:D5"/>
    <mergeCell ref="A6:D6"/>
    <mergeCell ref="A7:B7"/>
    <mergeCell ref="C7:D7"/>
    <mergeCell ref="D3:E3"/>
    <mergeCell ref="A8:B8"/>
    <mergeCell ref="C8:D8"/>
    <mergeCell ref="A9:B9"/>
    <mergeCell ref="C9:D9"/>
    <mergeCell ref="A1:N1"/>
    <mergeCell ref="A2:N2"/>
    <mergeCell ref="F3:J3"/>
    <mergeCell ref="L3:N3"/>
    <mergeCell ref="A4:N4"/>
    <mergeCell ref="K5:N6"/>
    <mergeCell ref="K7:N10"/>
    <mergeCell ref="B13:B14"/>
    <mergeCell ref="B17:B18"/>
    <mergeCell ref="C18:D18"/>
    <mergeCell ref="C19:D19"/>
    <mergeCell ref="A15:A16"/>
    <mergeCell ref="A18:A19"/>
    <mergeCell ref="K39:L39"/>
    <mergeCell ref="K43:L43"/>
    <mergeCell ref="A10:B10"/>
    <mergeCell ref="C10:D10"/>
    <mergeCell ref="B11:D11"/>
    <mergeCell ref="C12:D12"/>
    <mergeCell ref="C13:D13"/>
    <mergeCell ref="C16:D16"/>
    <mergeCell ref="C17:D17"/>
    <mergeCell ref="C23:D23"/>
    <mergeCell ref="C24:D24"/>
    <mergeCell ref="C14:D14"/>
    <mergeCell ref="C15:D15"/>
    <mergeCell ref="C20:D20"/>
    <mergeCell ref="B21:B22"/>
    <mergeCell ref="C21:D21"/>
    <mergeCell ref="C22:D22"/>
    <mergeCell ref="A23:A24"/>
    <mergeCell ref="B25:B26"/>
    <mergeCell ref="B31:B32"/>
    <mergeCell ref="B35:B36"/>
    <mergeCell ref="B39:B40"/>
    <mergeCell ref="B43:B44"/>
    <mergeCell ref="C25:D25"/>
    <mergeCell ref="A26:A28"/>
    <mergeCell ref="C26:D26"/>
    <mergeCell ref="C27:D27"/>
    <mergeCell ref="C28:D28"/>
    <mergeCell ref="B29:D29"/>
    <mergeCell ref="C30:D30"/>
    <mergeCell ref="C31:D31"/>
    <mergeCell ref="C32:D32"/>
    <mergeCell ref="A33:A34"/>
    <mergeCell ref="C33:D33"/>
    <mergeCell ref="C34:D34"/>
    <mergeCell ref="C35:D35"/>
    <mergeCell ref="A36:A37"/>
    <mergeCell ref="C42:D42"/>
    <mergeCell ref="C43:D43"/>
    <mergeCell ref="C41:D41"/>
    <mergeCell ref="C44:D44"/>
    <mergeCell ref="C45:D45"/>
    <mergeCell ref="C46:D46"/>
    <mergeCell ref="C36:D36"/>
    <mergeCell ref="C37:D37"/>
    <mergeCell ref="C38:D38"/>
    <mergeCell ref="C39:D39"/>
    <mergeCell ref="C40:D40"/>
    <mergeCell ref="A41:A42"/>
    <mergeCell ref="A44:A46"/>
    <mergeCell ref="B49:B50"/>
    <mergeCell ref="B53:B54"/>
    <mergeCell ref="B57:B58"/>
    <mergeCell ref="B61:B62"/>
    <mergeCell ref="A51:A52"/>
    <mergeCell ref="A54:A55"/>
    <mergeCell ref="A59:A60"/>
    <mergeCell ref="A62:A64"/>
    <mergeCell ref="B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89:D89"/>
    <mergeCell ref="C90:D90"/>
    <mergeCell ref="C85:D85"/>
    <mergeCell ref="C86:D86"/>
    <mergeCell ref="A87:A88"/>
    <mergeCell ref="C87:D87"/>
    <mergeCell ref="C88:D88"/>
    <mergeCell ref="B89:B90"/>
    <mergeCell ref="A90:A91"/>
    <mergeCell ref="C61:D61"/>
    <mergeCell ref="C62:D62"/>
    <mergeCell ref="C63:D63"/>
    <mergeCell ref="C64:D64"/>
    <mergeCell ref="B65:D65"/>
    <mergeCell ref="C66:D66"/>
    <mergeCell ref="B67:B68"/>
    <mergeCell ref="C71:D71"/>
    <mergeCell ref="C72:D72"/>
    <mergeCell ref="C67:D67"/>
    <mergeCell ref="C68:D68"/>
    <mergeCell ref="A69:A70"/>
    <mergeCell ref="C69:D69"/>
    <mergeCell ref="C70:D70"/>
    <mergeCell ref="B71:B72"/>
    <mergeCell ref="A72:A73"/>
    <mergeCell ref="B75:B76"/>
    <mergeCell ref="B79:B80"/>
    <mergeCell ref="A80:A82"/>
    <mergeCell ref="C73:D73"/>
    <mergeCell ref="C74:D74"/>
    <mergeCell ref="C75:D75"/>
    <mergeCell ref="C76:D76"/>
    <mergeCell ref="A77:A78"/>
    <mergeCell ref="C77:D77"/>
    <mergeCell ref="C78:D78"/>
    <mergeCell ref="C79:D79"/>
    <mergeCell ref="C80:D80"/>
    <mergeCell ref="C81:D81"/>
    <mergeCell ref="C82:D82"/>
    <mergeCell ref="B83:D83"/>
    <mergeCell ref="C84:D84"/>
    <mergeCell ref="B85:B86"/>
    <mergeCell ref="C97:D97"/>
    <mergeCell ref="C98:D98"/>
    <mergeCell ref="B121:B122"/>
    <mergeCell ref="B125:B126"/>
    <mergeCell ref="B119:D119"/>
    <mergeCell ref="C120:D120"/>
    <mergeCell ref="C121:D121"/>
    <mergeCell ref="C122:D122"/>
    <mergeCell ref="C123:D123"/>
    <mergeCell ref="C124:D124"/>
    <mergeCell ref="C125:D125"/>
    <mergeCell ref="C126:D126"/>
    <mergeCell ref="K103:L103"/>
    <mergeCell ref="K107:L107"/>
    <mergeCell ref="K111:L111"/>
    <mergeCell ref="K115:L115"/>
    <mergeCell ref="K119:L119"/>
    <mergeCell ref="M119:N119"/>
    <mergeCell ref="M120:N120"/>
    <mergeCell ref="K120:L120"/>
    <mergeCell ref="K121:L121"/>
    <mergeCell ref="K125:L125"/>
    <mergeCell ref="K129:L129"/>
    <mergeCell ref="K133:L133"/>
    <mergeCell ref="K137:L137"/>
    <mergeCell ref="M137:N137"/>
    <mergeCell ref="C130:D130"/>
    <mergeCell ref="C131:D131"/>
    <mergeCell ref="A123:A124"/>
    <mergeCell ref="A126:A127"/>
    <mergeCell ref="C127:D127"/>
    <mergeCell ref="C128:D128"/>
    <mergeCell ref="C129:D129"/>
    <mergeCell ref="A131:A132"/>
    <mergeCell ref="C132:D132"/>
    <mergeCell ref="C146:D146"/>
    <mergeCell ref="C147:D147"/>
    <mergeCell ref="B139:B140"/>
    <mergeCell ref="B143:B144"/>
    <mergeCell ref="C143:D143"/>
    <mergeCell ref="C144:D144"/>
    <mergeCell ref="C145:D145"/>
    <mergeCell ref="B147:B148"/>
    <mergeCell ref="C148:D148"/>
    <mergeCell ref="C152:D152"/>
    <mergeCell ref="C153:D153"/>
    <mergeCell ref="A144:A145"/>
    <mergeCell ref="A149:A150"/>
    <mergeCell ref="C149:D149"/>
    <mergeCell ref="C150:D150"/>
    <mergeCell ref="B151:B152"/>
    <mergeCell ref="C151:D151"/>
    <mergeCell ref="A152:A154"/>
    <mergeCell ref="C159:D159"/>
    <mergeCell ref="C160:D160"/>
    <mergeCell ref="C154:D154"/>
    <mergeCell ref="B155:D155"/>
    <mergeCell ref="C156:D156"/>
    <mergeCell ref="B157:B158"/>
    <mergeCell ref="C157:D157"/>
    <mergeCell ref="C158:D158"/>
    <mergeCell ref="A159:A160"/>
    <mergeCell ref="C165:D165"/>
    <mergeCell ref="C166:D166"/>
    <mergeCell ref="B161:B162"/>
    <mergeCell ref="C161:D161"/>
    <mergeCell ref="A162:A163"/>
    <mergeCell ref="C162:D162"/>
    <mergeCell ref="C163:D163"/>
    <mergeCell ref="C164:D164"/>
    <mergeCell ref="B165:B166"/>
    <mergeCell ref="C171:D171"/>
    <mergeCell ref="C172:D172"/>
    <mergeCell ref="A167:A168"/>
    <mergeCell ref="C167:D167"/>
    <mergeCell ref="C168:D168"/>
    <mergeCell ref="B169:B170"/>
    <mergeCell ref="C169:D169"/>
    <mergeCell ref="A170:A172"/>
    <mergeCell ref="C170:D170"/>
    <mergeCell ref="B175:B176"/>
    <mergeCell ref="B179:B180"/>
    <mergeCell ref="B173:D173"/>
    <mergeCell ref="C174:D174"/>
    <mergeCell ref="C175:D175"/>
    <mergeCell ref="C176:D176"/>
    <mergeCell ref="C177:D177"/>
    <mergeCell ref="C178:D178"/>
    <mergeCell ref="C179:D179"/>
    <mergeCell ref="B129:B130"/>
    <mergeCell ref="B133:B134"/>
    <mergeCell ref="C133:D133"/>
    <mergeCell ref="A134:A136"/>
    <mergeCell ref="C134:D134"/>
    <mergeCell ref="C135:D135"/>
    <mergeCell ref="C136:D136"/>
    <mergeCell ref="B137:D137"/>
    <mergeCell ref="C138:D138"/>
    <mergeCell ref="C139:D139"/>
    <mergeCell ref="C140:D140"/>
    <mergeCell ref="A141:A142"/>
    <mergeCell ref="C141:D141"/>
    <mergeCell ref="C142:D142"/>
    <mergeCell ref="A180:A181"/>
    <mergeCell ref="A185:A186"/>
    <mergeCell ref="A177:A178"/>
    <mergeCell ref="C180:D180"/>
    <mergeCell ref="C181:D181"/>
    <mergeCell ref="C182:D182"/>
    <mergeCell ref="B183:B184"/>
    <mergeCell ref="C183:D183"/>
    <mergeCell ref="C184:D184"/>
    <mergeCell ref="C91:D91"/>
    <mergeCell ref="C92:D92"/>
    <mergeCell ref="C93:D93"/>
    <mergeCell ref="C94:D94"/>
    <mergeCell ref="A95:A96"/>
    <mergeCell ref="C95:D95"/>
    <mergeCell ref="C96:D96"/>
    <mergeCell ref="C99:D99"/>
    <mergeCell ref="C100:D100"/>
    <mergeCell ref="B101:D101"/>
    <mergeCell ref="C102:D102"/>
    <mergeCell ref="B103:B104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B111:B112"/>
    <mergeCell ref="B115:B116"/>
    <mergeCell ref="B93:B94"/>
    <mergeCell ref="B97:B98"/>
    <mergeCell ref="A98:A100"/>
    <mergeCell ref="A105:A106"/>
    <mergeCell ref="B107:B108"/>
    <mergeCell ref="A108:A109"/>
    <mergeCell ref="A113:A114"/>
    <mergeCell ref="A116:A118"/>
    <mergeCell ref="C112:D112"/>
    <mergeCell ref="C113:D113"/>
    <mergeCell ref="C114:D114"/>
    <mergeCell ref="C115:D115"/>
    <mergeCell ref="C116:D116"/>
    <mergeCell ref="C117:D117"/>
    <mergeCell ref="C118:D118"/>
    <mergeCell ref="C185:D185"/>
    <mergeCell ref="C186:D186"/>
    <mergeCell ref="B187:B188"/>
    <mergeCell ref="C187:D187"/>
    <mergeCell ref="A188:A190"/>
    <mergeCell ref="C188:D188"/>
    <mergeCell ref="C189:D189"/>
    <mergeCell ref="B211:B212"/>
    <mergeCell ref="B215:B216"/>
    <mergeCell ref="B209:D209"/>
    <mergeCell ref="C210:D210"/>
    <mergeCell ref="C211:D211"/>
    <mergeCell ref="C212:D212"/>
    <mergeCell ref="C213:D213"/>
    <mergeCell ref="C214:D214"/>
    <mergeCell ref="C215:D215"/>
    <mergeCell ref="C216:D216"/>
    <mergeCell ref="C220:D220"/>
    <mergeCell ref="C221:D221"/>
    <mergeCell ref="A213:A214"/>
    <mergeCell ref="A216:A217"/>
    <mergeCell ref="C217:D217"/>
    <mergeCell ref="C218:D218"/>
    <mergeCell ref="C219:D219"/>
    <mergeCell ref="A221:A222"/>
    <mergeCell ref="C222:D222"/>
    <mergeCell ref="C236:D236"/>
    <mergeCell ref="C237:D237"/>
    <mergeCell ref="B229:B230"/>
    <mergeCell ref="B233:B234"/>
    <mergeCell ref="C233:D233"/>
    <mergeCell ref="C234:D234"/>
    <mergeCell ref="C235:D235"/>
    <mergeCell ref="B237:B238"/>
    <mergeCell ref="C238:D238"/>
    <mergeCell ref="C242:D242"/>
    <mergeCell ref="C243:D243"/>
    <mergeCell ref="A234:A235"/>
    <mergeCell ref="A239:A240"/>
    <mergeCell ref="C239:D239"/>
    <mergeCell ref="C240:D240"/>
    <mergeCell ref="B241:B242"/>
    <mergeCell ref="C241:D241"/>
    <mergeCell ref="A242:A244"/>
    <mergeCell ref="B219:B220"/>
    <mergeCell ref="B223:B224"/>
    <mergeCell ref="C223:D223"/>
    <mergeCell ref="A224:A226"/>
    <mergeCell ref="C224:D224"/>
    <mergeCell ref="C225:D225"/>
    <mergeCell ref="C226:D226"/>
    <mergeCell ref="B227:D227"/>
    <mergeCell ref="C228:D228"/>
    <mergeCell ref="C229:D229"/>
    <mergeCell ref="C230:D230"/>
    <mergeCell ref="A231:A232"/>
    <mergeCell ref="C231:D231"/>
    <mergeCell ref="C232:D232"/>
    <mergeCell ref="C249:D249"/>
    <mergeCell ref="C250:D250"/>
    <mergeCell ref="C244:D244"/>
    <mergeCell ref="B245:D245"/>
    <mergeCell ref="C246:D246"/>
    <mergeCell ref="B247:B248"/>
    <mergeCell ref="C247:D247"/>
    <mergeCell ref="C248:D248"/>
    <mergeCell ref="A249:A250"/>
    <mergeCell ref="C255:D255"/>
    <mergeCell ref="C256:D256"/>
    <mergeCell ref="B251:B252"/>
    <mergeCell ref="C251:D251"/>
    <mergeCell ref="A252:A253"/>
    <mergeCell ref="C252:D252"/>
    <mergeCell ref="C253:D253"/>
    <mergeCell ref="C254:D254"/>
    <mergeCell ref="B255:B256"/>
    <mergeCell ref="C261:D261"/>
    <mergeCell ref="C262:D262"/>
    <mergeCell ref="A257:A258"/>
    <mergeCell ref="C257:D257"/>
    <mergeCell ref="C258:D258"/>
    <mergeCell ref="B259:B260"/>
    <mergeCell ref="C259:D259"/>
    <mergeCell ref="A260:A262"/>
    <mergeCell ref="C260:D260"/>
    <mergeCell ref="B265:B266"/>
    <mergeCell ref="B269:B270"/>
    <mergeCell ref="B263:D263"/>
    <mergeCell ref="C264:D264"/>
    <mergeCell ref="C265:D265"/>
    <mergeCell ref="C266:D266"/>
    <mergeCell ref="C267:D267"/>
    <mergeCell ref="C268:D268"/>
    <mergeCell ref="C269:D269"/>
    <mergeCell ref="C270:D270"/>
    <mergeCell ref="C274:D274"/>
    <mergeCell ref="C275:D275"/>
    <mergeCell ref="A267:A268"/>
    <mergeCell ref="A270:A271"/>
    <mergeCell ref="C271:D271"/>
    <mergeCell ref="C272:D272"/>
    <mergeCell ref="C273:D273"/>
    <mergeCell ref="A275:A276"/>
    <mergeCell ref="C276:D276"/>
    <mergeCell ref="C290:D290"/>
    <mergeCell ref="C291:D291"/>
    <mergeCell ref="B283:B284"/>
    <mergeCell ref="B287:B288"/>
    <mergeCell ref="C287:D287"/>
    <mergeCell ref="C288:D288"/>
    <mergeCell ref="C289:D289"/>
    <mergeCell ref="B291:B292"/>
    <mergeCell ref="C292:D292"/>
    <mergeCell ref="B273:B274"/>
    <mergeCell ref="B277:B278"/>
    <mergeCell ref="C277:D277"/>
    <mergeCell ref="A278:A280"/>
    <mergeCell ref="C278:D278"/>
    <mergeCell ref="C279:D279"/>
    <mergeCell ref="C280:D280"/>
    <mergeCell ref="B281:D281"/>
    <mergeCell ref="C282:D282"/>
    <mergeCell ref="C283:D283"/>
    <mergeCell ref="C284:D284"/>
    <mergeCell ref="A285:A286"/>
    <mergeCell ref="C285:D285"/>
    <mergeCell ref="C286:D286"/>
    <mergeCell ref="C296:D296"/>
    <mergeCell ref="C297:D297"/>
    <mergeCell ref="A288:A289"/>
    <mergeCell ref="A293:A294"/>
    <mergeCell ref="C293:D293"/>
    <mergeCell ref="C294:D294"/>
    <mergeCell ref="B295:B296"/>
    <mergeCell ref="C295:D295"/>
    <mergeCell ref="A296:A298"/>
    <mergeCell ref="C303:D303"/>
    <mergeCell ref="C304:D304"/>
    <mergeCell ref="C298:D298"/>
    <mergeCell ref="B299:D299"/>
    <mergeCell ref="C300:D300"/>
    <mergeCell ref="B301:B302"/>
    <mergeCell ref="C301:D301"/>
    <mergeCell ref="C302:D302"/>
    <mergeCell ref="A303:A304"/>
    <mergeCell ref="C309:D309"/>
    <mergeCell ref="C310:D310"/>
    <mergeCell ref="B305:B306"/>
    <mergeCell ref="C305:D305"/>
    <mergeCell ref="A306:A307"/>
    <mergeCell ref="C306:D306"/>
    <mergeCell ref="C307:D307"/>
    <mergeCell ref="C308:D308"/>
    <mergeCell ref="B309:B310"/>
    <mergeCell ref="C315:D315"/>
    <mergeCell ref="C316:D316"/>
    <mergeCell ref="A311:A312"/>
    <mergeCell ref="C311:D311"/>
    <mergeCell ref="C312:D312"/>
    <mergeCell ref="B313:B314"/>
    <mergeCell ref="C313:D313"/>
    <mergeCell ref="A314:A316"/>
    <mergeCell ref="C314:D314"/>
    <mergeCell ref="B319:B320"/>
    <mergeCell ref="B323:B324"/>
    <mergeCell ref="B317:D317"/>
    <mergeCell ref="C318:D318"/>
    <mergeCell ref="C319:D319"/>
    <mergeCell ref="C320:D320"/>
    <mergeCell ref="C321:D321"/>
    <mergeCell ref="C322:D322"/>
    <mergeCell ref="C323:D323"/>
    <mergeCell ref="C324:D324"/>
    <mergeCell ref="C328:D328"/>
    <mergeCell ref="C329:D329"/>
    <mergeCell ref="A321:A322"/>
    <mergeCell ref="A324:A325"/>
    <mergeCell ref="C325:D325"/>
    <mergeCell ref="C326:D326"/>
    <mergeCell ref="C327:D327"/>
    <mergeCell ref="A329:A330"/>
    <mergeCell ref="C330:D330"/>
    <mergeCell ref="C344:D344"/>
    <mergeCell ref="C345:D345"/>
    <mergeCell ref="B337:B338"/>
    <mergeCell ref="B341:B342"/>
    <mergeCell ref="C341:D341"/>
    <mergeCell ref="C342:D342"/>
    <mergeCell ref="C343:D343"/>
    <mergeCell ref="B345:B346"/>
    <mergeCell ref="C346:D346"/>
    <mergeCell ref="C350:D350"/>
    <mergeCell ref="C351:D351"/>
    <mergeCell ref="A342:A343"/>
    <mergeCell ref="A347:A348"/>
    <mergeCell ref="C347:D347"/>
    <mergeCell ref="C348:D348"/>
    <mergeCell ref="B349:B350"/>
    <mergeCell ref="C349:D349"/>
    <mergeCell ref="A350:A352"/>
    <mergeCell ref="C357:D357"/>
    <mergeCell ref="C358:D358"/>
    <mergeCell ref="C352:D352"/>
    <mergeCell ref="B353:D353"/>
    <mergeCell ref="C354:D354"/>
    <mergeCell ref="B355:B356"/>
    <mergeCell ref="C355:D355"/>
    <mergeCell ref="C356:D356"/>
    <mergeCell ref="A357:A358"/>
    <mergeCell ref="C363:D363"/>
    <mergeCell ref="C364:D364"/>
    <mergeCell ref="B359:B360"/>
    <mergeCell ref="C359:D359"/>
    <mergeCell ref="A360:A361"/>
    <mergeCell ref="C360:D360"/>
    <mergeCell ref="C361:D361"/>
    <mergeCell ref="C362:D362"/>
    <mergeCell ref="B363:B364"/>
    <mergeCell ref="C369:D369"/>
    <mergeCell ref="C370:D370"/>
    <mergeCell ref="A365:A366"/>
    <mergeCell ref="C365:D365"/>
    <mergeCell ref="C366:D366"/>
    <mergeCell ref="B367:B368"/>
    <mergeCell ref="C367:D367"/>
    <mergeCell ref="A368:A370"/>
    <mergeCell ref="C368:D368"/>
    <mergeCell ref="B373:B374"/>
    <mergeCell ref="B377:B378"/>
    <mergeCell ref="B371:D371"/>
    <mergeCell ref="C372:D372"/>
    <mergeCell ref="C373:D373"/>
    <mergeCell ref="C374:D374"/>
    <mergeCell ref="C375:D375"/>
    <mergeCell ref="C376:D376"/>
    <mergeCell ref="C377:D377"/>
    <mergeCell ref="C378:D378"/>
    <mergeCell ref="A375:A376"/>
    <mergeCell ref="A378:A379"/>
    <mergeCell ref="C379:D379"/>
    <mergeCell ref="C380:D380"/>
    <mergeCell ref="C381:D381"/>
    <mergeCell ref="A383:A384"/>
    <mergeCell ref="C384:D384"/>
    <mergeCell ref="C382:D382"/>
    <mergeCell ref="C383:D383"/>
    <mergeCell ref="A591:N591"/>
    <mergeCell ref="K592:K593"/>
    <mergeCell ref="L592:L593"/>
    <mergeCell ref="M592:N593"/>
    <mergeCell ref="K594:K595"/>
    <mergeCell ref="A600:N600"/>
    <mergeCell ref="M598:N599"/>
    <mergeCell ref="K602:N606"/>
    <mergeCell ref="K608:N612"/>
    <mergeCell ref="K614:N618"/>
    <mergeCell ref="K620:N624"/>
    <mergeCell ref="A625:N625"/>
    <mergeCell ref="K627:N631"/>
    <mergeCell ref="L594:L595"/>
    <mergeCell ref="M594:N595"/>
    <mergeCell ref="K596:K597"/>
    <mergeCell ref="L596:L597"/>
    <mergeCell ref="M596:N597"/>
    <mergeCell ref="K598:K599"/>
    <mergeCell ref="L598:L599"/>
    <mergeCell ref="K353:L353"/>
    <mergeCell ref="K354:L354"/>
    <mergeCell ref="K355:L355"/>
    <mergeCell ref="K359:L359"/>
    <mergeCell ref="K363:L363"/>
    <mergeCell ref="K367:L367"/>
    <mergeCell ref="M371:N371"/>
    <mergeCell ref="M372:N372"/>
    <mergeCell ref="K371:L371"/>
    <mergeCell ref="K372:L372"/>
    <mergeCell ref="K373:L373"/>
    <mergeCell ref="K377:L377"/>
    <mergeCell ref="K381:L381"/>
    <mergeCell ref="K385:L385"/>
    <mergeCell ref="M389:N389"/>
    <mergeCell ref="K247:L247"/>
    <mergeCell ref="K251:L251"/>
    <mergeCell ref="K255:L255"/>
    <mergeCell ref="K259:L259"/>
    <mergeCell ref="K263:L263"/>
    <mergeCell ref="M263:N263"/>
    <mergeCell ref="M264:N264"/>
    <mergeCell ref="K264:L264"/>
    <mergeCell ref="K265:L265"/>
    <mergeCell ref="K269:L269"/>
    <mergeCell ref="K273:L273"/>
    <mergeCell ref="K277:L277"/>
    <mergeCell ref="K281:L281"/>
    <mergeCell ref="M281:N281"/>
    <mergeCell ref="K282:L282"/>
    <mergeCell ref="M282:N282"/>
    <mergeCell ref="K283:L283"/>
    <mergeCell ref="K287:L287"/>
    <mergeCell ref="K291:L291"/>
    <mergeCell ref="K295:L295"/>
    <mergeCell ref="M299:N299"/>
    <mergeCell ref="M300:N300"/>
    <mergeCell ref="K299:L299"/>
    <mergeCell ref="K300:L300"/>
    <mergeCell ref="K301:L301"/>
    <mergeCell ref="K305:L305"/>
    <mergeCell ref="K309:L309"/>
    <mergeCell ref="K313:L313"/>
    <mergeCell ref="M317:N317"/>
    <mergeCell ref="M318:N318"/>
    <mergeCell ref="K317:L317"/>
    <mergeCell ref="K318:L318"/>
    <mergeCell ref="K319:L319"/>
    <mergeCell ref="K323:L323"/>
    <mergeCell ref="K327:L327"/>
    <mergeCell ref="K331:L331"/>
    <mergeCell ref="M335:N335"/>
    <mergeCell ref="M336:N336"/>
    <mergeCell ref="K335:L335"/>
    <mergeCell ref="K336:L336"/>
    <mergeCell ref="K337:L337"/>
    <mergeCell ref="K341:L341"/>
    <mergeCell ref="K345:L345"/>
    <mergeCell ref="K349:L349"/>
    <mergeCell ref="M353:N353"/>
    <mergeCell ref="M354:N354"/>
    <mergeCell ref="K449:L449"/>
    <mergeCell ref="K453:L453"/>
    <mergeCell ref="K457:L457"/>
    <mergeCell ref="K461:L461"/>
    <mergeCell ref="M461:N461"/>
    <mergeCell ref="K474:L474"/>
    <mergeCell ref="M474:N474"/>
    <mergeCell ref="K138:L138"/>
    <mergeCell ref="M138:N138"/>
    <mergeCell ref="K139:L139"/>
    <mergeCell ref="K143:L143"/>
    <mergeCell ref="K147:L147"/>
    <mergeCell ref="K151:L151"/>
    <mergeCell ref="M155:N155"/>
    <mergeCell ref="M156:N156"/>
    <mergeCell ref="K155:L155"/>
    <mergeCell ref="K156:L156"/>
    <mergeCell ref="K157:L157"/>
    <mergeCell ref="K161:L161"/>
    <mergeCell ref="K165:L165"/>
    <mergeCell ref="K169:L169"/>
    <mergeCell ref="M173:N173"/>
    <mergeCell ref="K173:L173"/>
    <mergeCell ref="K174:L174"/>
    <mergeCell ref="M174:N174"/>
    <mergeCell ref="K175:L175"/>
    <mergeCell ref="K179:L179"/>
    <mergeCell ref="K183:L183"/>
    <mergeCell ref="K187:L187"/>
    <mergeCell ref="K191:L191"/>
    <mergeCell ref="M191:N191"/>
    <mergeCell ref="K192:L192"/>
    <mergeCell ref="M192:N192"/>
    <mergeCell ref="K193:L193"/>
    <mergeCell ref="K197:L197"/>
    <mergeCell ref="K201:L201"/>
    <mergeCell ref="K205:L205"/>
    <mergeCell ref="K209:L209"/>
    <mergeCell ref="M209:N209"/>
    <mergeCell ref="K210:L210"/>
    <mergeCell ref="M210:N210"/>
    <mergeCell ref="K211:L211"/>
    <mergeCell ref="K215:L215"/>
    <mergeCell ref="K219:L219"/>
    <mergeCell ref="K223:L223"/>
    <mergeCell ref="K227:L227"/>
    <mergeCell ref="M227:N227"/>
    <mergeCell ref="K228:L228"/>
    <mergeCell ref="M228:N228"/>
    <mergeCell ref="K229:L229"/>
    <mergeCell ref="K11:L11"/>
    <mergeCell ref="M11:N11"/>
    <mergeCell ref="K12:L12"/>
    <mergeCell ref="M12:N12"/>
    <mergeCell ref="K13:L13"/>
    <mergeCell ref="K17:L17"/>
    <mergeCell ref="K21:L21"/>
    <mergeCell ref="K25:L25"/>
    <mergeCell ref="K29:L29"/>
    <mergeCell ref="M29:N29"/>
    <mergeCell ref="K30:L30"/>
    <mergeCell ref="M30:N30"/>
    <mergeCell ref="K31:L31"/>
    <mergeCell ref="K35:L35"/>
    <mergeCell ref="K47:L47"/>
    <mergeCell ref="M47:N47"/>
    <mergeCell ref="K48:L48"/>
    <mergeCell ref="M48:N48"/>
    <mergeCell ref="K49:L49"/>
    <mergeCell ref="K53:L53"/>
    <mergeCell ref="K57:L57"/>
    <mergeCell ref="K61:L61"/>
    <mergeCell ref="K65:L65"/>
    <mergeCell ref="M65:N65"/>
    <mergeCell ref="K66:L66"/>
    <mergeCell ref="M66:N66"/>
    <mergeCell ref="K67:L67"/>
    <mergeCell ref="K71:L71"/>
    <mergeCell ref="K75:L75"/>
    <mergeCell ref="K79:L79"/>
    <mergeCell ref="K83:L83"/>
    <mergeCell ref="M83:N83"/>
    <mergeCell ref="K84:L84"/>
    <mergeCell ref="M84:N84"/>
    <mergeCell ref="K85:L85"/>
    <mergeCell ref="K89:L89"/>
    <mergeCell ref="K93:L93"/>
    <mergeCell ref="K97:L97"/>
    <mergeCell ref="K101:L101"/>
    <mergeCell ref="M101:N101"/>
    <mergeCell ref="K102:L102"/>
    <mergeCell ref="M102:N102"/>
    <mergeCell ref="K233:L233"/>
    <mergeCell ref="K237:L237"/>
    <mergeCell ref="K241:L241"/>
    <mergeCell ref="K245:L245"/>
    <mergeCell ref="M245:N245"/>
    <mergeCell ref="K246:L246"/>
    <mergeCell ref="M246:N246"/>
    <mergeCell ref="K389:L389"/>
    <mergeCell ref="K390:L390"/>
    <mergeCell ref="M390:N390"/>
    <mergeCell ref="K391:L391"/>
    <mergeCell ref="K395:L395"/>
    <mergeCell ref="K399:L399"/>
    <mergeCell ref="K403:L403"/>
    <mergeCell ref="K407:L407"/>
    <mergeCell ref="M407:N407"/>
    <mergeCell ref="K408:L408"/>
    <mergeCell ref="M408:N408"/>
    <mergeCell ref="K409:L409"/>
    <mergeCell ref="K413:L413"/>
    <mergeCell ref="K417:L417"/>
    <mergeCell ref="K421:L421"/>
    <mergeCell ref="K425:L425"/>
    <mergeCell ref="M425:N425"/>
    <mergeCell ref="K426:L426"/>
    <mergeCell ref="M426:N426"/>
    <mergeCell ref="K427:L427"/>
    <mergeCell ref="K431:L431"/>
    <mergeCell ref="K435:L435"/>
    <mergeCell ref="K439:L439"/>
    <mergeCell ref="K443:L443"/>
    <mergeCell ref="M443:N443"/>
    <mergeCell ref="K444:L444"/>
    <mergeCell ref="M444:N444"/>
    <mergeCell ref="K445:L445"/>
    <mergeCell ref="K487:L487"/>
    <mergeCell ref="M487:N487"/>
    <mergeCell ref="K500:L500"/>
    <mergeCell ref="M500:N500"/>
    <mergeCell ref="K513:L513"/>
    <mergeCell ref="M513:N513"/>
    <mergeCell ref="M526:N526"/>
    <mergeCell ref="K578:L578"/>
    <mergeCell ref="M578:N578"/>
    <mergeCell ref="K526:L526"/>
    <mergeCell ref="K539:L539"/>
    <mergeCell ref="M539:N539"/>
    <mergeCell ref="K552:L552"/>
    <mergeCell ref="M552:N552"/>
    <mergeCell ref="K565:L565"/>
    <mergeCell ref="M565:N565"/>
  </mergeCells>
  <printOptions/>
  <pageMargins bottom="1.025" footer="0.0" header="0.0" left="0.7875" right="0.7875" top="1.025"/>
  <pageSetup paperSize="9" orientation="portrait"/>
  <headerFooter>
    <oddHeader>&amp;C&amp;A</oddHeader>
    <oddFooter>&amp;CPágina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3.63"/>
    <col customWidth="1" min="2" max="2" width="21.0"/>
    <col customWidth="1" min="3" max="3" width="12.13"/>
    <col customWidth="1" min="4" max="4" width="2.88"/>
    <col customWidth="1" min="5" max="13" width="5.63"/>
    <col customWidth="1" min="14" max="14" width="5.75"/>
    <col customWidth="1" min="15" max="15" width="15.5"/>
    <col customWidth="1" min="16" max="16" width="11.38"/>
    <col customWidth="1" min="17" max="17" width="19.5"/>
    <col customWidth="1" min="18" max="18" width="7.63"/>
  </cols>
  <sheetData>
    <row r="1" ht="13.5" customHeight="1">
      <c r="A1" s="174" t="s">
        <v>194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6"/>
    </row>
    <row r="2" ht="13.5" customHeight="1">
      <c r="A2" s="177" t="s">
        <v>193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 ht="13.5" customHeight="1">
      <c r="A3" s="178" t="s">
        <v>2</v>
      </c>
      <c r="B3" s="179"/>
      <c r="C3" s="180" t="s">
        <v>4</v>
      </c>
      <c r="D3" s="181"/>
      <c r="E3" s="10"/>
      <c r="F3" s="182" t="s">
        <v>5</v>
      </c>
      <c r="O3" s="183">
        <f>COUNTA(A13,A31,A49,A67,A85,A103,A121,A139,A157,A175,A193,A211,A229,A247,A265,A283,A301,A319,A337,A355,A373,A391,A409,A427,A445)</f>
        <v>0</v>
      </c>
      <c r="P3" s="184"/>
    </row>
    <row r="4" ht="13.5" customHeight="1">
      <c r="A4" s="18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6"/>
    </row>
    <row r="5" ht="13.5" customHeight="1">
      <c r="A5" s="186" t="s">
        <v>6</v>
      </c>
      <c r="B5" s="15"/>
      <c r="C5" s="15"/>
      <c r="D5" s="187"/>
      <c r="E5" s="188" t="s">
        <v>7</v>
      </c>
      <c r="F5" s="189" t="s">
        <v>8</v>
      </c>
      <c r="G5" s="188" t="s">
        <v>9</v>
      </c>
      <c r="H5" s="188" t="s">
        <v>10</v>
      </c>
      <c r="I5" s="188" t="s">
        <v>11</v>
      </c>
      <c r="J5" s="189" t="s">
        <v>12</v>
      </c>
      <c r="K5" s="189" t="s">
        <v>195</v>
      </c>
      <c r="L5" s="189" t="s">
        <v>196</v>
      </c>
      <c r="M5" s="189" t="s">
        <v>197</v>
      </c>
      <c r="N5" s="189" t="s">
        <v>146</v>
      </c>
      <c r="O5" s="190"/>
      <c r="P5" s="21"/>
      <c r="Q5" s="21"/>
      <c r="R5" s="22"/>
    </row>
    <row r="6" ht="13.5" customHeight="1">
      <c r="A6" s="191" t="s">
        <v>13</v>
      </c>
      <c r="B6" s="192"/>
      <c r="C6" s="192"/>
      <c r="D6" s="193"/>
      <c r="E6" s="194">
        <v>16.0</v>
      </c>
      <c r="F6" s="195">
        <v>26.0</v>
      </c>
      <c r="G6" s="195">
        <v>26.0</v>
      </c>
      <c r="H6" s="195">
        <v>26.0</v>
      </c>
      <c r="I6" s="195">
        <v>31.0</v>
      </c>
      <c r="J6" s="196">
        <v>36.0</v>
      </c>
      <c r="K6" s="342">
        <v>30.0</v>
      </c>
      <c r="L6" s="342">
        <v>35.0</v>
      </c>
      <c r="M6" s="342">
        <v>40.0</v>
      </c>
      <c r="N6" s="343">
        <v>15.0</v>
      </c>
      <c r="O6" s="29"/>
      <c r="P6" s="29"/>
      <c r="Q6" s="29"/>
      <c r="R6" s="30"/>
    </row>
    <row r="7" ht="13.5" customHeight="1">
      <c r="A7" s="197" t="s">
        <v>14</v>
      </c>
      <c r="B7" s="198"/>
      <c r="C7" s="199" t="s">
        <v>15</v>
      </c>
      <c r="D7" s="200"/>
      <c r="E7" s="201"/>
      <c r="F7" s="201"/>
      <c r="G7" s="201"/>
      <c r="H7" s="201"/>
      <c r="I7" s="202"/>
      <c r="J7" s="344"/>
      <c r="K7" s="344"/>
      <c r="L7" s="344"/>
      <c r="M7" s="344"/>
      <c r="N7" s="203"/>
      <c r="O7" s="204"/>
      <c r="P7" s="2"/>
      <c r="Q7" s="2"/>
      <c r="R7" s="3"/>
    </row>
    <row r="8" ht="13.5" customHeight="1">
      <c r="A8" s="197" t="s">
        <v>16</v>
      </c>
      <c r="B8" s="198"/>
      <c r="C8" s="199" t="s">
        <v>15</v>
      </c>
      <c r="D8" s="200"/>
      <c r="E8" s="205"/>
      <c r="F8" s="205"/>
      <c r="G8" s="205"/>
      <c r="H8" s="205"/>
      <c r="I8" s="206"/>
      <c r="J8" s="345"/>
      <c r="K8" s="345"/>
      <c r="L8" s="345"/>
      <c r="M8" s="345"/>
      <c r="N8" s="207"/>
      <c r="O8" s="38"/>
      <c r="R8" s="5"/>
    </row>
    <row r="9" ht="13.5" customHeight="1">
      <c r="A9" s="197" t="s">
        <v>17</v>
      </c>
      <c r="B9" s="198"/>
      <c r="C9" s="199" t="s">
        <v>15</v>
      </c>
      <c r="D9" s="200"/>
      <c r="E9" s="205"/>
      <c r="F9" s="205"/>
      <c r="G9" s="205"/>
      <c r="H9" s="205"/>
      <c r="I9" s="206"/>
      <c r="J9" s="345"/>
      <c r="K9" s="345"/>
      <c r="L9" s="345"/>
      <c r="M9" s="345"/>
      <c r="N9" s="207"/>
      <c r="O9" s="38"/>
      <c r="R9" s="5"/>
    </row>
    <row r="10" ht="13.5" customHeight="1">
      <c r="A10" s="197" t="s">
        <v>18</v>
      </c>
      <c r="B10" s="198"/>
      <c r="C10" s="199" t="s">
        <v>15</v>
      </c>
      <c r="D10" s="200"/>
      <c r="E10" s="205"/>
      <c r="F10" s="205"/>
      <c r="G10" s="205"/>
      <c r="H10" s="205"/>
      <c r="I10" s="206"/>
      <c r="J10" s="345"/>
      <c r="K10" s="345"/>
      <c r="L10" s="345"/>
      <c r="M10" s="345"/>
      <c r="N10" s="207"/>
      <c r="O10" s="38"/>
      <c r="R10" s="5"/>
    </row>
    <row r="11" ht="13.5" customHeight="1">
      <c r="A11" s="208" t="s">
        <v>19</v>
      </c>
      <c r="B11" s="209" t="s">
        <v>20</v>
      </c>
      <c r="C11" s="24"/>
      <c r="D11" s="33"/>
      <c r="E11" s="210">
        <f t="shared" ref="E11:N11" si="1">E6</f>
        <v>16</v>
      </c>
      <c r="F11" s="210">
        <f t="shared" si="1"/>
        <v>26</v>
      </c>
      <c r="G11" s="211">
        <f t="shared" si="1"/>
        <v>26</v>
      </c>
      <c r="H11" s="212">
        <f t="shared" si="1"/>
        <v>26</v>
      </c>
      <c r="I11" s="213">
        <f t="shared" si="1"/>
        <v>31</v>
      </c>
      <c r="J11" s="346">
        <f t="shared" si="1"/>
        <v>36</v>
      </c>
      <c r="K11" s="346">
        <f t="shared" si="1"/>
        <v>30</v>
      </c>
      <c r="L11" s="346">
        <f t="shared" si="1"/>
        <v>35</v>
      </c>
      <c r="M11" s="346">
        <f t="shared" si="1"/>
        <v>40</v>
      </c>
      <c r="N11" s="211">
        <f t="shared" si="1"/>
        <v>15</v>
      </c>
      <c r="O11" s="214" t="s">
        <v>21</v>
      </c>
      <c r="P11" s="25"/>
      <c r="Q11" s="215" t="s">
        <v>22</v>
      </c>
      <c r="R11" s="10"/>
    </row>
    <row r="12" ht="13.5" customHeight="1">
      <c r="A12" s="216" t="s">
        <v>23</v>
      </c>
      <c r="B12" s="217" t="s">
        <v>24</v>
      </c>
      <c r="C12" s="218" t="s">
        <v>25</v>
      </c>
      <c r="D12" s="117"/>
      <c r="E12" s="219"/>
      <c r="F12" s="219"/>
      <c r="G12" s="219"/>
      <c r="H12" s="219"/>
      <c r="I12" s="220"/>
      <c r="J12" s="347"/>
      <c r="K12" s="347"/>
      <c r="L12" s="347"/>
      <c r="M12" s="347"/>
      <c r="N12" s="219"/>
      <c r="O12" s="49"/>
      <c r="P12" s="25"/>
      <c r="Q12" s="50"/>
      <c r="R12" s="10"/>
    </row>
    <row r="13" ht="15.0" customHeight="1">
      <c r="A13" s="221"/>
      <c r="B13" s="222" t="s">
        <v>26</v>
      </c>
      <c r="C13" s="223" t="s">
        <v>27</v>
      </c>
      <c r="D13" s="224"/>
      <c r="E13" s="225">
        <f t="shared" ref="E13:N13" si="2">E12-E14</f>
        <v>0</v>
      </c>
      <c r="F13" s="225">
        <f t="shared" si="2"/>
        <v>0</v>
      </c>
      <c r="G13" s="225">
        <f t="shared" si="2"/>
        <v>0</v>
      </c>
      <c r="H13" s="225">
        <f t="shared" si="2"/>
        <v>0</v>
      </c>
      <c r="I13" s="225">
        <f t="shared" si="2"/>
        <v>0</v>
      </c>
      <c r="J13" s="226">
        <f t="shared" si="2"/>
        <v>0</v>
      </c>
      <c r="K13" s="226">
        <f t="shared" si="2"/>
        <v>0</v>
      </c>
      <c r="L13" s="226">
        <f t="shared" si="2"/>
        <v>0</v>
      </c>
      <c r="M13" s="226">
        <f t="shared" si="2"/>
        <v>0</v>
      </c>
      <c r="N13" s="226">
        <f t="shared" si="2"/>
        <v>0</v>
      </c>
      <c r="O13" s="227"/>
      <c r="P13" s="30"/>
      <c r="Q13" s="228" t="s">
        <v>28</v>
      </c>
      <c r="R13" s="229" t="b">
        <v>0</v>
      </c>
    </row>
    <row r="14" ht="13.5" customHeight="1">
      <c r="A14" s="230" t="s">
        <v>29</v>
      </c>
      <c r="B14" s="231"/>
      <c r="C14" s="232" t="s">
        <v>30</v>
      </c>
      <c r="D14" s="108"/>
      <c r="E14" s="233"/>
      <c r="F14" s="233"/>
      <c r="G14" s="233"/>
      <c r="H14" s="233"/>
      <c r="I14" s="234"/>
      <c r="J14" s="234"/>
      <c r="K14" s="234"/>
      <c r="L14" s="234"/>
      <c r="M14" s="234"/>
      <c r="N14" s="233"/>
      <c r="O14" s="235" t="s">
        <v>30</v>
      </c>
      <c r="P14" s="236">
        <f>(E14*E11)+(F14*F11)+(G14*G11)+(H14*H11)+(I14*I11)+(J14*J11)+(K14*K11)+(L14*L11)+(M14*M11)+(N14*N11)</f>
        <v>0</v>
      </c>
      <c r="Q14" s="237" t="s">
        <v>31</v>
      </c>
      <c r="R14" s="238" t="b">
        <v>0</v>
      </c>
    </row>
    <row r="15" ht="13.5" customHeight="1">
      <c r="A15" s="221"/>
      <c r="B15" s="239" t="s">
        <v>33</v>
      </c>
      <c r="C15" s="232" t="s">
        <v>34</v>
      </c>
      <c r="D15" s="108"/>
      <c r="E15" s="240"/>
      <c r="F15" s="241"/>
      <c r="G15" s="241"/>
      <c r="H15" s="241"/>
      <c r="I15" s="242"/>
      <c r="J15" s="242"/>
      <c r="K15" s="242"/>
      <c r="L15" s="242"/>
      <c r="M15" s="242"/>
      <c r="N15" s="241"/>
      <c r="O15" s="243" t="s">
        <v>35</v>
      </c>
      <c r="P15" s="236">
        <f>(E15*E11)+(F15*F11)+(G15*G11)+(H15*H11)+(I15*I11)+(J15*J11)+(K15*K11)+(L15*L11)+(M15*M11)+(N15*N11)</f>
        <v>0</v>
      </c>
      <c r="Q15" s="244" t="s">
        <v>36</v>
      </c>
      <c r="R15" s="238" t="b">
        <v>0</v>
      </c>
    </row>
    <row r="16" ht="13.5" customHeight="1">
      <c r="A16" s="68"/>
      <c r="B16" s="245" t="str">
        <f>IFS(P16=0,"",B16&lt;&gt;"",B16,TRUE,NOW())</f>
        <v/>
      </c>
      <c r="C16" s="232" t="s">
        <v>37</v>
      </c>
      <c r="D16" s="108"/>
      <c r="E16" s="246"/>
      <c r="F16" s="246"/>
      <c r="G16" s="246"/>
      <c r="H16" s="246"/>
      <c r="I16" s="247"/>
      <c r="J16" s="247"/>
      <c r="K16" s="247"/>
      <c r="L16" s="247"/>
      <c r="M16" s="247"/>
      <c r="N16" s="246"/>
      <c r="O16" s="248" t="s">
        <v>38</v>
      </c>
      <c r="P16" s="249">
        <f>P15-P14</f>
        <v>0</v>
      </c>
      <c r="Q16" s="250" t="s">
        <v>39</v>
      </c>
      <c r="R16" s="238" t="b">
        <v>0</v>
      </c>
    </row>
    <row r="17" ht="15.0" customHeight="1">
      <c r="A17" s="230" t="s">
        <v>40</v>
      </c>
      <c r="B17" s="222" t="s">
        <v>26</v>
      </c>
      <c r="C17" s="223" t="s">
        <v>27</v>
      </c>
      <c r="D17" s="224"/>
      <c r="E17" s="225">
        <f t="shared" ref="E17:N17" si="3">E15-E18</f>
        <v>0</v>
      </c>
      <c r="F17" s="225">
        <f t="shared" si="3"/>
        <v>0</v>
      </c>
      <c r="G17" s="225">
        <f t="shared" si="3"/>
        <v>0</v>
      </c>
      <c r="H17" s="225">
        <f t="shared" si="3"/>
        <v>0</v>
      </c>
      <c r="I17" s="225">
        <f t="shared" si="3"/>
        <v>0</v>
      </c>
      <c r="J17" s="226">
        <f t="shared" si="3"/>
        <v>0</v>
      </c>
      <c r="K17" s="226">
        <f t="shared" si="3"/>
        <v>0</v>
      </c>
      <c r="L17" s="226">
        <f t="shared" si="3"/>
        <v>0</v>
      </c>
      <c r="M17" s="226">
        <f t="shared" si="3"/>
        <v>0</v>
      </c>
      <c r="N17" s="226">
        <f t="shared" si="3"/>
        <v>0</v>
      </c>
      <c r="O17" s="227"/>
      <c r="P17" s="30"/>
      <c r="Q17" s="228" t="s">
        <v>28</v>
      </c>
      <c r="R17" s="229" t="b">
        <v>0</v>
      </c>
    </row>
    <row r="18" ht="13.5" customHeight="1">
      <c r="A18" s="221"/>
      <c r="B18" s="231"/>
      <c r="C18" s="232" t="s">
        <v>30</v>
      </c>
      <c r="D18" s="108"/>
      <c r="E18" s="233"/>
      <c r="F18" s="233"/>
      <c r="G18" s="233"/>
      <c r="H18" s="233"/>
      <c r="I18" s="234"/>
      <c r="J18" s="348"/>
      <c r="K18" s="348"/>
      <c r="L18" s="348"/>
      <c r="M18" s="348"/>
      <c r="N18" s="251"/>
      <c r="O18" s="235" t="s">
        <v>30</v>
      </c>
      <c r="P18" s="236">
        <f>(E18*E11)+(F18*F11)+(G18*G11)+(H18*H11)+(I18*I11)+(J18*J11)+(K18*K11)+(L18*L11)+(M18*M11)+(N18*N11)</f>
        <v>0</v>
      </c>
      <c r="Q18" s="237" t="s">
        <v>31</v>
      </c>
      <c r="R18" s="238" t="b">
        <v>0</v>
      </c>
    </row>
    <row r="19" ht="13.5" customHeight="1">
      <c r="A19" s="68"/>
      <c r="B19" s="239" t="s">
        <v>42</v>
      </c>
      <c r="C19" s="232" t="s">
        <v>34</v>
      </c>
      <c r="D19" s="108"/>
      <c r="E19" s="240"/>
      <c r="F19" s="241"/>
      <c r="G19" s="241"/>
      <c r="H19" s="241"/>
      <c r="I19" s="242"/>
      <c r="J19" s="349"/>
      <c r="K19" s="349"/>
      <c r="L19" s="349"/>
      <c r="M19" s="349"/>
      <c r="N19" s="252"/>
      <c r="O19" s="243" t="s">
        <v>35</v>
      </c>
      <c r="P19" s="236">
        <f>(E19*E11)+(F19*F11)+(G19*G11)+(H19*H11)+(I19*I11)+(J19*J11)+(K19*K11)+(L19*L11)+(M19*M11)+(N19*N11)</f>
        <v>0</v>
      </c>
      <c r="Q19" s="237" t="s">
        <v>36</v>
      </c>
      <c r="R19" s="238" t="b">
        <v>0</v>
      </c>
    </row>
    <row r="20" ht="13.5" customHeight="1">
      <c r="A20" s="230" t="s">
        <v>43</v>
      </c>
      <c r="B20" s="245" t="str">
        <f>IFS(P20=0,"",B20&lt;&gt;"",B20,TRUE,NOW())</f>
        <v/>
      </c>
      <c r="C20" s="232" t="s">
        <v>37</v>
      </c>
      <c r="D20" s="108"/>
      <c r="E20" s="246"/>
      <c r="F20" s="246"/>
      <c r="G20" s="246"/>
      <c r="H20" s="246"/>
      <c r="I20" s="247"/>
      <c r="J20" s="350"/>
      <c r="K20" s="350"/>
      <c r="L20" s="350"/>
      <c r="M20" s="350"/>
      <c r="N20" s="253"/>
      <c r="O20" s="248" t="s">
        <v>38</v>
      </c>
      <c r="P20" s="249">
        <f>P19-P18</f>
        <v>0</v>
      </c>
      <c r="Q20" s="250" t="s">
        <v>39</v>
      </c>
      <c r="R20" s="238" t="b">
        <v>0</v>
      </c>
    </row>
    <row r="21" ht="13.5" customHeight="1">
      <c r="A21" s="230"/>
      <c r="B21" s="222" t="s">
        <v>26</v>
      </c>
      <c r="C21" s="223" t="s">
        <v>27</v>
      </c>
      <c r="D21" s="224"/>
      <c r="E21" s="254">
        <f t="shared" ref="E21:N21" si="4">E19-E22</f>
        <v>0</v>
      </c>
      <c r="F21" s="254">
        <f t="shared" si="4"/>
        <v>0</v>
      </c>
      <c r="G21" s="254">
        <f t="shared" si="4"/>
        <v>0</v>
      </c>
      <c r="H21" s="254">
        <f t="shared" si="4"/>
        <v>0</v>
      </c>
      <c r="I21" s="254">
        <f t="shared" si="4"/>
        <v>0</v>
      </c>
      <c r="J21" s="254">
        <f t="shared" si="4"/>
        <v>0</v>
      </c>
      <c r="K21" s="254">
        <f t="shared" si="4"/>
        <v>0</v>
      </c>
      <c r="L21" s="254">
        <f t="shared" si="4"/>
        <v>0</v>
      </c>
      <c r="M21" s="254">
        <f t="shared" si="4"/>
        <v>0</v>
      </c>
      <c r="N21" s="254">
        <f t="shared" si="4"/>
        <v>0</v>
      </c>
      <c r="O21" s="227"/>
      <c r="P21" s="30"/>
      <c r="Q21" s="228" t="s">
        <v>28</v>
      </c>
      <c r="R21" s="229" t="b">
        <v>0</v>
      </c>
    </row>
    <row r="22" ht="13.5" customHeight="1">
      <c r="A22" s="230" t="s">
        <v>45</v>
      </c>
      <c r="B22" s="231"/>
      <c r="C22" s="232" t="s">
        <v>30</v>
      </c>
      <c r="D22" s="108"/>
      <c r="E22" s="255"/>
      <c r="F22" s="255"/>
      <c r="G22" s="255"/>
      <c r="H22" s="255"/>
      <c r="I22" s="255"/>
      <c r="J22" s="255"/>
      <c r="K22" s="255"/>
      <c r="L22" s="255"/>
      <c r="M22" s="255"/>
      <c r="N22" s="255"/>
      <c r="O22" s="235" t="s">
        <v>30</v>
      </c>
      <c r="P22" s="236">
        <f>(E22*E11)+(F22*F11)+(G22*G11)+(H22*H11)+(I22*I11)+(J22*J11)+(K22*K11)+(L22*L11)+(M22*M11)+(N22*N11)</f>
        <v>0</v>
      </c>
      <c r="Q22" s="237" t="s">
        <v>31</v>
      </c>
      <c r="R22" s="238" t="b">
        <v>0</v>
      </c>
    </row>
    <row r="23" ht="13.5" customHeight="1">
      <c r="A23" s="221"/>
      <c r="B23" s="239" t="s">
        <v>47</v>
      </c>
      <c r="C23" s="232" t="s">
        <v>34</v>
      </c>
      <c r="D23" s="108"/>
      <c r="E23" s="256"/>
      <c r="F23" s="257"/>
      <c r="G23" s="257"/>
      <c r="H23" s="257"/>
      <c r="I23" s="257"/>
      <c r="J23" s="257"/>
      <c r="K23" s="257"/>
      <c r="L23" s="257"/>
      <c r="M23" s="257"/>
      <c r="N23" s="257"/>
      <c r="O23" s="243" t="s">
        <v>35</v>
      </c>
      <c r="P23" s="236">
        <f>(E23*E11)+(F23*F11)+(G23*G11)+(H23*H11)+(I23*I11)+(J23*J11)+(K23*K11)+(L23*L11)+(M23*M11)+(N23*N11)</f>
        <v>0</v>
      </c>
      <c r="Q23" s="237" t="s">
        <v>36</v>
      </c>
      <c r="R23" s="238" t="b">
        <v>0</v>
      </c>
    </row>
    <row r="24" ht="15.0" customHeight="1">
      <c r="A24" s="68"/>
      <c r="B24" s="245" t="str">
        <f>IFS(P24=0,"",B24&lt;&gt;"",B24,TRUE,NOW())</f>
        <v/>
      </c>
      <c r="C24" s="232" t="s">
        <v>37</v>
      </c>
      <c r="D24" s="108"/>
      <c r="E24" s="258"/>
      <c r="F24" s="258"/>
      <c r="G24" s="258"/>
      <c r="H24" s="258"/>
      <c r="I24" s="258"/>
      <c r="J24" s="258"/>
      <c r="K24" s="258"/>
      <c r="L24" s="258"/>
      <c r="M24" s="258"/>
      <c r="N24" s="258"/>
      <c r="O24" s="248" t="s">
        <v>38</v>
      </c>
      <c r="P24" s="249">
        <f>P23-P22</f>
        <v>0</v>
      </c>
      <c r="Q24" s="250" t="s">
        <v>39</v>
      </c>
      <c r="R24" s="238" t="b">
        <v>0</v>
      </c>
    </row>
    <row r="25" ht="13.5" customHeight="1">
      <c r="A25" s="259" t="s">
        <v>48</v>
      </c>
      <c r="B25" s="222" t="s">
        <v>26</v>
      </c>
      <c r="C25" s="223" t="s">
        <v>27</v>
      </c>
      <c r="D25" s="224"/>
      <c r="E25" s="254">
        <f t="shared" ref="E25:N25" si="5">E23-E26</f>
        <v>0</v>
      </c>
      <c r="F25" s="254">
        <f t="shared" si="5"/>
        <v>0</v>
      </c>
      <c r="G25" s="254">
        <f t="shared" si="5"/>
        <v>0</v>
      </c>
      <c r="H25" s="254">
        <f t="shared" si="5"/>
        <v>0</v>
      </c>
      <c r="I25" s="254">
        <f t="shared" si="5"/>
        <v>0</v>
      </c>
      <c r="J25" s="254">
        <f t="shared" si="5"/>
        <v>0</v>
      </c>
      <c r="K25" s="254">
        <f t="shared" si="5"/>
        <v>0</v>
      </c>
      <c r="L25" s="254">
        <f t="shared" si="5"/>
        <v>0</v>
      </c>
      <c r="M25" s="254">
        <f t="shared" si="5"/>
        <v>0</v>
      </c>
      <c r="N25" s="254">
        <f t="shared" si="5"/>
        <v>0</v>
      </c>
      <c r="O25" s="227"/>
      <c r="P25" s="30"/>
      <c r="Q25" s="228" t="s">
        <v>28</v>
      </c>
      <c r="R25" s="229" t="b">
        <v>0</v>
      </c>
    </row>
    <row r="26" ht="13.5" customHeight="1">
      <c r="A26" s="87"/>
      <c r="B26" s="231"/>
      <c r="C26" s="232" t="s">
        <v>30</v>
      </c>
      <c r="D26" s="108"/>
      <c r="E26" s="255"/>
      <c r="F26" s="255"/>
      <c r="G26" s="255"/>
      <c r="H26" s="255"/>
      <c r="I26" s="255"/>
      <c r="J26" s="255"/>
      <c r="K26" s="255"/>
      <c r="L26" s="255"/>
      <c r="M26" s="255"/>
      <c r="N26" s="255"/>
      <c r="O26" s="235" t="s">
        <v>30</v>
      </c>
      <c r="P26" s="236">
        <f>(E26*E11)+(F26*F11)+(G26*G11)+(H26*H11)+(I26*I11)+(J26*J11)+(K26*K11)+(L26*L11)+(M26*M11)+(N26*N11)</f>
        <v>0</v>
      </c>
      <c r="Q26" s="237" t="s">
        <v>31</v>
      </c>
      <c r="R26" s="238" t="b">
        <v>0</v>
      </c>
    </row>
    <row r="27" ht="13.5" customHeight="1">
      <c r="A27" s="68"/>
      <c r="B27" s="239" t="s">
        <v>49</v>
      </c>
      <c r="C27" s="232" t="s">
        <v>34</v>
      </c>
      <c r="D27" s="108"/>
      <c r="E27" s="256"/>
      <c r="F27" s="257"/>
      <c r="G27" s="257"/>
      <c r="H27" s="257"/>
      <c r="I27" s="257"/>
      <c r="J27" s="257"/>
      <c r="K27" s="257"/>
      <c r="L27" s="257"/>
      <c r="M27" s="257"/>
      <c r="N27" s="257"/>
      <c r="O27" s="243" t="s">
        <v>35</v>
      </c>
      <c r="P27" s="236">
        <f>(E27*E11)+(F27*F11)+(G27*G11)+(H27*H11)+(I27*I11)+(J27*J11)+(K27*K11)+(L27*L11)+(M27*M11)+(N27*N11)</f>
        <v>0</v>
      </c>
      <c r="Q27" s="237" t="s">
        <v>36</v>
      </c>
      <c r="R27" s="238" t="b">
        <v>0</v>
      </c>
    </row>
    <row r="28" ht="13.5" customHeight="1">
      <c r="A28" s="80"/>
      <c r="B28" s="245" t="str">
        <f>IFS(P28=0,"",B28&lt;&gt;"",B28,TRUE,NOW())</f>
        <v/>
      </c>
      <c r="C28" s="232" t="s">
        <v>37</v>
      </c>
      <c r="D28" s="108"/>
      <c r="E28" s="258"/>
      <c r="F28" s="258"/>
      <c r="G28" s="258"/>
      <c r="H28" s="258"/>
      <c r="I28" s="258"/>
      <c r="J28" s="258"/>
      <c r="K28" s="258"/>
      <c r="L28" s="258"/>
      <c r="M28" s="258"/>
      <c r="N28" s="258"/>
      <c r="O28" s="248" t="s">
        <v>38</v>
      </c>
      <c r="P28" s="249">
        <f>P27-P26</f>
        <v>0</v>
      </c>
      <c r="Q28" s="250" t="s">
        <v>39</v>
      </c>
      <c r="R28" s="260" t="b">
        <v>0</v>
      </c>
    </row>
    <row r="29" ht="13.5" customHeight="1">
      <c r="A29" s="261" t="s">
        <v>50</v>
      </c>
      <c r="B29" s="209" t="s">
        <v>20</v>
      </c>
      <c r="C29" s="24"/>
      <c r="D29" s="33"/>
      <c r="E29" s="262">
        <f t="shared" ref="E29:N29" si="6">E6</f>
        <v>16</v>
      </c>
      <c r="F29" s="262">
        <f t="shared" si="6"/>
        <v>26</v>
      </c>
      <c r="G29" s="263">
        <f t="shared" si="6"/>
        <v>26</v>
      </c>
      <c r="H29" s="264">
        <f t="shared" si="6"/>
        <v>26</v>
      </c>
      <c r="I29" s="213">
        <f t="shared" si="6"/>
        <v>31</v>
      </c>
      <c r="J29" s="346">
        <f t="shared" si="6"/>
        <v>36</v>
      </c>
      <c r="K29" s="346">
        <f t="shared" si="6"/>
        <v>30</v>
      </c>
      <c r="L29" s="346">
        <f t="shared" si="6"/>
        <v>35</v>
      </c>
      <c r="M29" s="346">
        <f t="shared" si="6"/>
        <v>40</v>
      </c>
      <c r="N29" s="263">
        <f t="shared" si="6"/>
        <v>15</v>
      </c>
      <c r="O29" s="214" t="s">
        <v>21</v>
      </c>
      <c r="P29" s="25"/>
      <c r="Q29" s="215" t="s">
        <v>22</v>
      </c>
      <c r="R29" s="10"/>
    </row>
    <row r="30" ht="13.5" customHeight="1">
      <c r="A30" s="216" t="s">
        <v>23</v>
      </c>
      <c r="B30" s="217" t="s">
        <v>24</v>
      </c>
      <c r="C30" s="218" t="s">
        <v>25</v>
      </c>
      <c r="D30" s="117"/>
      <c r="E30" s="219"/>
      <c r="F30" s="219"/>
      <c r="G30" s="219"/>
      <c r="H30" s="219"/>
      <c r="I30" s="220"/>
      <c r="J30" s="347"/>
      <c r="K30" s="347"/>
      <c r="L30" s="347"/>
      <c r="M30" s="347"/>
      <c r="N30" s="219"/>
      <c r="O30" s="49"/>
      <c r="P30" s="25"/>
      <c r="Q30" s="50"/>
      <c r="R30" s="10"/>
    </row>
    <row r="31" ht="15.0" customHeight="1">
      <c r="A31" s="221"/>
      <c r="B31" s="222" t="s">
        <v>51</v>
      </c>
      <c r="C31" s="223" t="s">
        <v>27</v>
      </c>
      <c r="D31" s="224"/>
      <c r="E31" s="225">
        <f t="shared" ref="E31:N31" si="7">E30-E32</f>
        <v>0</v>
      </c>
      <c r="F31" s="225">
        <f t="shared" si="7"/>
        <v>0</v>
      </c>
      <c r="G31" s="225">
        <f t="shared" si="7"/>
        <v>0</v>
      </c>
      <c r="H31" s="225">
        <f t="shared" si="7"/>
        <v>0</v>
      </c>
      <c r="I31" s="225">
        <f t="shared" si="7"/>
        <v>0</v>
      </c>
      <c r="J31" s="226">
        <f t="shared" si="7"/>
        <v>0</v>
      </c>
      <c r="K31" s="226">
        <f t="shared" si="7"/>
        <v>0</v>
      </c>
      <c r="L31" s="226">
        <f t="shared" si="7"/>
        <v>0</v>
      </c>
      <c r="M31" s="226">
        <f t="shared" si="7"/>
        <v>0</v>
      </c>
      <c r="N31" s="226">
        <f t="shared" si="7"/>
        <v>0</v>
      </c>
      <c r="O31" s="227"/>
      <c r="P31" s="30"/>
      <c r="Q31" s="228" t="s">
        <v>28</v>
      </c>
      <c r="R31" s="229" t="b">
        <v>0</v>
      </c>
    </row>
    <row r="32" ht="13.5" customHeight="1">
      <c r="A32" s="230" t="s">
        <v>29</v>
      </c>
      <c r="B32" s="231"/>
      <c r="C32" s="232" t="s">
        <v>30</v>
      </c>
      <c r="D32" s="108"/>
      <c r="E32" s="233"/>
      <c r="F32" s="233"/>
      <c r="G32" s="233"/>
      <c r="H32" s="233"/>
      <c r="I32" s="234"/>
      <c r="J32" s="234"/>
      <c r="K32" s="234"/>
      <c r="L32" s="234"/>
      <c r="M32" s="234"/>
      <c r="N32" s="233"/>
      <c r="O32" s="235" t="s">
        <v>30</v>
      </c>
      <c r="P32" s="236">
        <f>(E32*E29)+(F32*F29)+(G32*G29)+(H32*H29)+(I32*I29)+(J32*J29)+(K32*K29)+(L32*L29)+(M32*M29)+(N32*N29)</f>
        <v>0</v>
      </c>
      <c r="Q32" s="237" t="s">
        <v>31</v>
      </c>
      <c r="R32" s="238" t="b">
        <v>0</v>
      </c>
    </row>
    <row r="33" ht="13.5" customHeight="1">
      <c r="A33" s="221"/>
      <c r="B33" s="239" t="s">
        <v>33</v>
      </c>
      <c r="C33" s="232" t="s">
        <v>34</v>
      </c>
      <c r="D33" s="108"/>
      <c r="E33" s="240"/>
      <c r="F33" s="241"/>
      <c r="G33" s="241"/>
      <c r="H33" s="241"/>
      <c r="I33" s="242"/>
      <c r="J33" s="242"/>
      <c r="K33" s="242"/>
      <c r="L33" s="242"/>
      <c r="M33" s="242"/>
      <c r="N33" s="241"/>
      <c r="O33" s="243" t="s">
        <v>35</v>
      </c>
      <c r="P33" s="236">
        <f>(E33*E29)+(F33*F29)+(G33*G29)+(H33*H29)+(I33*I29)+(J33*J29)+(K33*K29)+(L33*L29)+(M33*M29)+(N33*N29)</f>
        <v>0</v>
      </c>
      <c r="Q33" s="244" t="s">
        <v>36</v>
      </c>
      <c r="R33" s="238" t="b">
        <v>0</v>
      </c>
    </row>
    <row r="34" ht="13.5" customHeight="1">
      <c r="A34" s="68"/>
      <c r="B34" s="245" t="str">
        <f>IFS(P34=0,"",B34&lt;&gt;"",B34,TRUE,NOW())</f>
        <v/>
      </c>
      <c r="C34" s="232" t="s">
        <v>37</v>
      </c>
      <c r="D34" s="108"/>
      <c r="E34" s="246"/>
      <c r="F34" s="246"/>
      <c r="G34" s="246"/>
      <c r="H34" s="246"/>
      <c r="I34" s="247"/>
      <c r="J34" s="247"/>
      <c r="K34" s="247"/>
      <c r="L34" s="247"/>
      <c r="M34" s="247"/>
      <c r="N34" s="246"/>
      <c r="O34" s="248" t="s">
        <v>38</v>
      </c>
      <c r="P34" s="249">
        <f>P33-P32</f>
        <v>0</v>
      </c>
      <c r="Q34" s="250" t="s">
        <v>39</v>
      </c>
      <c r="R34" s="238" t="b">
        <v>0</v>
      </c>
    </row>
    <row r="35" ht="13.5" customHeight="1">
      <c r="A35" s="230" t="s">
        <v>40</v>
      </c>
      <c r="B35" s="222" t="s">
        <v>51</v>
      </c>
      <c r="C35" s="223" t="s">
        <v>27</v>
      </c>
      <c r="D35" s="224"/>
      <c r="E35" s="225">
        <f t="shared" ref="E35:N35" si="8">E33-E36</f>
        <v>0</v>
      </c>
      <c r="F35" s="225">
        <f t="shared" si="8"/>
        <v>0</v>
      </c>
      <c r="G35" s="225">
        <f t="shared" si="8"/>
        <v>0</v>
      </c>
      <c r="H35" s="225">
        <f t="shared" si="8"/>
        <v>0</v>
      </c>
      <c r="I35" s="225">
        <f t="shared" si="8"/>
        <v>0</v>
      </c>
      <c r="J35" s="226">
        <f t="shared" si="8"/>
        <v>0</v>
      </c>
      <c r="K35" s="226">
        <f t="shared" si="8"/>
        <v>0</v>
      </c>
      <c r="L35" s="226">
        <f t="shared" si="8"/>
        <v>0</v>
      </c>
      <c r="M35" s="226">
        <f t="shared" si="8"/>
        <v>0</v>
      </c>
      <c r="N35" s="226">
        <f t="shared" si="8"/>
        <v>0</v>
      </c>
      <c r="O35" s="227"/>
      <c r="P35" s="30"/>
      <c r="Q35" s="228" t="s">
        <v>28</v>
      </c>
      <c r="R35" s="229" t="b">
        <v>0</v>
      </c>
    </row>
    <row r="36" ht="15.0" customHeight="1">
      <c r="A36" s="221"/>
      <c r="B36" s="231"/>
      <c r="C36" s="232" t="s">
        <v>30</v>
      </c>
      <c r="D36" s="108"/>
      <c r="E36" s="233"/>
      <c r="F36" s="233"/>
      <c r="G36" s="233"/>
      <c r="H36" s="233"/>
      <c r="I36" s="234"/>
      <c r="J36" s="348"/>
      <c r="K36" s="348"/>
      <c r="L36" s="348"/>
      <c r="M36" s="348"/>
      <c r="N36" s="251"/>
      <c r="O36" s="235" t="s">
        <v>30</v>
      </c>
      <c r="P36" s="236">
        <f>(E36*E29)+(F36*F29)+(G36*G29)+(H36*H29)+(I36*I29)+(J36*J29)+(K36*K29)+(L36*L29)+(M36*M29)+(N36*N29)</f>
        <v>0</v>
      </c>
      <c r="Q36" s="237" t="s">
        <v>31</v>
      </c>
      <c r="R36" s="238" t="b">
        <v>0</v>
      </c>
    </row>
    <row r="37" ht="13.5" customHeight="1">
      <c r="A37" s="68"/>
      <c r="B37" s="239" t="s">
        <v>42</v>
      </c>
      <c r="C37" s="232" t="s">
        <v>34</v>
      </c>
      <c r="D37" s="108"/>
      <c r="E37" s="240"/>
      <c r="F37" s="241"/>
      <c r="G37" s="241"/>
      <c r="H37" s="241"/>
      <c r="I37" s="242"/>
      <c r="J37" s="349"/>
      <c r="K37" s="349"/>
      <c r="L37" s="349"/>
      <c r="M37" s="349"/>
      <c r="N37" s="252"/>
      <c r="O37" s="243" t="s">
        <v>35</v>
      </c>
      <c r="P37" s="236">
        <f>(E37*E29)+(F37*F29)+(G37*G29)+(H37*H29)+(I37*I29)+(J37*J29)+(K37*K29)+(L37*L29)+(M37*M29)+(N37*N29)</f>
        <v>0</v>
      </c>
      <c r="Q37" s="237" t="s">
        <v>36</v>
      </c>
      <c r="R37" s="238" t="b">
        <v>0</v>
      </c>
    </row>
    <row r="38" ht="13.5" customHeight="1">
      <c r="A38" s="230" t="s">
        <v>43</v>
      </c>
      <c r="B38" s="245" t="str">
        <f>IFS(P38=0,"",B38&lt;&gt;"",B38,TRUE,NOW())</f>
        <v/>
      </c>
      <c r="C38" s="232" t="s">
        <v>37</v>
      </c>
      <c r="D38" s="108"/>
      <c r="E38" s="246"/>
      <c r="F38" s="246"/>
      <c r="G38" s="246"/>
      <c r="H38" s="246"/>
      <c r="I38" s="247"/>
      <c r="J38" s="350"/>
      <c r="K38" s="350"/>
      <c r="L38" s="350"/>
      <c r="M38" s="350"/>
      <c r="N38" s="253"/>
      <c r="O38" s="248" t="s">
        <v>38</v>
      </c>
      <c r="P38" s="249">
        <f>P37-P36</f>
        <v>0</v>
      </c>
      <c r="Q38" s="250" t="s">
        <v>39</v>
      </c>
      <c r="R38" s="238" t="b">
        <v>0</v>
      </c>
    </row>
    <row r="39" ht="13.5" customHeight="1">
      <c r="A39" s="230"/>
      <c r="B39" s="222" t="s">
        <v>51</v>
      </c>
      <c r="C39" s="223" t="s">
        <v>27</v>
      </c>
      <c r="D39" s="224"/>
      <c r="E39" s="254">
        <f t="shared" ref="E39:N39" si="9">E37-E40</f>
        <v>0</v>
      </c>
      <c r="F39" s="254">
        <f t="shared" si="9"/>
        <v>0</v>
      </c>
      <c r="G39" s="254">
        <f t="shared" si="9"/>
        <v>0</v>
      </c>
      <c r="H39" s="254">
        <f t="shared" si="9"/>
        <v>0</v>
      </c>
      <c r="I39" s="254">
        <f t="shared" si="9"/>
        <v>0</v>
      </c>
      <c r="J39" s="254">
        <f t="shared" si="9"/>
        <v>0</v>
      </c>
      <c r="K39" s="254">
        <f t="shared" si="9"/>
        <v>0</v>
      </c>
      <c r="L39" s="254">
        <f t="shared" si="9"/>
        <v>0</v>
      </c>
      <c r="M39" s="254">
        <f t="shared" si="9"/>
        <v>0</v>
      </c>
      <c r="N39" s="254">
        <f t="shared" si="9"/>
        <v>0</v>
      </c>
      <c r="O39" s="227"/>
      <c r="P39" s="30"/>
      <c r="Q39" s="228" t="s">
        <v>28</v>
      </c>
      <c r="R39" s="229" t="b">
        <v>0</v>
      </c>
    </row>
    <row r="40" ht="13.5" customHeight="1">
      <c r="A40" s="230" t="s">
        <v>45</v>
      </c>
      <c r="B40" s="231"/>
      <c r="C40" s="232" t="s">
        <v>30</v>
      </c>
      <c r="D40" s="108"/>
      <c r="E40" s="255"/>
      <c r="F40" s="255"/>
      <c r="G40" s="255"/>
      <c r="H40" s="255"/>
      <c r="I40" s="255"/>
      <c r="J40" s="255"/>
      <c r="K40" s="255"/>
      <c r="L40" s="255"/>
      <c r="M40" s="255"/>
      <c r="N40" s="255"/>
      <c r="O40" s="235" t="s">
        <v>30</v>
      </c>
      <c r="P40" s="236">
        <f>(E40*E29)+(F40*F29)+(G40*G29)+(H40*H29)+(I40*I29)+(J40*J29)+(K40*K29)+(L40*L29)+(M40*M29)+(N40*N29)</f>
        <v>0</v>
      </c>
      <c r="Q40" s="237" t="s">
        <v>31</v>
      </c>
      <c r="R40" s="238" t="b">
        <v>0</v>
      </c>
    </row>
    <row r="41" ht="15.0" customHeight="1">
      <c r="A41" s="221"/>
      <c r="B41" s="239" t="s">
        <v>47</v>
      </c>
      <c r="C41" s="232" t="s">
        <v>34</v>
      </c>
      <c r="D41" s="108"/>
      <c r="E41" s="256"/>
      <c r="F41" s="257"/>
      <c r="G41" s="257"/>
      <c r="H41" s="257"/>
      <c r="I41" s="257"/>
      <c r="J41" s="257"/>
      <c r="K41" s="257"/>
      <c r="L41" s="257"/>
      <c r="M41" s="257"/>
      <c r="N41" s="257"/>
      <c r="O41" s="243" t="s">
        <v>35</v>
      </c>
      <c r="P41" s="236">
        <f>(E41*E29)+(F41*F29)+(G41*G29)+(H41*H29)+(I41*I29)+(J41*J29)+(K41*K29)+(L41*L29)+(M41*M29)+(N41*N29)</f>
        <v>0</v>
      </c>
      <c r="Q41" s="237" t="s">
        <v>36</v>
      </c>
      <c r="R41" s="238" t="b">
        <v>0</v>
      </c>
    </row>
    <row r="42" ht="13.5" customHeight="1">
      <c r="A42" s="68"/>
      <c r="B42" s="245" t="str">
        <f>IFS(P42=0,"",B42&lt;&gt;"",B42,TRUE,NOW())</f>
        <v/>
      </c>
      <c r="C42" s="232" t="s">
        <v>37</v>
      </c>
      <c r="D42" s="108"/>
      <c r="E42" s="258"/>
      <c r="F42" s="258"/>
      <c r="G42" s="258"/>
      <c r="H42" s="258"/>
      <c r="I42" s="258"/>
      <c r="J42" s="258"/>
      <c r="K42" s="258"/>
      <c r="L42" s="258"/>
      <c r="M42" s="258"/>
      <c r="N42" s="258"/>
      <c r="O42" s="248" t="s">
        <v>38</v>
      </c>
      <c r="P42" s="249">
        <f>P41-P40</f>
        <v>0</v>
      </c>
      <c r="Q42" s="250" t="s">
        <v>39</v>
      </c>
      <c r="R42" s="238" t="b">
        <v>0</v>
      </c>
    </row>
    <row r="43" ht="13.5" customHeight="1">
      <c r="A43" s="259" t="s">
        <v>48</v>
      </c>
      <c r="B43" s="222" t="s">
        <v>51</v>
      </c>
      <c r="C43" s="223" t="s">
        <v>27</v>
      </c>
      <c r="D43" s="224"/>
      <c r="E43" s="254">
        <f t="shared" ref="E43:N43" si="10">E41-E44</f>
        <v>0</v>
      </c>
      <c r="F43" s="254">
        <f t="shared" si="10"/>
        <v>0</v>
      </c>
      <c r="G43" s="254">
        <f t="shared" si="10"/>
        <v>0</v>
      </c>
      <c r="H43" s="254">
        <f t="shared" si="10"/>
        <v>0</v>
      </c>
      <c r="I43" s="254">
        <f t="shared" si="10"/>
        <v>0</v>
      </c>
      <c r="J43" s="254">
        <f t="shared" si="10"/>
        <v>0</v>
      </c>
      <c r="K43" s="254">
        <f t="shared" si="10"/>
        <v>0</v>
      </c>
      <c r="L43" s="254">
        <f t="shared" si="10"/>
        <v>0</v>
      </c>
      <c r="M43" s="254">
        <f t="shared" si="10"/>
        <v>0</v>
      </c>
      <c r="N43" s="254">
        <f t="shared" si="10"/>
        <v>0</v>
      </c>
      <c r="O43" s="227"/>
      <c r="P43" s="30"/>
      <c r="Q43" s="228" t="s">
        <v>28</v>
      </c>
      <c r="R43" s="229" t="b">
        <v>0</v>
      </c>
    </row>
    <row r="44" ht="13.5" customHeight="1">
      <c r="A44" s="87"/>
      <c r="B44" s="231"/>
      <c r="C44" s="232" t="s">
        <v>30</v>
      </c>
      <c r="D44" s="108"/>
      <c r="E44" s="255"/>
      <c r="F44" s="255"/>
      <c r="G44" s="255"/>
      <c r="H44" s="255"/>
      <c r="I44" s="255"/>
      <c r="J44" s="255"/>
      <c r="K44" s="255"/>
      <c r="L44" s="255"/>
      <c r="M44" s="255"/>
      <c r="N44" s="255"/>
      <c r="O44" s="235" t="s">
        <v>30</v>
      </c>
      <c r="P44" s="236">
        <f>(E44*E29)+(F44*F29)+(G44*G29)+(H44*H29)+(I44*I29)+(J44*J29)+(K44*K29)+(L44*L29)+(M44*M29)+(N44*N29)</f>
        <v>0</v>
      </c>
      <c r="Q44" s="237" t="s">
        <v>31</v>
      </c>
      <c r="R44" s="238" t="b">
        <v>0</v>
      </c>
    </row>
    <row r="45" ht="13.5" customHeight="1">
      <c r="A45" s="68"/>
      <c r="B45" s="239" t="s">
        <v>49</v>
      </c>
      <c r="C45" s="232" t="s">
        <v>34</v>
      </c>
      <c r="D45" s="108"/>
      <c r="E45" s="256"/>
      <c r="F45" s="257"/>
      <c r="G45" s="257"/>
      <c r="H45" s="257"/>
      <c r="I45" s="257"/>
      <c r="J45" s="257"/>
      <c r="K45" s="257"/>
      <c r="L45" s="257"/>
      <c r="M45" s="257"/>
      <c r="N45" s="257"/>
      <c r="O45" s="243" t="s">
        <v>35</v>
      </c>
      <c r="P45" s="236">
        <f>(E45*E29)+(F45*F29)+(G45*G29)+(H45*H29)+(I45*I29)+(J45*J29)+(K45*K29)+(L45*L29)+(M45*M29)+(N45*N29)</f>
        <v>0</v>
      </c>
      <c r="Q45" s="237" t="s">
        <v>36</v>
      </c>
      <c r="R45" s="238" t="b">
        <v>0</v>
      </c>
    </row>
    <row r="46" ht="15.0" customHeight="1">
      <c r="A46" s="80"/>
      <c r="B46" s="245" t="str">
        <f>IFS(P46=0,"",B46&lt;&gt;"",B46,TRUE,NOW())</f>
        <v/>
      </c>
      <c r="C46" s="265" t="s">
        <v>37</v>
      </c>
      <c r="D46" s="117"/>
      <c r="E46" s="258"/>
      <c r="F46" s="258"/>
      <c r="G46" s="258"/>
      <c r="H46" s="258"/>
      <c r="I46" s="258"/>
      <c r="J46" s="258"/>
      <c r="K46" s="258"/>
      <c r="L46" s="258"/>
      <c r="M46" s="258"/>
      <c r="N46" s="258"/>
      <c r="O46" s="248" t="s">
        <v>38</v>
      </c>
      <c r="P46" s="249">
        <f>P45-P44</f>
        <v>0</v>
      </c>
      <c r="Q46" s="250" t="s">
        <v>39</v>
      </c>
      <c r="R46" s="260" t="b">
        <v>0</v>
      </c>
    </row>
    <row r="47" ht="13.5" customHeight="1">
      <c r="A47" s="261" t="s">
        <v>56</v>
      </c>
      <c r="B47" s="209" t="s">
        <v>20</v>
      </c>
      <c r="C47" s="24"/>
      <c r="D47" s="33"/>
      <c r="E47" s="262">
        <f t="shared" ref="E47:N47" si="11">E6</f>
        <v>16</v>
      </c>
      <c r="F47" s="262">
        <f t="shared" si="11"/>
        <v>26</v>
      </c>
      <c r="G47" s="263">
        <f t="shared" si="11"/>
        <v>26</v>
      </c>
      <c r="H47" s="264">
        <f t="shared" si="11"/>
        <v>26</v>
      </c>
      <c r="I47" s="213">
        <f t="shared" si="11"/>
        <v>31</v>
      </c>
      <c r="J47" s="346">
        <f t="shared" si="11"/>
        <v>36</v>
      </c>
      <c r="K47" s="346">
        <f t="shared" si="11"/>
        <v>30</v>
      </c>
      <c r="L47" s="346">
        <f t="shared" si="11"/>
        <v>35</v>
      </c>
      <c r="M47" s="346">
        <f t="shared" si="11"/>
        <v>40</v>
      </c>
      <c r="N47" s="263">
        <f t="shared" si="11"/>
        <v>15</v>
      </c>
      <c r="O47" s="214" t="s">
        <v>21</v>
      </c>
      <c r="P47" s="25"/>
      <c r="Q47" s="215" t="s">
        <v>22</v>
      </c>
      <c r="R47" s="10"/>
    </row>
    <row r="48" ht="13.5" customHeight="1">
      <c r="A48" s="216" t="s">
        <v>23</v>
      </c>
      <c r="B48" s="217" t="s">
        <v>24</v>
      </c>
      <c r="C48" s="218" t="s">
        <v>25</v>
      </c>
      <c r="D48" s="117"/>
      <c r="E48" s="219"/>
      <c r="F48" s="219"/>
      <c r="G48" s="219"/>
      <c r="H48" s="219"/>
      <c r="I48" s="220"/>
      <c r="J48" s="347"/>
      <c r="K48" s="347"/>
      <c r="L48" s="347"/>
      <c r="M48" s="347"/>
      <c r="N48" s="219"/>
      <c r="O48" s="49"/>
      <c r="P48" s="25"/>
      <c r="Q48" s="50"/>
      <c r="R48" s="10"/>
    </row>
    <row r="49" ht="13.5" customHeight="1">
      <c r="A49" s="221"/>
      <c r="B49" s="222" t="s">
        <v>57</v>
      </c>
      <c r="C49" s="223" t="s">
        <v>27</v>
      </c>
      <c r="D49" s="224"/>
      <c r="E49" s="225">
        <f t="shared" ref="E49:N49" si="12">E48-E50</f>
        <v>0</v>
      </c>
      <c r="F49" s="225">
        <f t="shared" si="12"/>
        <v>0</v>
      </c>
      <c r="G49" s="225">
        <f t="shared" si="12"/>
        <v>0</v>
      </c>
      <c r="H49" s="225">
        <f t="shared" si="12"/>
        <v>0</v>
      </c>
      <c r="I49" s="225">
        <f t="shared" si="12"/>
        <v>0</v>
      </c>
      <c r="J49" s="226">
        <f t="shared" si="12"/>
        <v>0</v>
      </c>
      <c r="K49" s="226">
        <f t="shared" si="12"/>
        <v>0</v>
      </c>
      <c r="L49" s="226">
        <f t="shared" si="12"/>
        <v>0</v>
      </c>
      <c r="M49" s="226">
        <f t="shared" si="12"/>
        <v>0</v>
      </c>
      <c r="N49" s="226">
        <f t="shared" si="12"/>
        <v>0</v>
      </c>
      <c r="O49" s="227"/>
      <c r="P49" s="30"/>
      <c r="Q49" s="228" t="s">
        <v>28</v>
      </c>
      <c r="R49" s="229" t="b">
        <v>0</v>
      </c>
    </row>
    <row r="50" ht="13.5" customHeight="1">
      <c r="A50" s="230" t="s">
        <v>29</v>
      </c>
      <c r="B50" s="231"/>
      <c r="C50" s="232" t="s">
        <v>30</v>
      </c>
      <c r="D50" s="108"/>
      <c r="E50" s="233"/>
      <c r="F50" s="233"/>
      <c r="G50" s="233"/>
      <c r="H50" s="233"/>
      <c r="I50" s="234"/>
      <c r="J50" s="234"/>
      <c r="K50" s="234"/>
      <c r="L50" s="234"/>
      <c r="M50" s="234"/>
      <c r="N50" s="233"/>
      <c r="O50" s="235" t="s">
        <v>30</v>
      </c>
      <c r="P50" s="236">
        <f>(E50*E47)+(F50*F47)+(G50*G47)+(H50*H47)+(I50*I47)+(J50*J47)+(K50*K47)+(L50*L47)+(M50*M47)+(N50*N47)</f>
        <v>0</v>
      </c>
      <c r="Q50" s="237" t="s">
        <v>31</v>
      </c>
      <c r="R50" s="238" t="b">
        <v>0</v>
      </c>
    </row>
    <row r="51" ht="13.5" customHeight="1">
      <c r="A51" s="221"/>
      <c r="B51" s="239" t="s">
        <v>33</v>
      </c>
      <c r="C51" s="232" t="s">
        <v>34</v>
      </c>
      <c r="D51" s="108"/>
      <c r="E51" s="240"/>
      <c r="F51" s="241"/>
      <c r="G51" s="241"/>
      <c r="H51" s="241"/>
      <c r="I51" s="242"/>
      <c r="J51" s="242"/>
      <c r="K51" s="242"/>
      <c r="L51" s="242"/>
      <c r="M51" s="242"/>
      <c r="N51" s="241"/>
      <c r="O51" s="243" t="s">
        <v>35</v>
      </c>
      <c r="P51" s="236">
        <f>(E51*E47)+(F51*F47)+(G51*G47)+(H51*H47)+(I51*I47)+(J51*J47)+(K51*K47)+(L51*L47)+(M51*M47)+(N51*N47)</f>
        <v>0</v>
      </c>
      <c r="Q51" s="244" t="s">
        <v>36</v>
      </c>
      <c r="R51" s="238" t="b">
        <v>0</v>
      </c>
    </row>
    <row r="52" ht="13.5" customHeight="1">
      <c r="A52" s="68"/>
      <c r="B52" s="245" t="str">
        <f>IFS(P52=0,"",B52&lt;&gt;"",B52,TRUE,NOW())</f>
        <v/>
      </c>
      <c r="C52" s="232" t="s">
        <v>37</v>
      </c>
      <c r="D52" s="108"/>
      <c r="E52" s="246"/>
      <c r="F52" s="246"/>
      <c r="G52" s="246"/>
      <c r="H52" s="246"/>
      <c r="I52" s="247"/>
      <c r="J52" s="247"/>
      <c r="K52" s="247"/>
      <c r="L52" s="247"/>
      <c r="M52" s="247"/>
      <c r="N52" s="246"/>
      <c r="O52" s="248" t="s">
        <v>38</v>
      </c>
      <c r="P52" s="249">
        <f>P51-P50</f>
        <v>0</v>
      </c>
      <c r="Q52" s="250" t="s">
        <v>39</v>
      </c>
      <c r="R52" s="238" t="b">
        <v>0</v>
      </c>
    </row>
    <row r="53" ht="15.0" customHeight="1">
      <c r="A53" s="230" t="s">
        <v>40</v>
      </c>
      <c r="B53" s="222" t="s">
        <v>57</v>
      </c>
      <c r="C53" s="223" t="s">
        <v>27</v>
      </c>
      <c r="D53" s="224"/>
      <c r="E53" s="225">
        <f t="shared" ref="E53:N53" si="13">E51-E54</f>
        <v>0</v>
      </c>
      <c r="F53" s="225">
        <f t="shared" si="13"/>
        <v>0</v>
      </c>
      <c r="G53" s="225">
        <f t="shared" si="13"/>
        <v>0</v>
      </c>
      <c r="H53" s="225">
        <f t="shared" si="13"/>
        <v>0</v>
      </c>
      <c r="I53" s="225">
        <f t="shared" si="13"/>
        <v>0</v>
      </c>
      <c r="J53" s="226">
        <f t="shared" si="13"/>
        <v>0</v>
      </c>
      <c r="K53" s="226">
        <f t="shared" si="13"/>
        <v>0</v>
      </c>
      <c r="L53" s="226">
        <f t="shared" si="13"/>
        <v>0</v>
      </c>
      <c r="M53" s="226">
        <f t="shared" si="13"/>
        <v>0</v>
      </c>
      <c r="N53" s="226">
        <f t="shared" si="13"/>
        <v>0</v>
      </c>
      <c r="O53" s="227"/>
      <c r="P53" s="30"/>
      <c r="Q53" s="228" t="s">
        <v>28</v>
      </c>
      <c r="R53" s="229" t="b">
        <v>0</v>
      </c>
    </row>
    <row r="54" ht="13.5" customHeight="1">
      <c r="A54" s="221"/>
      <c r="B54" s="231"/>
      <c r="C54" s="232" t="s">
        <v>30</v>
      </c>
      <c r="D54" s="108"/>
      <c r="E54" s="233"/>
      <c r="F54" s="233"/>
      <c r="G54" s="233"/>
      <c r="H54" s="233"/>
      <c r="I54" s="234"/>
      <c r="J54" s="348"/>
      <c r="K54" s="348"/>
      <c r="L54" s="348"/>
      <c r="M54" s="348"/>
      <c r="N54" s="251"/>
      <c r="O54" s="235" t="s">
        <v>30</v>
      </c>
      <c r="P54" s="236">
        <f>(E54*E47)+(F54*F47)+(G54*G47)+(H54*H47)+(I54*I47)+(J54*J47)+(K54*K47)+(L54*L47)+(M54*M47)+(N54*N47)</f>
        <v>0</v>
      </c>
      <c r="Q54" s="237" t="s">
        <v>31</v>
      </c>
      <c r="R54" s="238" t="b">
        <v>0</v>
      </c>
    </row>
    <row r="55" ht="13.5" customHeight="1">
      <c r="A55" s="68"/>
      <c r="B55" s="239" t="s">
        <v>42</v>
      </c>
      <c r="C55" s="232" t="s">
        <v>34</v>
      </c>
      <c r="D55" s="108"/>
      <c r="E55" s="240"/>
      <c r="F55" s="241"/>
      <c r="G55" s="241"/>
      <c r="H55" s="241"/>
      <c r="I55" s="242"/>
      <c r="J55" s="349"/>
      <c r="K55" s="349"/>
      <c r="L55" s="349"/>
      <c r="M55" s="349"/>
      <c r="N55" s="252"/>
      <c r="O55" s="243" t="s">
        <v>35</v>
      </c>
      <c r="P55" s="236">
        <f>(E55*E47)+(F55*F47)+(G55*G47)+(H55*H47)+(I55*I47)+(J55*J47)+(K55*K47)+(L55*L47)+(M55*M47)+(N55*N47)</f>
        <v>0</v>
      </c>
      <c r="Q55" s="237" t="s">
        <v>36</v>
      </c>
      <c r="R55" s="238" t="b">
        <v>0</v>
      </c>
    </row>
    <row r="56" ht="13.5" customHeight="1">
      <c r="A56" s="230" t="s">
        <v>43</v>
      </c>
      <c r="B56" s="245" t="str">
        <f>IFS(P56=0,"",B56&lt;&gt;"",B56,TRUE,NOW())</f>
        <v/>
      </c>
      <c r="C56" s="232" t="s">
        <v>37</v>
      </c>
      <c r="D56" s="108"/>
      <c r="E56" s="246"/>
      <c r="F56" s="246"/>
      <c r="G56" s="246"/>
      <c r="H56" s="246"/>
      <c r="I56" s="247"/>
      <c r="J56" s="350"/>
      <c r="K56" s="350"/>
      <c r="L56" s="350"/>
      <c r="M56" s="350"/>
      <c r="N56" s="253"/>
      <c r="O56" s="248" t="s">
        <v>38</v>
      </c>
      <c r="P56" s="249">
        <f>P55-P54</f>
        <v>0</v>
      </c>
      <c r="Q56" s="250" t="s">
        <v>39</v>
      </c>
      <c r="R56" s="238" t="b">
        <v>0</v>
      </c>
    </row>
    <row r="57" ht="13.5" customHeight="1">
      <c r="A57" s="230"/>
      <c r="B57" s="222" t="s">
        <v>57</v>
      </c>
      <c r="C57" s="223" t="s">
        <v>27</v>
      </c>
      <c r="D57" s="224"/>
      <c r="E57" s="254">
        <f t="shared" ref="E57:N57" si="14">E55-E58</f>
        <v>0</v>
      </c>
      <c r="F57" s="254">
        <f t="shared" si="14"/>
        <v>0</v>
      </c>
      <c r="G57" s="254">
        <f t="shared" si="14"/>
        <v>0</v>
      </c>
      <c r="H57" s="254">
        <f t="shared" si="14"/>
        <v>0</v>
      </c>
      <c r="I57" s="254">
        <f t="shared" si="14"/>
        <v>0</v>
      </c>
      <c r="J57" s="254">
        <f t="shared" si="14"/>
        <v>0</v>
      </c>
      <c r="K57" s="254">
        <f t="shared" si="14"/>
        <v>0</v>
      </c>
      <c r="L57" s="254">
        <f t="shared" si="14"/>
        <v>0</v>
      </c>
      <c r="M57" s="254">
        <f t="shared" si="14"/>
        <v>0</v>
      </c>
      <c r="N57" s="254">
        <f t="shared" si="14"/>
        <v>0</v>
      </c>
      <c r="O57" s="227"/>
      <c r="P57" s="30"/>
      <c r="Q57" s="228" t="s">
        <v>28</v>
      </c>
      <c r="R57" s="229" t="b">
        <v>0</v>
      </c>
    </row>
    <row r="58" ht="15.0" customHeight="1">
      <c r="A58" s="230" t="s">
        <v>45</v>
      </c>
      <c r="B58" s="231"/>
      <c r="C58" s="232" t="s">
        <v>30</v>
      </c>
      <c r="D58" s="108"/>
      <c r="E58" s="255"/>
      <c r="F58" s="255"/>
      <c r="G58" s="255"/>
      <c r="H58" s="255"/>
      <c r="I58" s="255"/>
      <c r="J58" s="255"/>
      <c r="K58" s="255"/>
      <c r="L58" s="255"/>
      <c r="M58" s="255"/>
      <c r="N58" s="255"/>
      <c r="O58" s="235" t="s">
        <v>30</v>
      </c>
      <c r="P58" s="236">
        <f>(E58*E47)+(F58*F47)+(G58*G47)+(H58*H47)+(I58*I47)+(J58*J47)+(K58*K47)+(L58*L47)+(M58*M47)+(N58*N47)</f>
        <v>0</v>
      </c>
      <c r="Q58" s="237" t="s">
        <v>31</v>
      </c>
      <c r="R58" s="238" t="b">
        <v>0</v>
      </c>
    </row>
    <row r="59" ht="13.5" customHeight="1">
      <c r="A59" s="221"/>
      <c r="B59" s="239" t="s">
        <v>47</v>
      </c>
      <c r="C59" s="232" t="s">
        <v>34</v>
      </c>
      <c r="D59" s="108"/>
      <c r="E59" s="256"/>
      <c r="F59" s="257"/>
      <c r="G59" s="257"/>
      <c r="H59" s="257"/>
      <c r="I59" s="257"/>
      <c r="J59" s="257"/>
      <c r="K59" s="257"/>
      <c r="L59" s="257"/>
      <c r="M59" s="257"/>
      <c r="N59" s="257"/>
      <c r="O59" s="243" t="s">
        <v>35</v>
      </c>
      <c r="P59" s="236">
        <f>(E59*E47)+(F59*F47)+(G59*G47)+(H59*H47)+(I59*I47)+(J59*J47)+(K59*K47)+(L59*L47)+(M59*M47)+(N59*N47)</f>
        <v>0</v>
      </c>
      <c r="Q59" s="237" t="s">
        <v>36</v>
      </c>
      <c r="R59" s="238" t="b">
        <v>0</v>
      </c>
    </row>
    <row r="60" ht="13.5" customHeight="1">
      <c r="A60" s="68"/>
      <c r="B60" s="245" t="str">
        <f>IFS(P60=0,"",B60&lt;&gt;"",B60,TRUE,NOW())</f>
        <v/>
      </c>
      <c r="C60" s="232" t="s">
        <v>37</v>
      </c>
      <c r="D60" s="108"/>
      <c r="E60" s="258"/>
      <c r="F60" s="258"/>
      <c r="G60" s="258"/>
      <c r="H60" s="258"/>
      <c r="I60" s="258"/>
      <c r="J60" s="258"/>
      <c r="K60" s="258"/>
      <c r="L60" s="258"/>
      <c r="M60" s="258"/>
      <c r="N60" s="258"/>
      <c r="O60" s="248" t="s">
        <v>38</v>
      </c>
      <c r="P60" s="249">
        <f>P59-P58</f>
        <v>0</v>
      </c>
      <c r="Q60" s="250" t="s">
        <v>39</v>
      </c>
      <c r="R60" s="238" t="b">
        <v>0</v>
      </c>
    </row>
    <row r="61" ht="13.5" customHeight="1">
      <c r="A61" s="259" t="s">
        <v>48</v>
      </c>
      <c r="B61" s="222" t="s">
        <v>57</v>
      </c>
      <c r="C61" s="223" t="s">
        <v>27</v>
      </c>
      <c r="D61" s="224"/>
      <c r="E61" s="254">
        <f t="shared" ref="E61:N61" si="15">E59-E62</f>
        <v>0</v>
      </c>
      <c r="F61" s="254">
        <f t="shared" si="15"/>
        <v>0</v>
      </c>
      <c r="G61" s="254">
        <f t="shared" si="15"/>
        <v>0</v>
      </c>
      <c r="H61" s="254">
        <f t="shared" si="15"/>
        <v>0</v>
      </c>
      <c r="I61" s="254">
        <f t="shared" si="15"/>
        <v>0</v>
      </c>
      <c r="J61" s="254">
        <f t="shared" si="15"/>
        <v>0</v>
      </c>
      <c r="K61" s="254">
        <f t="shared" si="15"/>
        <v>0</v>
      </c>
      <c r="L61" s="254">
        <f t="shared" si="15"/>
        <v>0</v>
      </c>
      <c r="M61" s="254">
        <f t="shared" si="15"/>
        <v>0</v>
      </c>
      <c r="N61" s="254">
        <f t="shared" si="15"/>
        <v>0</v>
      </c>
      <c r="O61" s="227"/>
      <c r="P61" s="30"/>
      <c r="Q61" s="228" t="s">
        <v>28</v>
      </c>
      <c r="R61" s="229" t="b">
        <v>0</v>
      </c>
    </row>
    <row r="62" ht="13.5" customHeight="1">
      <c r="A62" s="87"/>
      <c r="B62" s="231"/>
      <c r="C62" s="232" t="s">
        <v>30</v>
      </c>
      <c r="D62" s="108"/>
      <c r="E62" s="255"/>
      <c r="F62" s="255"/>
      <c r="G62" s="255"/>
      <c r="H62" s="255"/>
      <c r="I62" s="255"/>
      <c r="J62" s="255"/>
      <c r="K62" s="255"/>
      <c r="L62" s="255"/>
      <c r="M62" s="255"/>
      <c r="N62" s="255"/>
      <c r="O62" s="235" t="s">
        <v>30</v>
      </c>
      <c r="P62" s="236">
        <f>(E62*E47)+(F62*F47)+(G62*G47)+(H62*H47)+(I62*I47)+(J62*J47)+(K62*K47)+(L62*L47)+(M62*M47)+(N62*N47)</f>
        <v>0</v>
      </c>
      <c r="Q62" s="237" t="s">
        <v>31</v>
      </c>
      <c r="R62" s="238" t="b">
        <v>0</v>
      </c>
    </row>
    <row r="63" ht="15.0" customHeight="1">
      <c r="A63" s="68"/>
      <c r="B63" s="239" t="s">
        <v>49</v>
      </c>
      <c r="C63" s="232" t="s">
        <v>34</v>
      </c>
      <c r="D63" s="108"/>
      <c r="E63" s="256"/>
      <c r="F63" s="257"/>
      <c r="G63" s="257"/>
      <c r="H63" s="257"/>
      <c r="I63" s="257"/>
      <c r="J63" s="257"/>
      <c r="K63" s="257"/>
      <c r="L63" s="257"/>
      <c r="M63" s="257"/>
      <c r="N63" s="257"/>
      <c r="O63" s="243" t="s">
        <v>35</v>
      </c>
      <c r="P63" s="236">
        <f>(E63*E47)+(F63*F47)+(G63*G47)+(H63*H47)+(I63*I47)+(J63*J47)+(K63*K47)+(L63*L47)+(M63*M47)+(N63*N47)</f>
        <v>0</v>
      </c>
      <c r="Q63" s="237" t="s">
        <v>36</v>
      </c>
      <c r="R63" s="238" t="b">
        <v>0</v>
      </c>
    </row>
    <row r="64" ht="13.5" customHeight="1">
      <c r="A64" s="80"/>
      <c r="B64" s="245" t="str">
        <f>IFS(P64=0,"",B64&lt;&gt;"",B64,TRUE,NOW())</f>
        <v/>
      </c>
      <c r="C64" s="232" t="s">
        <v>37</v>
      </c>
      <c r="D64" s="108"/>
      <c r="E64" s="258"/>
      <c r="F64" s="258"/>
      <c r="G64" s="258"/>
      <c r="H64" s="258"/>
      <c r="I64" s="258"/>
      <c r="J64" s="258"/>
      <c r="K64" s="258"/>
      <c r="L64" s="258"/>
      <c r="M64" s="258"/>
      <c r="N64" s="258"/>
      <c r="O64" s="248" t="s">
        <v>38</v>
      </c>
      <c r="P64" s="249">
        <f>P63-P62</f>
        <v>0</v>
      </c>
      <c r="Q64" s="250" t="s">
        <v>39</v>
      </c>
      <c r="R64" s="260" t="b">
        <v>0</v>
      </c>
    </row>
    <row r="65" ht="13.5" customHeight="1">
      <c r="A65" s="261" t="s">
        <v>62</v>
      </c>
      <c r="B65" s="209" t="s">
        <v>20</v>
      </c>
      <c r="C65" s="24"/>
      <c r="D65" s="33"/>
      <c r="E65" s="262">
        <f t="shared" ref="E65:N65" si="16">E6</f>
        <v>16</v>
      </c>
      <c r="F65" s="262">
        <f t="shared" si="16"/>
        <v>26</v>
      </c>
      <c r="G65" s="263">
        <f t="shared" si="16"/>
        <v>26</v>
      </c>
      <c r="H65" s="264">
        <f t="shared" si="16"/>
        <v>26</v>
      </c>
      <c r="I65" s="213">
        <f t="shared" si="16"/>
        <v>31</v>
      </c>
      <c r="J65" s="346">
        <f t="shared" si="16"/>
        <v>36</v>
      </c>
      <c r="K65" s="346">
        <f t="shared" si="16"/>
        <v>30</v>
      </c>
      <c r="L65" s="346">
        <f t="shared" si="16"/>
        <v>35</v>
      </c>
      <c r="M65" s="346">
        <f t="shared" si="16"/>
        <v>40</v>
      </c>
      <c r="N65" s="263">
        <f t="shared" si="16"/>
        <v>15</v>
      </c>
      <c r="O65" s="214" t="s">
        <v>21</v>
      </c>
      <c r="P65" s="25"/>
      <c r="Q65" s="215" t="s">
        <v>22</v>
      </c>
      <c r="R65" s="10"/>
    </row>
    <row r="66" ht="13.5" customHeight="1">
      <c r="A66" s="216" t="s">
        <v>23</v>
      </c>
      <c r="B66" s="217" t="s">
        <v>24</v>
      </c>
      <c r="C66" s="218" t="s">
        <v>25</v>
      </c>
      <c r="D66" s="117"/>
      <c r="E66" s="219"/>
      <c r="F66" s="219"/>
      <c r="G66" s="219"/>
      <c r="H66" s="219"/>
      <c r="I66" s="220"/>
      <c r="J66" s="347"/>
      <c r="K66" s="347"/>
      <c r="L66" s="347"/>
      <c r="M66" s="347"/>
      <c r="N66" s="219"/>
      <c r="O66" s="49"/>
      <c r="P66" s="25"/>
      <c r="Q66" s="50"/>
      <c r="R66" s="10"/>
    </row>
    <row r="67" ht="13.5" customHeight="1">
      <c r="A67" s="221"/>
      <c r="B67" s="222" t="s">
        <v>63</v>
      </c>
      <c r="C67" s="223" t="s">
        <v>27</v>
      </c>
      <c r="D67" s="224"/>
      <c r="E67" s="225">
        <f t="shared" ref="E67:N67" si="17">E66-E68</f>
        <v>0</v>
      </c>
      <c r="F67" s="225">
        <f t="shared" si="17"/>
        <v>0</v>
      </c>
      <c r="G67" s="225">
        <f t="shared" si="17"/>
        <v>0</v>
      </c>
      <c r="H67" s="225">
        <f t="shared" si="17"/>
        <v>0</v>
      </c>
      <c r="I67" s="225">
        <f t="shared" si="17"/>
        <v>0</v>
      </c>
      <c r="J67" s="226">
        <f t="shared" si="17"/>
        <v>0</v>
      </c>
      <c r="K67" s="226">
        <f t="shared" si="17"/>
        <v>0</v>
      </c>
      <c r="L67" s="226">
        <f t="shared" si="17"/>
        <v>0</v>
      </c>
      <c r="M67" s="226">
        <f t="shared" si="17"/>
        <v>0</v>
      </c>
      <c r="N67" s="226">
        <f t="shared" si="17"/>
        <v>0</v>
      </c>
      <c r="O67" s="227"/>
      <c r="P67" s="30"/>
      <c r="Q67" s="228" t="s">
        <v>28</v>
      </c>
      <c r="R67" s="229" t="b">
        <v>0</v>
      </c>
    </row>
    <row r="68" ht="15.0" customHeight="1">
      <c r="A68" s="230" t="s">
        <v>29</v>
      </c>
      <c r="B68" s="231"/>
      <c r="C68" s="232" t="s">
        <v>30</v>
      </c>
      <c r="D68" s="108"/>
      <c r="E68" s="233"/>
      <c r="F68" s="233"/>
      <c r="G68" s="233"/>
      <c r="H68" s="233"/>
      <c r="I68" s="234"/>
      <c r="J68" s="234"/>
      <c r="K68" s="234"/>
      <c r="L68" s="234"/>
      <c r="M68" s="234"/>
      <c r="N68" s="233"/>
      <c r="O68" s="235" t="s">
        <v>30</v>
      </c>
      <c r="P68" s="236">
        <f>(E68*E65)+(F68*F65)+(G68*G65)+(H68*H65)+(I68*I65)+(J68*J65)+(K68*K65)+(L68*L65)+(M68*M65)+(N68*N65)</f>
        <v>0</v>
      </c>
      <c r="Q68" s="237" t="s">
        <v>31</v>
      </c>
      <c r="R68" s="238" t="b">
        <v>0</v>
      </c>
    </row>
    <row r="69" ht="13.5" customHeight="1">
      <c r="A69" s="221"/>
      <c r="B69" s="239" t="s">
        <v>33</v>
      </c>
      <c r="C69" s="232" t="s">
        <v>34</v>
      </c>
      <c r="D69" s="108"/>
      <c r="E69" s="240"/>
      <c r="F69" s="241"/>
      <c r="G69" s="241"/>
      <c r="H69" s="241"/>
      <c r="I69" s="242"/>
      <c r="J69" s="242"/>
      <c r="K69" s="242"/>
      <c r="L69" s="242"/>
      <c r="M69" s="242"/>
      <c r="N69" s="241"/>
      <c r="O69" s="243" t="s">
        <v>35</v>
      </c>
      <c r="P69" s="236">
        <f>(E69*E65)+(F69*F65)+(G69*G65)+(H69*H65)+(I69*I65)+(J69*J65)+(K69*K65)+(L69*L65)+(M69*M65)+(N69*N65)</f>
        <v>0</v>
      </c>
      <c r="Q69" s="244" t="s">
        <v>36</v>
      </c>
      <c r="R69" s="238" t="b">
        <v>0</v>
      </c>
    </row>
    <row r="70" ht="13.5" customHeight="1">
      <c r="A70" s="68"/>
      <c r="B70" s="245" t="str">
        <f>IFS(P70=0,"",B70&lt;&gt;"",B70,TRUE,NOW())</f>
        <v/>
      </c>
      <c r="C70" s="232" t="s">
        <v>37</v>
      </c>
      <c r="D70" s="108"/>
      <c r="E70" s="246"/>
      <c r="F70" s="246"/>
      <c r="G70" s="246"/>
      <c r="H70" s="246"/>
      <c r="I70" s="247"/>
      <c r="J70" s="247"/>
      <c r="K70" s="247"/>
      <c r="L70" s="247"/>
      <c r="M70" s="247"/>
      <c r="N70" s="246"/>
      <c r="O70" s="248" t="s">
        <v>38</v>
      </c>
      <c r="P70" s="249">
        <f>P69-P68</f>
        <v>0</v>
      </c>
      <c r="Q70" s="250" t="s">
        <v>39</v>
      </c>
      <c r="R70" s="238" t="b">
        <v>0</v>
      </c>
    </row>
    <row r="71" ht="13.5" customHeight="1">
      <c r="A71" s="230" t="s">
        <v>40</v>
      </c>
      <c r="B71" s="222" t="s">
        <v>63</v>
      </c>
      <c r="C71" s="223" t="s">
        <v>27</v>
      </c>
      <c r="D71" s="224"/>
      <c r="E71" s="225">
        <f t="shared" ref="E71:N71" si="18">E69-E72</f>
        <v>0</v>
      </c>
      <c r="F71" s="225">
        <f t="shared" si="18"/>
        <v>0</v>
      </c>
      <c r="G71" s="225">
        <f t="shared" si="18"/>
        <v>0</v>
      </c>
      <c r="H71" s="225">
        <f t="shared" si="18"/>
        <v>0</v>
      </c>
      <c r="I71" s="225">
        <f t="shared" si="18"/>
        <v>0</v>
      </c>
      <c r="J71" s="226">
        <f t="shared" si="18"/>
        <v>0</v>
      </c>
      <c r="K71" s="226">
        <f t="shared" si="18"/>
        <v>0</v>
      </c>
      <c r="L71" s="226">
        <f t="shared" si="18"/>
        <v>0</v>
      </c>
      <c r="M71" s="226">
        <f t="shared" si="18"/>
        <v>0</v>
      </c>
      <c r="N71" s="226">
        <f t="shared" si="18"/>
        <v>0</v>
      </c>
      <c r="O71" s="227"/>
      <c r="P71" s="30"/>
      <c r="Q71" s="228" t="s">
        <v>28</v>
      </c>
      <c r="R71" s="229" t="b">
        <v>0</v>
      </c>
    </row>
    <row r="72" ht="13.5" customHeight="1">
      <c r="A72" s="221"/>
      <c r="B72" s="231"/>
      <c r="C72" s="232" t="s">
        <v>30</v>
      </c>
      <c r="D72" s="108"/>
      <c r="E72" s="233"/>
      <c r="F72" s="233"/>
      <c r="G72" s="233"/>
      <c r="H72" s="233"/>
      <c r="I72" s="234"/>
      <c r="J72" s="348"/>
      <c r="K72" s="348"/>
      <c r="L72" s="348"/>
      <c r="M72" s="348"/>
      <c r="N72" s="251"/>
      <c r="O72" s="235" t="s">
        <v>30</v>
      </c>
      <c r="P72" s="236">
        <f>(E72*E65)+(F72*F65)+(G72*G65)+(H72*H65)+(I72*I65)+(J72*J65)+(K72*K65)+(L72*L65)+(M72*M65)+(N72*N65)</f>
        <v>0</v>
      </c>
      <c r="Q72" s="237" t="s">
        <v>31</v>
      </c>
      <c r="R72" s="238" t="b">
        <v>0</v>
      </c>
    </row>
    <row r="73" ht="13.5" customHeight="1">
      <c r="A73" s="68"/>
      <c r="B73" s="239" t="s">
        <v>42</v>
      </c>
      <c r="C73" s="232" t="s">
        <v>34</v>
      </c>
      <c r="D73" s="108"/>
      <c r="E73" s="240"/>
      <c r="F73" s="241"/>
      <c r="G73" s="241"/>
      <c r="H73" s="241"/>
      <c r="I73" s="242"/>
      <c r="J73" s="349"/>
      <c r="K73" s="349"/>
      <c r="L73" s="349"/>
      <c r="M73" s="349"/>
      <c r="N73" s="252"/>
      <c r="O73" s="243" t="s">
        <v>35</v>
      </c>
      <c r="P73" s="236">
        <f>(E73*E65)+(F73*F65)+(G73*G65)+(H73*H65)+(I73*I65)+(J73*J65)+(K73*K65)+(L73*L65)+(M73*M65)+(N73*N65)</f>
        <v>0</v>
      </c>
      <c r="Q73" s="237" t="s">
        <v>36</v>
      </c>
      <c r="R73" s="238" t="b">
        <v>0</v>
      </c>
    </row>
    <row r="74" ht="13.5" customHeight="1">
      <c r="A74" s="230" t="s">
        <v>43</v>
      </c>
      <c r="B74" s="245" t="str">
        <f>IFS(P74=0,"",B74&lt;&gt;"",B74,TRUE,NOW())</f>
        <v/>
      </c>
      <c r="C74" s="232" t="s">
        <v>37</v>
      </c>
      <c r="D74" s="108"/>
      <c r="E74" s="246"/>
      <c r="F74" s="246"/>
      <c r="G74" s="246"/>
      <c r="H74" s="246"/>
      <c r="I74" s="247"/>
      <c r="J74" s="350"/>
      <c r="K74" s="350"/>
      <c r="L74" s="350"/>
      <c r="M74" s="350"/>
      <c r="N74" s="253"/>
      <c r="O74" s="248" t="s">
        <v>38</v>
      </c>
      <c r="P74" s="249">
        <f>P73-P72</f>
        <v>0</v>
      </c>
      <c r="Q74" s="250" t="s">
        <v>39</v>
      </c>
      <c r="R74" s="238" t="b">
        <v>0</v>
      </c>
    </row>
    <row r="75" ht="15.0" customHeight="1">
      <c r="A75" s="230"/>
      <c r="B75" s="222" t="s">
        <v>63</v>
      </c>
      <c r="C75" s="223" t="s">
        <v>27</v>
      </c>
      <c r="D75" s="224"/>
      <c r="E75" s="254">
        <f t="shared" ref="E75:N75" si="19">E73-E76</f>
        <v>0</v>
      </c>
      <c r="F75" s="254">
        <f t="shared" si="19"/>
        <v>0</v>
      </c>
      <c r="G75" s="254">
        <f t="shared" si="19"/>
        <v>0</v>
      </c>
      <c r="H75" s="254">
        <f t="shared" si="19"/>
        <v>0</v>
      </c>
      <c r="I75" s="254">
        <f t="shared" si="19"/>
        <v>0</v>
      </c>
      <c r="J75" s="254">
        <f t="shared" si="19"/>
        <v>0</v>
      </c>
      <c r="K75" s="254">
        <f t="shared" si="19"/>
        <v>0</v>
      </c>
      <c r="L75" s="254">
        <f t="shared" si="19"/>
        <v>0</v>
      </c>
      <c r="M75" s="254">
        <f t="shared" si="19"/>
        <v>0</v>
      </c>
      <c r="N75" s="254">
        <f t="shared" si="19"/>
        <v>0</v>
      </c>
      <c r="O75" s="227"/>
      <c r="P75" s="30"/>
      <c r="Q75" s="228" t="s">
        <v>28</v>
      </c>
      <c r="R75" s="229" t="b">
        <v>0</v>
      </c>
    </row>
    <row r="76" ht="13.5" customHeight="1">
      <c r="A76" s="230" t="s">
        <v>45</v>
      </c>
      <c r="B76" s="231"/>
      <c r="C76" s="232" t="s">
        <v>30</v>
      </c>
      <c r="D76" s="108"/>
      <c r="E76" s="255"/>
      <c r="F76" s="255"/>
      <c r="G76" s="255"/>
      <c r="H76" s="255"/>
      <c r="I76" s="255"/>
      <c r="J76" s="255"/>
      <c r="K76" s="255"/>
      <c r="L76" s="255"/>
      <c r="M76" s="255"/>
      <c r="N76" s="255"/>
      <c r="O76" s="235" t="s">
        <v>30</v>
      </c>
      <c r="P76" s="236">
        <f>(E76*E65)+(F76*F65)+(G76*G65)+(H76*H65)+(I76*I65)+(J76*J65)+(K76*K65)+(L76*L65)+(M76*M65)+(N76*N65)</f>
        <v>0</v>
      </c>
      <c r="Q76" s="237" t="s">
        <v>31</v>
      </c>
      <c r="R76" s="238" t="b">
        <v>0</v>
      </c>
    </row>
    <row r="77" ht="13.5" customHeight="1">
      <c r="A77" s="221"/>
      <c r="B77" s="239" t="s">
        <v>47</v>
      </c>
      <c r="C77" s="232" t="s">
        <v>34</v>
      </c>
      <c r="D77" s="108"/>
      <c r="E77" s="256"/>
      <c r="F77" s="257"/>
      <c r="G77" s="257"/>
      <c r="H77" s="257"/>
      <c r="I77" s="257"/>
      <c r="J77" s="257"/>
      <c r="K77" s="257"/>
      <c r="L77" s="257"/>
      <c r="M77" s="257"/>
      <c r="N77" s="257"/>
      <c r="O77" s="243" t="s">
        <v>35</v>
      </c>
      <c r="P77" s="236">
        <f>(E77*E65)+(F77*F65)+(G77*G65)+(H77*H65)+(I77*I65)+(J77*J65)+(K77*K65)+(L77*L65)+(M77*M65)+(N77*N65)</f>
        <v>0</v>
      </c>
      <c r="Q77" s="237" t="s">
        <v>36</v>
      </c>
      <c r="R77" s="238" t="b">
        <v>0</v>
      </c>
    </row>
    <row r="78" ht="13.5" customHeight="1">
      <c r="A78" s="68"/>
      <c r="B78" s="245" t="str">
        <f>IFS(P78=0,"",B78&lt;&gt;"",B78,TRUE,NOW())</f>
        <v/>
      </c>
      <c r="C78" s="232" t="s">
        <v>37</v>
      </c>
      <c r="D78" s="108"/>
      <c r="E78" s="258"/>
      <c r="F78" s="258"/>
      <c r="G78" s="258"/>
      <c r="H78" s="258"/>
      <c r="I78" s="258"/>
      <c r="J78" s="258"/>
      <c r="K78" s="258"/>
      <c r="L78" s="258"/>
      <c r="M78" s="258"/>
      <c r="N78" s="258"/>
      <c r="O78" s="248" t="s">
        <v>38</v>
      </c>
      <c r="P78" s="249">
        <f>P77-P76</f>
        <v>0</v>
      </c>
      <c r="Q78" s="250" t="s">
        <v>39</v>
      </c>
      <c r="R78" s="238" t="b">
        <v>0</v>
      </c>
    </row>
    <row r="79" ht="13.5" customHeight="1">
      <c r="A79" s="259" t="s">
        <v>48</v>
      </c>
      <c r="B79" s="222" t="s">
        <v>63</v>
      </c>
      <c r="C79" s="223" t="s">
        <v>27</v>
      </c>
      <c r="D79" s="224"/>
      <c r="E79" s="254">
        <f t="shared" ref="E79:N79" si="20">E77-E80</f>
        <v>0</v>
      </c>
      <c r="F79" s="254">
        <f t="shared" si="20"/>
        <v>0</v>
      </c>
      <c r="G79" s="254">
        <f t="shared" si="20"/>
        <v>0</v>
      </c>
      <c r="H79" s="254">
        <f t="shared" si="20"/>
        <v>0</v>
      </c>
      <c r="I79" s="254">
        <f t="shared" si="20"/>
        <v>0</v>
      </c>
      <c r="J79" s="254">
        <f t="shared" si="20"/>
        <v>0</v>
      </c>
      <c r="K79" s="254">
        <f t="shared" si="20"/>
        <v>0</v>
      </c>
      <c r="L79" s="254">
        <f t="shared" si="20"/>
        <v>0</v>
      </c>
      <c r="M79" s="254">
        <f t="shared" si="20"/>
        <v>0</v>
      </c>
      <c r="N79" s="254">
        <f t="shared" si="20"/>
        <v>0</v>
      </c>
      <c r="O79" s="227"/>
      <c r="P79" s="30"/>
      <c r="Q79" s="228" t="s">
        <v>28</v>
      </c>
      <c r="R79" s="229" t="b">
        <v>0</v>
      </c>
    </row>
    <row r="80" ht="15.0" customHeight="1">
      <c r="A80" s="87"/>
      <c r="B80" s="231"/>
      <c r="C80" s="232" t="s">
        <v>30</v>
      </c>
      <c r="D80" s="108"/>
      <c r="E80" s="255"/>
      <c r="F80" s="255"/>
      <c r="G80" s="255"/>
      <c r="H80" s="255"/>
      <c r="I80" s="255"/>
      <c r="J80" s="255"/>
      <c r="K80" s="255"/>
      <c r="L80" s="255"/>
      <c r="M80" s="255"/>
      <c r="N80" s="255"/>
      <c r="O80" s="235" t="s">
        <v>30</v>
      </c>
      <c r="P80" s="236">
        <f>(E80*E65)+(F80*F65)+(G80*G65)+(H80*H65)+(I80*I65)+(J80*J65)+(K80*K65)+(L80*L65)+(M80*M65)+(N80*N65)</f>
        <v>0</v>
      </c>
      <c r="Q80" s="237" t="s">
        <v>31</v>
      </c>
      <c r="R80" s="238" t="b">
        <v>0</v>
      </c>
    </row>
    <row r="81" ht="13.5" customHeight="1">
      <c r="A81" s="68"/>
      <c r="B81" s="239" t="s">
        <v>49</v>
      </c>
      <c r="C81" s="232" t="s">
        <v>34</v>
      </c>
      <c r="D81" s="108"/>
      <c r="E81" s="256"/>
      <c r="F81" s="257"/>
      <c r="G81" s="257"/>
      <c r="H81" s="257"/>
      <c r="I81" s="257"/>
      <c r="J81" s="257"/>
      <c r="K81" s="257"/>
      <c r="L81" s="257"/>
      <c r="M81" s="257"/>
      <c r="N81" s="257"/>
      <c r="O81" s="243" t="s">
        <v>35</v>
      </c>
      <c r="P81" s="236">
        <f>(E81*E65)+(F81*F65)+(G81*G65)+(H81*H65)+(I81*I65)+(J81*J65)+(K81*K65)+(L81*L65)+(M81*M65)+(N81*N65)</f>
        <v>0</v>
      </c>
      <c r="Q81" s="237" t="s">
        <v>36</v>
      </c>
      <c r="R81" s="238" t="b">
        <v>0</v>
      </c>
    </row>
    <row r="82" ht="13.5" customHeight="1">
      <c r="A82" s="80"/>
      <c r="B82" s="245" t="str">
        <f>IFS(P82=0,"",B82&lt;&gt;"",B82,TRUE,NOW())</f>
        <v/>
      </c>
      <c r="C82" s="265" t="s">
        <v>37</v>
      </c>
      <c r="D82" s="117"/>
      <c r="E82" s="258"/>
      <c r="F82" s="258"/>
      <c r="G82" s="258"/>
      <c r="H82" s="258"/>
      <c r="I82" s="258"/>
      <c r="J82" s="258"/>
      <c r="K82" s="258"/>
      <c r="L82" s="258"/>
      <c r="M82" s="258"/>
      <c r="N82" s="258"/>
      <c r="O82" s="248" t="s">
        <v>38</v>
      </c>
      <c r="P82" s="249">
        <f>P81-P80</f>
        <v>0</v>
      </c>
      <c r="Q82" s="250" t="s">
        <v>39</v>
      </c>
      <c r="R82" s="260" t="b">
        <v>0</v>
      </c>
    </row>
    <row r="83" ht="13.5" customHeight="1">
      <c r="A83" s="261" t="s">
        <v>65</v>
      </c>
      <c r="B83" s="209" t="s">
        <v>20</v>
      </c>
      <c r="C83" s="24"/>
      <c r="D83" s="33"/>
      <c r="E83" s="262">
        <f t="shared" ref="E83:N83" si="21">E6</f>
        <v>16</v>
      </c>
      <c r="F83" s="262">
        <f t="shared" si="21"/>
        <v>26</v>
      </c>
      <c r="G83" s="263">
        <f t="shared" si="21"/>
        <v>26</v>
      </c>
      <c r="H83" s="264">
        <f t="shared" si="21"/>
        <v>26</v>
      </c>
      <c r="I83" s="213">
        <f t="shared" si="21"/>
        <v>31</v>
      </c>
      <c r="J83" s="346">
        <f t="shared" si="21"/>
        <v>36</v>
      </c>
      <c r="K83" s="346">
        <f t="shared" si="21"/>
        <v>30</v>
      </c>
      <c r="L83" s="346">
        <f t="shared" si="21"/>
        <v>35</v>
      </c>
      <c r="M83" s="346">
        <f t="shared" si="21"/>
        <v>40</v>
      </c>
      <c r="N83" s="263">
        <f t="shared" si="21"/>
        <v>15</v>
      </c>
      <c r="O83" s="214" t="s">
        <v>21</v>
      </c>
      <c r="P83" s="25"/>
      <c r="Q83" s="215" t="s">
        <v>22</v>
      </c>
      <c r="R83" s="10"/>
    </row>
    <row r="84" ht="13.5" customHeight="1">
      <c r="A84" s="216" t="s">
        <v>23</v>
      </c>
      <c r="B84" s="217" t="s">
        <v>24</v>
      </c>
      <c r="C84" s="218" t="s">
        <v>25</v>
      </c>
      <c r="D84" s="117"/>
      <c r="E84" s="219"/>
      <c r="F84" s="219"/>
      <c r="G84" s="219"/>
      <c r="H84" s="219"/>
      <c r="I84" s="220"/>
      <c r="J84" s="347"/>
      <c r="K84" s="347"/>
      <c r="L84" s="347"/>
      <c r="M84" s="347"/>
      <c r="N84" s="219"/>
      <c r="O84" s="49"/>
      <c r="P84" s="25"/>
      <c r="Q84" s="50"/>
      <c r="R84" s="10"/>
    </row>
    <row r="85" ht="19.5" customHeight="1">
      <c r="A85" s="221"/>
      <c r="B85" s="222" t="s">
        <v>66</v>
      </c>
      <c r="C85" s="223" t="s">
        <v>27</v>
      </c>
      <c r="D85" s="224"/>
      <c r="E85" s="225">
        <f t="shared" ref="E85:N85" si="22">E84-E86</f>
        <v>0</v>
      </c>
      <c r="F85" s="225">
        <f t="shared" si="22"/>
        <v>0</v>
      </c>
      <c r="G85" s="225">
        <f t="shared" si="22"/>
        <v>0</v>
      </c>
      <c r="H85" s="225">
        <f t="shared" si="22"/>
        <v>0</v>
      </c>
      <c r="I85" s="225">
        <f t="shared" si="22"/>
        <v>0</v>
      </c>
      <c r="J85" s="226">
        <f t="shared" si="22"/>
        <v>0</v>
      </c>
      <c r="K85" s="226">
        <f t="shared" si="22"/>
        <v>0</v>
      </c>
      <c r="L85" s="226">
        <f t="shared" si="22"/>
        <v>0</v>
      </c>
      <c r="M85" s="226">
        <f t="shared" si="22"/>
        <v>0</v>
      </c>
      <c r="N85" s="226">
        <f t="shared" si="22"/>
        <v>0</v>
      </c>
      <c r="O85" s="227"/>
      <c r="P85" s="30"/>
      <c r="Q85" s="228" t="s">
        <v>28</v>
      </c>
      <c r="R85" s="229" t="b">
        <v>0</v>
      </c>
    </row>
    <row r="86" ht="13.5" customHeight="1">
      <c r="A86" s="230" t="s">
        <v>29</v>
      </c>
      <c r="B86" s="231"/>
      <c r="C86" s="232" t="s">
        <v>30</v>
      </c>
      <c r="D86" s="108"/>
      <c r="E86" s="233"/>
      <c r="F86" s="233"/>
      <c r="G86" s="233"/>
      <c r="H86" s="233"/>
      <c r="I86" s="234"/>
      <c r="J86" s="234"/>
      <c r="K86" s="234"/>
      <c r="L86" s="234"/>
      <c r="M86" s="234"/>
      <c r="N86" s="233"/>
      <c r="O86" s="235" t="s">
        <v>30</v>
      </c>
      <c r="P86" s="236">
        <f>(E86*E83)+(F86*F83)+(G86*G83)+(H86*H83)+(I86*I83)+(J86*J83)+(K86*K83)+(L86*L83)+(M86*M83)+(N86*N83)</f>
        <v>0</v>
      </c>
      <c r="Q86" s="237" t="s">
        <v>31</v>
      </c>
      <c r="R86" s="238" t="b">
        <v>0</v>
      </c>
    </row>
    <row r="87" ht="13.5" customHeight="1">
      <c r="A87" s="221"/>
      <c r="B87" s="239" t="s">
        <v>33</v>
      </c>
      <c r="C87" s="232" t="s">
        <v>34</v>
      </c>
      <c r="D87" s="108"/>
      <c r="E87" s="240"/>
      <c r="F87" s="241"/>
      <c r="G87" s="241"/>
      <c r="H87" s="241"/>
      <c r="I87" s="242"/>
      <c r="J87" s="242"/>
      <c r="K87" s="242"/>
      <c r="L87" s="242"/>
      <c r="M87" s="242"/>
      <c r="N87" s="241"/>
      <c r="O87" s="243" t="s">
        <v>35</v>
      </c>
      <c r="P87" s="236">
        <f>(E87*E83)+(F87*F83)+(G87*G83)+(H87*H83)+(I87*I83)+(J87*J83)+(K87*K83)+(L87*L83)+(M87*M83)+(N87*N83)</f>
        <v>0</v>
      </c>
      <c r="Q87" s="244" t="s">
        <v>36</v>
      </c>
      <c r="R87" s="238" t="b">
        <v>0</v>
      </c>
    </row>
    <row r="88" ht="13.5" customHeight="1">
      <c r="A88" s="68"/>
      <c r="B88" s="245" t="str">
        <f>IFS(P88=0,"",B88&lt;&gt;"",B88,TRUE,NOW())</f>
        <v/>
      </c>
      <c r="C88" s="232" t="s">
        <v>37</v>
      </c>
      <c r="D88" s="108"/>
      <c r="E88" s="246"/>
      <c r="F88" s="246"/>
      <c r="G88" s="246"/>
      <c r="H88" s="246"/>
      <c r="I88" s="247"/>
      <c r="J88" s="247"/>
      <c r="K88" s="247"/>
      <c r="L88" s="247"/>
      <c r="M88" s="247"/>
      <c r="N88" s="246"/>
      <c r="O88" s="248" t="s">
        <v>38</v>
      </c>
      <c r="P88" s="249">
        <f>P87-P86</f>
        <v>0</v>
      </c>
      <c r="Q88" s="250" t="s">
        <v>39</v>
      </c>
      <c r="R88" s="238" t="b">
        <v>0</v>
      </c>
    </row>
    <row r="89" ht="13.5" customHeight="1">
      <c r="A89" s="230" t="s">
        <v>40</v>
      </c>
      <c r="B89" s="222" t="s">
        <v>66</v>
      </c>
      <c r="C89" s="223" t="s">
        <v>27</v>
      </c>
      <c r="D89" s="224"/>
      <c r="E89" s="225">
        <f t="shared" ref="E89:N89" si="23">E87-E90</f>
        <v>0</v>
      </c>
      <c r="F89" s="225">
        <f t="shared" si="23"/>
        <v>0</v>
      </c>
      <c r="G89" s="225">
        <f t="shared" si="23"/>
        <v>0</v>
      </c>
      <c r="H89" s="225">
        <f t="shared" si="23"/>
        <v>0</v>
      </c>
      <c r="I89" s="225">
        <f t="shared" si="23"/>
        <v>0</v>
      </c>
      <c r="J89" s="226">
        <f t="shared" si="23"/>
        <v>0</v>
      </c>
      <c r="K89" s="226">
        <f t="shared" si="23"/>
        <v>0</v>
      </c>
      <c r="L89" s="226">
        <f t="shared" si="23"/>
        <v>0</v>
      </c>
      <c r="M89" s="226">
        <f t="shared" si="23"/>
        <v>0</v>
      </c>
      <c r="N89" s="226">
        <f t="shared" si="23"/>
        <v>0</v>
      </c>
      <c r="O89" s="227"/>
      <c r="P89" s="30"/>
      <c r="Q89" s="228" t="s">
        <v>28</v>
      </c>
      <c r="R89" s="229" t="b">
        <v>0</v>
      </c>
    </row>
    <row r="90" ht="15.0" customHeight="1">
      <c r="A90" s="221"/>
      <c r="B90" s="231"/>
      <c r="C90" s="232" t="s">
        <v>30</v>
      </c>
      <c r="D90" s="108"/>
      <c r="E90" s="233"/>
      <c r="F90" s="233"/>
      <c r="G90" s="233"/>
      <c r="H90" s="233"/>
      <c r="I90" s="234"/>
      <c r="J90" s="348"/>
      <c r="K90" s="348"/>
      <c r="L90" s="348"/>
      <c r="M90" s="348"/>
      <c r="N90" s="251"/>
      <c r="O90" s="235" t="s">
        <v>30</v>
      </c>
      <c r="P90" s="236">
        <f>(E90*E83)+(F90*F83)+(G90*G83)+(H90*H83)+(I90*I83)+(J90*J83)+(K90*K83)+(L90*L83)+(M90*M83)+(N90*N83)</f>
        <v>0</v>
      </c>
      <c r="Q90" s="237" t="s">
        <v>31</v>
      </c>
      <c r="R90" s="238" t="b">
        <v>0</v>
      </c>
    </row>
    <row r="91" ht="13.5" customHeight="1">
      <c r="A91" s="68"/>
      <c r="B91" s="239" t="s">
        <v>42</v>
      </c>
      <c r="C91" s="232" t="s">
        <v>34</v>
      </c>
      <c r="D91" s="108"/>
      <c r="E91" s="240"/>
      <c r="F91" s="241"/>
      <c r="G91" s="241"/>
      <c r="H91" s="241"/>
      <c r="I91" s="242"/>
      <c r="J91" s="349"/>
      <c r="K91" s="349"/>
      <c r="L91" s="349"/>
      <c r="M91" s="349"/>
      <c r="N91" s="252"/>
      <c r="O91" s="243" t="s">
        <v>35</v>
      </c>
      <c r="P91" s="236">
        <f>(E91*E83)+(F91*F83)+(G91*G83)+(H91*H83)+(I91*I83)+(J91*J83)+(K91*K83)+(L91*L83)+(M91*M83)+(N91*N83)</f>
        <v>0</v>
      </c>
      <c r="Q91" s="237" t="s">
        <v>36</v>
      </c>
      <c r="R91" s="238" t="b">
        <v>0</v>
      </c>
    </row>
    <row r="92" ht="13.5" customHeight="1">
      <c r="A92" s="230" t="s">
        <v>43</v>
      </c>
      <c r="B92" s="245" t="str">
        <f>IFS(P92=0,"",B92&lt;&gt;"",B92,TRUE,NOW())</f>
        <v/>
      </c>
      <c r="C92" s="232" t="s">
        <v>37</v>
      </c>
      <c r="D92" s="108"/>
      <c r="E92" s="246"/>
      <c r="F92" s="246"/>
      <c r="G92" s="246"/>
      <c r="H92" s="246"/>
      <c r="I92" s="247"/>
      <c r="J92" s="350"/>
      <c r="K92" s="350"/>
      <c r="L92" s="350"/>
      <c r="M92" s="350"/>
      <c r="N92" s="253"/>
      <c r="O92" s="248" t="s">
        <v>38</v>
      </c>
      <c r="P92" s="249">
        <f>P91-P90</f>
        <v>0</v>
      </c>
      <c r="Q92" s="250" t="s">
        <v>39</v>
      </c>
      <c r="R92" s="238" t="b">
        <v>0</v>
      </c>
    </row>
    <row r="93" ht="13.5" customHeight="1">
      <c r="A93" s="230"/>
      <c r="B93" s="222" t="s">
        <v>66</v>
      </c>
      <c r="C93" s="223" t="s">
        <v>27</v>
      </c>
      <c r="D93" s="224"/>
      <c r="E93" s="254">
        <f t="shared" ref="E93:N93" si="24">E91-E94</f>
        <v>0</v>
      </c>
      <c r="F93" s="254">
        <f t="shared" si="24"/>
        <v>0</v>
      </c>
      <c r="G93" s="254">
        <f t="shared" si="24"/>
        <v>0</v>
      </c>
      <c r="H93" s="254">
        <f t="shared" si="24"/>
        <v>0</v>
      </c>
      <c r="I93" s="254">
        <f t="shared" si="24"/>
        <v>0</v>
      </c>
      <c r="J93" s="254">
        <f t="shared" si="24"/>
        <v>0</v>
      </c>
      <c r="K93" s="254">
        <f t="shared" si="24"/>
        <v>0</v>
      </c>
      <c r="L93" s="254">
        <f t="shared" si="24"/>
        <v>0</v>
      </c>
      <c r="M93" s="254">
        <f t="shared" si="24"/>
        <v>0</v>
      </c>
      <c r="N93" s="254">
        <f t="shared" si="24"/>
        <v>0</v>
      </c>
      <c r="O93" s="227"/>
      <c r="P93" s="30"/>
      <c r="Q93" s="228" t="s">
        <v>28</v>
      </c>
      <c r="R93" s="229" t="b">
        <v>0</v>
      </c>
    </row>
    <row r="94" ht="13.5" customHeight="1">
      <c r="A94" s="230" t="s">
        <v>45</v>
      </c>
      <c r="B94" s="231"/>
      <c r="C94" s="232" t="s">
        <v>30</v>
      </c>
      <c r="D94" s="108"/>
      <c r="E94" s="255"/>
      <c r="F94" s="255"/>
      <c r="G94" s="255"/>
      <c r="H94" s="255"/>
      <c r="I94" s="255"/>
      <c r="J94" s="255"/>
      <c r="K94" s="255"/>
      <c r="L94" s="255"/>
      <c r="M94" s="255"/>
      <c r="N94" s="255"/>
      <c r="O94" s="235" t="s">
        <v>30</v>
      </c>
      <c r="P94" s="236">
        <f>(E94*E83)+(F94*F83)+(G94*G83)+(H94*H83)+(I94*I83)+(J94*J83)+(K94*K83)+(L94*L83)+(M94*M83)+(N94*N83)</f>
        <v>0</v>
      </c>
      <c r="Q94" s="237" t="s">
        <v>31</v>
      </c>
      <c r="R94" s="238" t="b">
        <v>0</v>
      </c>
    </row>
    <row r="95" ht="13.5" customHeight="1">
      <c r="A95" s="221"/>
      <c r="B95" s="239" t="s">
        <v>47</v>
      </c>
      <c r="C95" s="232" t="s">
        <v>34</v>
      </c>
      <c r="D95" s="108"/>
      <c r="E95" s="256"/>
      <c r="F95" s="257"/>
      <c r="G95" s="257"/>
      <c r="H95" s="257"/>
      <c r="I95" s="257"/>
      <c r="J95" s="257"/>
      <c r="K95" s="257"/>
      <c r="L95" s="257"/>
      <c r="M95" s="257"/>
      <c r="N95" s="257"/>
      <c r="O95" s="243" t="s">
        <v>35</v>
      </c>
      <c r="P95" s="236">
        <f>(E95*E83)+(F95*F83)+(G95*G83)+(H95*H83)+(I95*I83)+(J95*J83)+(K95*K83)+(L95*L83)+(M95*M83)+(N95*N83)</f>
        <v>0</v>
      </c>
      <c r="Q95" s="237" t="s">
        <v>36</v>
      </c>
      <c r="R95" s="238" t="b">
        <v>0</v>
      </c>
    </row>
    <row r="96" ht="13.5" customHeight="1">
      <c r="A96" s="68"/>
      <c r="B96" s="245" t="str">
        <f>IFS(P96=0,"",B96&lt;&gt;"",B96,TRUE,NOW())</f>
        <v/>
      </c>
      <c r="C96" s="232" t="s">
        <v>37</v>
      </c>
      <c r="D96" s="108"/>
      <c r="E96" s="258"/>
      <c r="F96" s="258"/>
      <c r="G96" s="258"/>
      <c r="H96" s="258"/>
      <c r="I96" s="258"/>
      <c r="J96" s="258"/>
      <c r="K96" s="258"/>
      <c r="L96" s="258"/>
      <c r="M96" s="258"/>
      <c r="N96" s="258"/>
      <c r="O96" s="248" t="s">
        <v>38</v>
      </c>
      <c r="P96" s="249">
        <f>P95-P94</f>
        <v>0</v>
      </c>
      <c r="Q96" s="250" t="s">
        <v>39</v>
      </c>
      <c r="R96" s="238" t="b">
        <v>0</v>
      </c>
    </row>
    <row r="97" ht="18.0" customHeight="1">
      <c r="A97" s="259" t="s">
        <v>48</v>
      </c>
      <c r="B97" s="222" t="s">
        <v>66</v>
      </c>
      <c r="C97" s="223" t="s">
        <v>27</v>
      </c>
      <c r="D97" s="224"/>
      <c r="E97" s="254">
        <f t="shared" ref="E97:N97" si="25">E95-E98</f>
        <v>0</v>
      </c>
      <c r="F97" s="254">
        <f t="shared" si="25"/>
        <v>0</v>
      </c>
      <c r="G97" s="254">
        <f t="shared" si="25"/>
        <v>0</v>
      </c>
      <c r="H97" s="254">
        <f t="shared" si="25"/>
        <v>0</v>
      </c>
      <c r="I97" s="254">
        <f t="shared" si="25"/>
        <v>0</v>
      </c>
      <c r="J97" s="254">
        <f t="shared" si="25"/>
        <v>0</v>
      </c>
      <c r="K97" s="254">
        <f t="shared" si="25"/>
        <v>0</v>
      </c>
      <c r="L97" s="254">
        <f t="shared" si="25"/>
        <v>0</v>
      </c>
      <c r="M97" s="254">
        <f t="shared" si="25"/>
        <v>0</v>
      </c>
      <c r="N97" s="254">
        <f t="shared" si="25"/>
        <v>0</v>
      </c>
      <c r="O97" s="227"/>
      <c r="P97" s="30"/>
      <c r="Q97" s="228" t="s">
        <v>28</v>
      </c>
      <c r="R97" s="229" t="b">
        <v>0</v>
      </c>
    </row>
    <row r="98" ht="13.5" customHeight="1">
      <c r="A98" s="87"/>
      <c r="B98" s="231"/>
      <c r="C98" s="232" t="s">
        <v>30</v>
      </c>
      <c r="D98" s="108"/>
      <c r="E98" s="255"/>
      <c r="F98" s="255"/>
      <c r="G98" s="255"/>
      <c r="H98" s="255"/>
      <c r="I98" s="255"/>
      <c r="J98" s="255"/>
      <c r="K98" s="255"/>
      <c r="L98" s="255"/>
      <c r="M98" s="255"/>
      <c r="N98" s="255"/>
      <c r="O98" s="235" t="s">
        <v>30</v>
      </c>
      <c r="P98" s="236">
        <f>(E98*E83)+(F98*F83)+(G98*G83)+(H98*H83)+(I98*I83)+(J98*J83)+(K98*K83)+(L98*L83)+(M98*M83)+(N98*N83)</f>
        <v>0</v>
      </c>
      <c r="Q98" s="237" t="s">
        <v>31</v>
      </c>
      <c r="R98" s="238" t="b">
        <v>0</v>
      </c>
    </row>
    <row r="99" ht="13.5" customHeight="1">
      <c r="A99" s="68"/>
      <c r="B99" s="239" t="s">
        <v>49</v>
      </c>
      <c r="C99" s="232" t="s">
        <v>34</v>
      </c>
      <c r="D99" s="108"/>
      <c r="E99" s="256"/>
      <c r="F99" s="257"/>
      <c r="G99" s="257"/>
      <c r="H99" s="257"/>
      <c r="I99" s="257"/>
      <c r="J99" s="257"/>
      <c r="K99" s="257"/>
      <c r="L99" s="257"/>
      <c r="M99" s="257"/>
      <c r="N99" s="257"/>
      <c r="O99" s="243" t="s">
        <v>35</v>
      </c>
      <c r="P99" s="236">
        <f>(E99*E83)+(F99*F83)+(G99*G83)+(H99*H83)+(I99*I83)+(J99*J83)+(K99*K83)+(L99*L83)+(M99*M83)+(N99*N83)</f>
        <v>0</v>
      </c>
      <c r="Q99" s="237" t="s">
        <v>36</v>
      </c>
      <c r="R99" s="238" t="b">
        <v>0</v>
      </c>
    </row>
    <row r="100" ht="13.5" customHeight="1">
      <c r="A100" s="80"/>
      <c r="B100" s="245" t="str">
        <f>IFS(P100=0,"",B100&lt;&gt;"",B100,TRUE,NOW())</f>
        <v/>
      </c>
      <c r="C100" s="265" t="s">
        <v>37</v>
      </c>
      <c r="D100" s="117"/>
      <c r="E100" s="258"/>
      <c r="F100" s="258"/>
      <c r="G100" s="258"/>
      <c r="H100" s="258"/>
      <c r="I100" s="258"/>
      <c r="J100" s="258"/>
      <c r="K100" s="258"/>
      <c r="L100" s="258"/>
      <c r="M100" s="258"/>
      <c r="N100" s="258"/>
      <c r="O100" s="248" t="s">
        <v>38</v>
      </c>
      <c r="P100" s="249">
        <f>P99-P98</f>
        <v>0</v>
      </c>
      <c r="Q100" s="250" t="s">
        <v>39</v>
      </c>
      <c r="R100" s="260" t="b">
        <v>0</v>
      </c>
    </row>
    <row r="101" ht="13.5" customHeight="1">
      <c r="A101" s="261" t="s">
        <v>68</v>
      </c>
      <c r="B101" s="209" t="s">
        <v>20</v>
      </c>
      <c r="C101" s="24"/>
      <c r="D101" s="33"/>
      <c r="E101" s="262">
        <f t="shared" ref="E101:N101" si="26">E6</f>
        <v>16</v>
      </c>
      <c r="F101" s="262">
        <f t="shared" si="26"/>
        <v>26</v>
      </c>
      <c r="G101" s="263">
        <f t="shared" si="26"/>
        <v>26</v>
      </c>
      <c r="H101" s="264">
        <f t="shared" si="26"/>
        <v>26</v>
      </c>
      <c r="I101" s="213">
        <f t="shared" si="26"/>
        <v>31</v>
      </c>
      <c r="J101" s="346">
        <f t="shared" si="26"/>
        <v>36</v>
      </c>
      <c r="K101" s="346">
        <f t="shared" si="26"/>
        <v>30</v>
      </c>
      <c r="L101" s="346">
        <f t="shared" si="26"/>
        <v>35</v>
      </c>
      <c r="M101" s="346">
        <f t="shared" si="26"/>
        <v>40</v>
      </c>
      <c r="N101" s="263">
        <f t="shared" si="26"/>
        <v>15</v>
      </c>
      <c r="O101" s="214" t="s">
        <v>21</v>
      </c>
      <c r="P101" s="25"/>
      <c r="Q101" s="215" t="s">
        <v>22</v>
      </c>
      <c r="R101" s="10"/>
    </row>
    <row r="102" ht="19.5" customHeight="1">
      <c r="A102" s="216" t="s">
        <v>23</v>
      </c>
      <c r="B102" s="217" t="s">
        <v>24</v>
      </c>
      <c r="C102" s="218" t="s">
        <v>25</v>
      </c>
      <c r="D102" s="117"/>
      <c r="E102" s="219"/>
      <c r="F102" s="219"/>
      <c r="G102" s="219"/>
      <c r="H102" s="219"/>
      <c r="I102" s="220"/>
      <c r="J102" s="347"/>
      <c r="K102" s="347"/>
      <c r="L102" s="347"/>
      <c r="M102" s="347"/>
      <c r="N102" s="219"/>
      <c r="O102" s="49"/>
      <c r="P102" s="25"/>
      <c r="Q102" s="50"/>
      <c r="R102" s="10"/>
    </row>
    <row r="103" ht="13.5" customHeight="1">
      <c r="A103" s="221"/>
      <c r="B103" s="222" t="s">
        <v>69</v>
      </c>
      <c r="C103" s="223" t="s">
        <v>27</v>
      </c>
      <c r="D103" s="224"/>
      <c r="E103" s="225">
        <f t="shared" ref="E103:N103" si="27">E102-E104</f>
        <v>0</v>
      </c>
      <c r="F103" s="225">
        <f t="shared" si="27"/>
        <v>0</v>
      </c>
      <c r="G103" s="225">
        <f t="shared" si="27"/>
        <v>0</v>
      </c>
      <c r="H103" s="225">
        <f t="shared" si="27"/>
        <v>0</v>
      </c>
      <c r="I103" s="225">
        <f t="shared" si="27"/>
        <v>0</v>
      </c>
      <c r="J103" s="226">
        <f t="shared" si="27"/>
        <v>0</v>
      </c>
      <c r="K103" s="226">
        <f t="shared" si="27"/>
        <v>0</v>
      </c>
      <c r="L103" s="226">
        <f t="shared" si="27"/>
        <v>0</v>
      </c>
      <c r="M103" s="226">
        <f t="shared" si="27"/>
        <v>0</v>
      </c>
      <c r="N103" s="226">
        <f t="shared" si="27"/>
        <v>0</v>
      </c>
      <c r="O103" s="227"/>
      <c r="P103" s="30"/>
      <c r="Q103" s="228" t="s">
        <v>28</v>
      </c>
      <c r="R103" s="229" t="b">
        <v>0</v>
      </c>
    </row>
    <row r="104" ht="13.5" customHeight="1">
      <c r="A104" s="230" t="s">
        <v>29</v>
      </c>
      <c r="B104" s="231"/>
      <c r="C104" s="232" t="s">
        <v>30</v>
      </c>
      <c r="D104" s="108"/>
      <c r="E104" s="233"/>
      <c r="F104" s="233"/>
      <c r="G104" s="233"/>
      <c r="H104" s="233"/>
      <c r="I104" s="234"/>
      <c r="J104" s="234"/>
      <c r="K104" s="234"/>
      <c r="L104" s="234"/>
      <c r="M104" s="234"/>
      <c r="N104" s="233"/>
      <c r="O104" s="235" t="s">
        <v>30</v>
      </c>
      <c r="P104" s="236">
        <f>(E104*E101)+(F104*F101)+(G104*G101)+(H104*H101)+(I104*I101)+(J104*J101)+(K104*K101)+(L104*L101)+(M104*M101)+(N104*N101)</f>
        <v>0</v>
      </c>
      <c r="Q104" s="237" t="s">
        <v>31</v>
      </c>
      <c r="R104" s="238" t="b">
        <v>0</v>
      </c>
    </row>
    <row r="105" ht="13.5" customHeight="1">
      <c r="A105" s="221"/>
      <c r="B105" s="239" t="s">
        <v>33</v>
      </c>
      <c r="C105" s="232" t="s">
        <v>34</v>
      </c>
      <c r="D105" s="108"/>
      <c r="E105" s="240"/>
      <c r="F105" s="241"/>
      <c r="G105" s="241"/>
      <c r="H105" s="241"/>
      <c r="I105" s="242"/>
      <c r="J105" s="242"/>
      <c r="K105" s="242"/>
      <c r="L105" s="242"/>
      <c r="M105" s="242"/>
      <c r="N105" s="241"/>
      <c r="O105" s="243" t="s">
        <v>35</v>
      </c>
      <c r="P105" s="236">
        <f>(E105*E101)+(F105*F101)+(G105*G101)+(H105*H101)+(I105*I101)+(J105*J101)+(K105*K101)+(L105*L101)+(M105*M101)+(N105*N101)</f>
        <v>0</v>
      </c>
      <c r="Q105" s="244" t="s">
        <v>36</v>
      </c>
      <c r="R105" s="238" t="b">
        <v>0</v>
      </c>
    </row>
    <row r="106" ht="13.5" customHeight="1">
      <c r="A106" s="68"/>
      <c r="B106" s="245" t="str">
        <f>IFS(P106=0,"",B106&lt;&gt;"",B106,TRUE,NOW())</f>
        <v/>
      </c>
      <c r="C106" s="232" t="s">
        <v>37</v>
      </c>
      <c r="D106" s="108"/>
      <c r="E106" s="246"/>
      <c r="F106" s="246"/>
      <c r="G106" s="246"/>
      <c r="H106" s="246"/>
      <c r="I106" s="247"/>
      <c r="J106" s="247"/>
      <c r="K106" s="247"/>
      <c r="L106" s="247"/>
      <c r="M106" s="247"/>
      <c r="N106" s="246"/>
      <c r="O106" s="248" t="s">
        <v>38</v>
      </c>
      <c r="P106" s="249">
        <f>P105-P104</f>
        <v>0</v>
      </c>
      <c r="Q106" s="250" t="s">
        <v>39</v>
      </c>
      <c r="R106" s="238" t="b">
        <v>0</v>
      </c>
    </row>
    <row r="107" ht="18.75" customHeight="1">
      <c r="A107" s="230" t="s">
        <v>40</v>
      </c>
      <c r="B107" s="222" t="s">
        <v>69</v>
      </c>
      <c r="C107" s="223" t="s">
        <v>27</v>
      </c>
      <c r="D107" s="224"/>
      <c r="E107" s="225">
        <f t="shared" ref="E107:N107" si="28">E105-E108</f>
        <v>0</v>
      </c>
      <c r="F107" s="225">
        <f t="shared" si="28"/>
        <v>0</v>
      </c>
      <c r="G107" s="225">
        <f t="shared" si="28"/>
        <v>0</v>
      </c>
      <c r="H107" s="225">
        <f t="shared" si="28"/>
        <v>0</v>
      </c>
      <c r="I107" s="225">
        <f t="shared" si="28"/>
        <v>0</v>
      </c>
      <c r="J107" s="226">
        <f t="shared" si="28"/>
        <v>0</v>
      </c>
      <c r="K107" s="226">
        <f t="shared" si="28"/>
        <v>0</v>
      </c>
      <c r="L107" s="226">
        <f t="shared" si="28"/>
        <v>0</v>
      </c>
      <c r="M107" s="226">
        <f t="shared" si="28"/>
        <v>0</v>
      </c>
      <c r="N107" s="226">
        <f t="shared" si="28"/>
        <v>0</v>
      </c>
      <c r="O107" s="227"/>
      <c r="P107" s="30"/>
      <c r="Q107" s="228" t="s">
        <v>28</v>
      </c>
      <c r="R107" s="229" t="b">
        <v>0</v>
      </c>
    </row>
    <row r="108" ht="13.5" customHeight="1">
      <c r="A108" s="221"/>
      <c r="B108" s="231"/>
      <c r="C108" s="232" t="s">
        <v>30</v>
      </c>
      <c r="D108" s="108"/>
      <c r="E108" s="233"/>
      <c r="F108" s="233"/>
      <c r="G108" s="233"/>
      <c r="H108" s="233"/>
      <c r="I108" s="234"/>
      <c r="J108" s="348"/>
      <c r="K108" s="348"/>
      <c r="L108" s="348"/>
      <c r="M108" s="348"/>
      <c r="N108" s="251"/>
      <c r="O108" s="235" t="s">
        <v>30</v>
      </c>
      <c r="P108" s="236">
        <f>(E108*E101)+(F108*F101)+(G108*G101)+(H108*H101)+(I108*I101)+(J108*J101)+(K108*K101)+(L108*L101)+(M108*M101)+(N108*N101)</f>
        <v>0</v>
      </c>
      <c r="Q108" s="237" t="s">
        <v>31</v>
      </c>
      <c r="R108" s="238" t="b">
        <v>0</v>
      </c>
    </row>
    <row r="109" ht="13.5" customHeight="1">
      <c r="A109" s="68"/>
      <c r="B109" s="239" t="s">
        <v>42</v>
      </c>
      <c r="C109" s="232" t="s">
        <v>34</v>
      </c>
      <c r="D109" s="108"/>
      <c r="E109" s="240"/>
      <c r="F109" s="241"/>
      <c r="G109" s="241"/>
      <c r="H109" s="241"/>
      <c r="I109" s="242"/>
      <c r="J109" s="349"/>
      <c r="K109" s="349"/>
      <c r="L109" s="349"/>
      <c r="M109" s="349"/>
      <c r="N109" s="252"/>
      <c r="O109" s="243" t="s">
        <v>35</v>
      </c>
      <c r="P109" s="236">
        <f>(E109*E101)+(F109*F101)+(G109*G101)+(H109*H101)+(I109*I101)+(J109*J101)+(K109*K101)+(L109*L101)+(M109*M101)+(N109*N101)</f>
        <v>0</v>
      </c>
      <c r="Q109" s="237" t="s">
        <v>36</v>
      </c>
      <c r="R109" s="238" t="b">
        <v>0</v>
      </c>
    </row>
    <row r="110" ht="13.5" customHeight="1">
      <c r="A110" s="230" t="s">
        <v>43</v>
      </c>
      <c r="B110" s="245" t="str">
        <f>IFS(P110=0,"",B110&lt;&gt;"",B110,TRUE,NOW())</f>
        <v/>
      </c>
      <c r="C110" s="232" t="s">
        <v>37</v>
      </c>
      <c r="D110" s="108"/>
      <c r="E110" s="246"/>
      <c r="F110" s="246"/>
      <c r="G110" s="246"/>
      <c r="H110" s="246"/>
      <c r="I110" s="247"/>
      <c r="J110" s="350"/>
      <c r="K110" s="350"/>
      <c r="L110" s="350"/>
      <c r="M110" s="350"/>
      <c r="N110" s="253"/>
      <c r="O110" s="248" t="s">
        <v>38</v>
      </c>
      <c r="P110" s="249">
        <f>P109-P108</f>
        <v>0</v>
      </c>
      <c r="Q110" s="250" t="s">
        <v>39</v>
      </c>
      <c r="R110" s="238" t="b">
        <v>0</v>
      </c>
    </row>
    <row r="111" ht="13.5" customHeight="1">
      <c r="A111" s="230"/>
      <c r="B111" s="222" t="s">
        <v>69</v>
      </c>
      <c r="C111" s="223" t="s">
        <v>27</v>
      </c>
      <c r="D111" s="224"/>
      <c r="E111" s="254">
        <f t="shared" ref="E111:N111" si="29">E109-E112</f>
        <v>0</v>
      </c>
      <c r="F111" s="254">
        <f t="shared" si="29"/>
        <v>0</v>
      </c>
      <c r="G111" s="254">
        <f t="shared" si="29"/>
        <v>0</v>
      </c>
      <c r="H111" s="254">
        <f t="shared" si="29"/>
        <v>0</v>
      </c>
      <c r="I111" s="254">
        <f t="shared" si="29"/>
        <v>0</v>
      </c>
      <c r="J111" s="254">
        <f t="shared" si="29"/>
        <v>0</v>
      </c>
      <c r="K111" s="254">
        <f t="shared" si="29"/>
        <v>0</v>
      </c>
      <c r="L111" s="254">
        <f t="shared" si="29"/>
        <v>0</v>
      </c>
      <c r="M111" s="254">
        <f t="shared" si="29"/>
        <v>0</v>
      </c>
      <c r="N111" s="254">
        <f t="shared" si="29"/>
        <v>0</v>
      </c>
      <c r="O111" s="227"/>
      <c r="P111" s="30"/>
      <c r="Q111" s="228" t="s">
        <v>28</v>
      </c>
      <c r="R111" s="229" t="b">
        <v>0</v>
      </c>
    </row>
    <row r="112" ht="15.0" customHeight="1">
      <c r="A112" s="230" t="s">
        <v>45</v>
      </c>
      <c r="B112" s="231"/>
      <c r="C112" s="232" t="s">
        <v>30</v>
      </c>
      <c r="D112" s="108"/>
      <c r="E112" s="255"/>
      <c r="F112" s="255"/>
      <c r="G112" s="255"/>
      <c r="H112" s="255"/>
      <c r="I112" s="255"/>
      <c r="J112" s="255"/>
      <c r="K112" s="255"/>
      <c r="L112" s="255"/>
      <c r="M112" s="255"/>
      <c r="N112" s="255"/>
      <c r="O112" s="235" t="s">
        <v>30</v>
      </c>
      <c r="P112" s="236">
        <f>(E112*E101)+(F112*F101)+(G112*G101)+(H112*H101)+(I112*I101)+(J112*J101)+(K112*K101)+(L112*L101)+(M112*M101)+(N112*N101)</f>
        <v>0</v>
      </c>
      <c r="Q112" s="237" t="s">
        <v>31</v>
      </c>
      <c r="R112" s="238" t="b">
        <v>0</v>
      </c>
    </row>
    <row r="113" ht="13.5" customHeight="1">
      <c r="A113" s="221"/>
      <c r="B113" s="239" t="s">
        <v>47</v>
      </c>
      <c r="C113" s="232" t="s">
        <v>34</v>
      </c>
      <c r="D113" s="108"/>
      <c r="E113" s="256"/>
      <c r="F113" s="257"/>
      <c r="G113" s="257"/>
      <c r="H113" s="257"/>
      <c r="I113" s="257"/>
      <c r="J113" s="257"/>
      <c r="K113" s="257"/>
      <c r="L113" s="257"/>
      <c r="M113" s="257"/>
      <c r="N113" s="257"/>
      <c r="O113" s="243" t="s">
        <v>35</v>
      </c>
      <c r="P113" s="236">
        <f>(E113*E101)+(F113*F101)+(G113*G101)+(H113*H101)+(I113*I101)+(J113*J101)+(K113*K101)+(L113*L101)+(M113*M101)+(N113*N101)</f>
        <v>0</v>
      </c>
      <c r="Q113" s="237" t="s">
        <v>36</v>
      </c>
      <c r="R113" s="238" t="b">
        <v>0</v>
      </c>
    </row>
    <row r="114" ht="13.5" customHeight="1">
      <c r="A114" s="68"/>
      <c r="B114" s="245" t="str">
        <f>IFS(P114=0,"",B114&lt;&gt;"",B114,TRUE,NOW())</f>
        <v/>
      </c>
      <c r="C114" s="232" t="s">
        <v>37</v>
      </c>
      <c r="D114" s="108"/>
      <c r="E114" s="258"/>
      <c r="F114" s="258"/>
      <c r="G114" s="258"/>
      <c r="H114" s="258"/>
      <c r="I114" s="258"/>
      <c r="J114" s="258"/>
      <c r="K114" s="258"/>
      <c r="L114" s="258"/>
      <c r="M114" s="258"/>
      <c r="N114" s="258"/>
      <c r="O114" s="248" t="s">
        <v>38</v>
      </c>
      <c r="P114" s="249">
        <f>P113-P112</f>
        <v>0</v>
      </c>
      <c r="Q114" s="250" t="s">
        <v>39</v>
      </c>
      <c r="R114" s="238" t="b">
        <v>0</v>
      </c>
    </row>
    <row r="115" ht="13.5" customHeight="1">
      <c r="A115" s="259" t="s">
        <v>48</v>
      </c>
      <c r="B115" s="222" t="s">
        <v>69</v>
      </c>
      <c r="C115" s="223" t="s">
        <v>27</v>
      </c>
      <c r="D115" s="224"/>
      <c r="E115" s="254">
        <f t="shared" ref="E115:N115" si="30">E113-E116</f>
        <v>0</v>
      </c>
      <c r="F115" s="254">
        <f t="shared" si="30"/>
        <v>0</v>
      </c>
      <c r="G115" s="254">
        <f t="shared" si="30"/>
        <v>0</v>
      </c>
      <c r="H115" s="254">
        <f t="shared" si="30"/>
        <v>0</v>
      </c>
      <c r="I115" s="254">
        <f t="shared" si="30"/>
        <v>0</v>
      </c>
      <c r="J115" s="254">
        <f t="shared" si="30"/>
        <v>0</v>
      </c>
      <c r="K115" s="254">
        <f t="shared" si="30"/>
        <v>0</v>
      </c>
      <c r="L115" s="254">
        <f t="shared" si="30"/>
        <v>0</v>
      </c>
      <c r="M115" s="254">
        <f t="shared" si="30"/>
        <v>0</v>
      </c>
      <c r="N115" s="254">
        <f t="shared" si="30"/>
        <v>0</v>
      </c>
      <c r="O115" s="227"/>
      <c r="P115" s="30"/>
      <c r="Q115" s="228" t="s">
        <v>28</v>
      </c>
      <c r="R115" s="229" t="b">
        <v>0</v>
      </c>
    </row>
    <row r="116" ht="13.5" customHeight="1">
      <c r="A116" s="87"/>
      <c r="B116" s="231"/>
      <c r="C116" s="232" t="s">
        <v>30</v>
      </c>
      <c r="D116" s="108"/>
      <c r="E116" s="255"/>
      <c r="F116" s="255"/>
      <c r="G116" s="255"/>
      <c r="H116" s="255"/>
      <c r="I116" s="255"/>
      <c r="J116" s="255"/>
      <c r="K116" s="255"/>
      <c r="L116" s="255"/>
      <c r="M116" s="255"/>
      <c r="N116" s="255"/>
      <c r="O116" s="235" t="s">
        <v>30</v>
      </c>
      <c r="P116" s="236">
        <f>(E116*E101)+(F116*F101)+(G116*G101)+(H116*H101)+(I116*I101)+(J116*J101)+(K116*K101)+(L116*L101)+(M116*M101)+(N116*N101)</f>
        <v>0</v>
      </c>
      <c r="Q116" s="237" t="s">
        <v>31</v>
      </c>
      <c r="R116" s="238" t="b">
        <v>0</v>
      </c>
    </row>
    <row r="117" ht="13.5" customHeight="1">
      <c r="A117" s="68"/>
      <c r="B117" s="239" t="s">
        <v>49</v>
      </c>
      <c r="C117" s="232" t="s">
        <v>34</v>
      </c>
      <c r="D117" s="108"/>
      <c r="E117" s="256"/>
      <c r="F117" s="257"/>
      <c r="G117" s="257"/>
      <c r="H117" s="257"/>
      <c r="I117" s="257"/>
      <c r="J117" s="257"/>
      <c r="K117" s="257"/>
      <c r="L117" s="257"/>
      <c r="M117" s="257"/>
      <c r="N117" s="257"/>
      <c r="O117" s="243" t="s">
        <v>35</v>
      </c>
      <c r="P117" s="236">
        <f>(E117*E101)+(F117*F101)+(G117*G101)+(H117*H101)+(I117*I101)+(J117*J101)+(K117*K101)+(L117*L101)+(M117*M101)+(N117*N101)</f>
        <v>0</v>
      </c>
      <c r="Q117" s="237" t="s">
        <v>36</v>
      </c>
      <c r="R117" s="238" t="b">
        <v>0</v>
      </c>
    </row>
    <row r="118" ht="13.5" customHeight="1">
      <c r="A118" s="80"/>
      <c r="B118" s="245" t="str">
        <f>IFS(P118=0,"",B118&lt;&gt;"",B118,TRUE,NOW())</f>
        <v/>
      </c>
      <c r="C118" s="232" t="s">
        <v>37</v>
      </c>
      <c r="D118" s="108"/>
      <c r="E118" s="258"/>
      <c r="F118" s="258"/>
      <c r="G118" s="258"/>
      <c r="H118" s="258"/>
      <c r="I118" s="258"/>
      <c r="J118" s="258"/>
      <c r="K118" s="258"/>
      <c r="L118" s="258"/>
      <c r="M118" s="258"/>
      <c r="N118" s="258"/>
      <c r="O118" s="248" t="s">
        <v>38</v>
      </c>
      <c r="P118" s="249">
        <f>P117-P116</f>
        <v>0</v>
      </c>
      <c r="Q118" s="250" t="s">
        <v>39</v>
      </c>
      <c r="R118" s="260" t="b">
        <v>0</v>
      </c>
    </row>
    <row r="119" ht="15.0" customHeight="1">
      <c r="A119" s="261" t="s">
        <v>71</v>
      </c>
      <c r="B119" s="209" t="s">
        <v>20</v>
      </c>
      <c r="C119" s="24"/>
      <c r="D119" s="33"/>
      <c r="E119" s="262">
        <f t="shared" ref="E119:N119" si="31">E6</f>
        <v>16</v>
      </c>
      <c r="F119" s="262">
        <f t="shared" si="31"/>
        <v>26</v>
      </c>
      <c r="G119" s="263">
        <f t="shared" si="31"/>
        <v>26</v>
      </c>
      <c r="H119" s="264">
        <f t="shared" si="31"/>
        <v>26</v>
      </c>
      <c r="I119" s="213">
        <f t="shared" si="31"/>
        <v>31</v>
      </c>
      <c r="J119" s="346">
        <f t="shared" si="31"/>
        <v>36</v>
      </c>
      <c r="K119" s="346">
        <f t="shared" si="31"/>
        <v>30</v>
      </c>
      <c r="L119" s="346">
        <f t="shared" si="31"/>
        <v>35</v>
      </c>
      <c r="M119" s="346">
        <f t="shared" si="31"/>
        <v>40</v>
      </c>
      <c r="N119" s="263">
        <f t="shared" si="31"/>
        <v>15</v>
      </c>
      <c r="O119" s="214" t="s">
        <v>21</v>
      </c>
      <c r="P119" s="25"/>
      <c r="Q119" s="215" t="s">
        <v>22</v>
      </c>
      <c r="R119" s="10"/>
    </row>
    <row r="120" ht="13.5" customHeight="1">
      <c r="A120" s="216" t="s">
        <v>23</v>
      </c>
      <c r="B120" s="217" t="s">
        <v>24</v>
      </c>
      <c r="C120" s="218" t="s">
        <v>25</v>
      </c>
      <c r="D120" s="117"/>
      <c r="E120" s="219"/>
      <c r="F120" s="219"/>
      <c r="G120" s="219"/>
      <c r="H120" s="219"/>
      <c r="I120" s="220"/>
      <c r="J120" s="347"/>
      <c r="K120" s="347"/>
      <c r="L120" s="347"/>
      <c r="M120" s="347"/>
      <c r="N120" s="219"/>
      <c r="O120" s="49"/>
      <c r="P120" s="25"/>
      <c r="Q120" s="50"/>
      <c r="R120" s="10"/>
    </row>
    <row r="121" ht="13.5" customHeight="1">
      <c r="A121" s="221"/>
      <c r="B121" s="222" t="s">
        <v>72</v>
      </c>
      <c r="C121" s="223" t="s">
        <v>27</v>
      </c>
      <c r="D121" s="224"/>
      <c r="E121" s="225">
        <f t="shared" ref="E121:N121" si="32">E120-E122</f>
        <v>0</v>
      </c>
      <c r="F121" s="225">
        <f t="shared" si="32"/>
        <v>0</v>
      </c>
      <c r="G121" s="225">
        <f t="shared" si="32"/>
        <v>0</v>
      </c>
      <c r="H121" s="225">
        <f t="shared" si="32"/>
        <v>0</v>
      </c>
      <c r="I121" s="225">
        <f t="shared" si="32"/>
        <v>0</v>
      </c>
      <c r="J121" s="226">
        <f t="shared" si="32"/>
        <v>0</v>
      </c>
      <c r="K121" s="226">
        <f t="shared" si="32"/>
        <v>0</v>
      </c>
      <c r="L121" s="226">
        <f t="shared" si="32"/>
        <v>0</v>
      </c>
      <c r="M121" s="226">
        <f t="shared" si="32"/>
        <v>0</v>
      </c>
      <c r="N121" s="226">
        <f t="shared" si="32"/>
        <v>0</v>
      </c>
      <c r="O121" s="227"/>
      <c r="P121" s="30"/>
      <c r="Q121" s="228" t="s">
        <v>28</v>
      </c>
      <c r="R121" s="229" t="b">
        <v>0</v>
      </c>
    </row>
    <row r="122" ht="13.5" customHeight="1">
      <c r="A122" s="230" t="s">
        <v>29</v>
      </c>
      <c r="B122" s="231"/>
      <c r="C122" s="232" t="s">
        <v>30</v>
      </c>
      <c r="D122" s="108"/>
      <c r="E122" s="233"/>
      <c r="F122" s="233"/>
      <c r="G122" s="233"/>
      <c r="H122" s="233"/>
      <c r="I122" s="234"/>
      <c r="J122" s="234"/>
      <c r="K122" s="234"/>
      <c r="L122" s="234"/>
      <c r="M122" s="234"/>
      <c r="N122" s="233"/>
      <c r="O122" s="235" t="s">
        <v>30</v>
      </c>
      <c r="P122" s="236">
        <f>(E122*E119)+(F122*F119)+(G122*G119)+(H122*H119)+(I122*I119)+(J122*J119)+(K122*K119)+(L122*L119)+(M122*M119)+(N122*N119)</f>
        <v>0</v>
      </c>
      <c r="Q122" s="237" t="s">
        <v>31</v>
      </c>
      <c r="R122" s="238" t="b">
        <v>0</v>
      </c>
    </row>
    <row r="123" ht="13.5" customHeight="1">
      <c r="A123" s="221"/>
      <c r="B123" s="239" t="s">
        <v>33</v>
      </c>
      <c r="C123" s="232" t="s">
        <v>34</v>
      </c>
      <c r="D123" s="108"/>
      <c r="E123" s="240"/>
      <c r="F123" s="241"/>
      <c r="G123" s="241"/>
      <c r="H123" s="241"/>
      <c r="I123" s="242"/>
      <c r="J123" s="242"/>
      <c r="K123" s="242"/>
      <c r="L123" s="242"/>
      <c r="M123" s="242"/>
      <c r="N123" s="241"/>
      <c r="O123" s="243" t="s">
        <v>35</v>
      </c>
      <c r="P123" s="236">
        <f>(E123*E119)+(F123*F119)+(G123*G119)+(H123*H119)+(I123*I119)+(J123*J119)+(K123*K119)+(L123*L119)+(M123*M119)+(N123*N119)</f>
        <v>0</v>
      </c>
      <c r="Q123" s="244" t="s">
        <v>36</v>
      </c>
      <c r="R123" s="238" t="b">
        <v>0</v>
      </c>
    </row>
    <row r="124" ht="15.0" customHeight="1">
      <c r="A124" s="68"/>
      <c r="B124" s="245" t="str">
        <f>IFS(P124=0,"",B124&lt;&gt;"",B124,TRUE,NOW())</f>
        <v/>
      </c>
      <c r="C124" s="232" t="s">
        <v>37</v>
      </c>
      <c r="D124" s="108"/>
      <c r="E124" s="246"/>
      <c r="F124" s="246"/>
      <c r="G124" s="246"/>
      <c r="H124" s="246"/>
      <c r="I124" s="247"/>
      <c r="J124" s="247"/>
      <c r="K124" s="247"/>
      <c r="L124" s="247"/>
      <c r="M124" s="247"/>
      <c r="N124" s="246"/>
      <c r="O124" s="248" t="s">
        <v>38</v>
      </c>
      <c r="P124" s="249">
        <f>P123-P122</f>
        <v>0</v>
      </c>
      <c r="Q124" s="250" t="s">
        <v>39</v>
      </c>
      <c r="R124" s="238" t="b">
        <v>0</v>
      </c>
    </row>
    <row r="125" ht="13.5" customHeight="1">
      <c r="A125" s="230" t="s">
        <v>40</v>
      </c>
      <c r="B125" s="222" t="s">
        <v>72</v>
      </c>
      <c r="C125" s="223" t="s">
        <v>27</v>
      </c>
      <c r="D125" s="224"/>
      <c r="E125" s="225">
        <f t="shared" ref="E125:N125" si="33">E123-E126</f>
        <v>0</v>
      </c>
      <c r="F125" s="225">
        <f t="shared" si="33"/>
        <v>0</v>
      </c>
      <c r="G125" s="225">
        <f t="shared" si="33"/>
        <v>0</v>
      </c>
      <c r="H125" s="225">
        <f t="shared" si="33"/>
        <v>0</v>
      </c>
      <c r="I125" s="225">
        <f t="shared" si="33"/>
        <v>0</v>
      </c>
      <c r="J125" s="226">
        <f t="shared" si="33"/>
        <v>0</v>
      </c>
      <c r="K125" s="226">
        <f t="shared" si="33"/>
        <v>0</v>
      </c>
      <c r="L125" s="226">
        <f t="shared" si="33"/>
        <v>0</v>
      </c>
      <c r="M125" s="226">
        <f t="shared" si="33"/>
        <v>0</v>
      </c>
      <c r="N125" s="226">
        <f t="shared" si="33"/>
        <v>0</v>
      </c>
      <c r="O125" s="227"/>
      <c r="P125" s="30"/>
      <c r="Q125" s="228" t="s">
        <v>28</v>
      </c>
      <c r="R125" s="229" t="b">
        <v>0</v>
      </c>
    </row>
    <row r="126" ht="13.5" customHeight="1">
      <c r="A126" s="221"/>
      <c r="B126" s="231"/>
      <c r="C126" s="232" t="s">
        <v>30</v>
      </c>
      <c r="D126" s="108"/>
      <c r="E126" s="233"/>
      <c r="F126" s="233"/>
      <c r="G126" s="233"/>
      <c r="H126" s="233"/>
      <c r="I126" s="234"/>
      <c r="J126" s="348"/>
      <c r="K126" s="348"/>
      <c r="L126" s="348"/>
      <c r="M126" s="348"/>
      <c r="N126" s="251"/>
      <c r="O126" s="235" t="s">
        <v>30</v>
      </c>
      <c r="P126" s="236">
        <f>(E126*E119)+(F126*F119)+(G126*G119)+(H126*H119)+(I126*I119)+(J126*J119)+(K126*K119)+(L126*L119)+(M126*M119)+(N126*N119)</f>
        <v>0</v>
      </c>
      <c r="Q126" s="237" t="s">
        <v>31</v>
      </c>
      <c r="R126" s="238" t="b">
        <v>0</v>
      </c>
    </row>
    <row r="127" ht="13.5" customHeight="1">
      <c r="A127" s="68"/>
      <c r="B127" s="239" t="s">
        <v>42</v>
      </c>
      <c r="C127" s="232" t="s">
        <v>34</v>
      </c>
      <c r="D127" s="108"/>
      <c r="E127" s="240"/>
      <c r="F127" s="241"/>
      <c r="G127" s="241"/>
      <c r="H127" s="241"/>
      <c r="I127" s="242"/>
      <c r="J127" s="349"/>
      <c r="K127" s="349"/>
      <c r="L127" s="349"/>
      <c r="M127" s="349"/>
      <c r="N127" s="252"/>
      <c r="O127" s="243" t="s">
        <v>35</v>
      </c>
      <c r="P127" s="236">
        <f>(E127*E119)+(F127*F119)+(G127*G119)+(H127*H119)+(I127*I119)+(J127*J119)+(K127*K119)+(L127*L119)+(M127*M119)+(N127*N119)</f>
        <v>0</v>
      </c>
      <c r="Q127" s="237" t="s">
        <v>36</v>
      </c>
      <c r="R127" s="238" t="b">
        <v>0</v>
      </c>
    </row>
    <row r="128" ht="13.5" customHeight="1">
      <c r="A128" s="230" t="s">
        <v>43</v>
      </c>
      <c r="B128" s="245" t="str">
        <f>IFS(P128=0,"",B128&lt;&gt;"",B128,TRUE,NOW())</f>
        <v/>
      </c>
      <c r="C128" s="232" t="s">
        <v>37</v>
      </c>
      <c r="D128" s="108"/>
      <c r="E128" s="246"/>
      <c r="F128" s="246"/>
      <c r="G128" s="246"/>
      <c r="H128" s="246"/>
      <c r="I128" s="247"/>
      <c r="J128" s="350"/>
      <c r="K128" s="350"/>
      <c r="L128" s="350"/>
      <c r="M128" s="350"/>
      <c r="N128" s="253"/>
      <c r="O128" s="248" t="s">
        <v>38</v>
      </c>
      <c r="P128" s="249">
        <f>P127-P126</f>
        <v>0</v>
      </c>
      <c r="Q128" s="250" t="s">
        <v>39</v>
      </c>
      <c r="R128" s="238" t="b">
        <v>0</v>
      </c>
    </row>
    <row r="129" ht="18.0" customHeight="1">
      <c r="A129" s="230"/>
      <c r="B129" s="222" t="s">
        <v>72</v>
      </c>
      <c r="C129" s="223" t="s">
        <v>27</v>
      </c>
      <c r="D129" s="224"/>
      <c r="E129" s="254">
        <f t="shared" ref="E129:N129" si="34">E127-E130</f>
        <v>0</v>
      </c>
      <c r="F129" s="254">
        <f t="shared" si="34"/>
        <v>0</v>
      </c>
      <c r="G129" s="254">
        <f t="shared" si="34"/>
        <v>0</v>
      </c>
      <c r="H129" s="254">
        <f t="shared" si="34"/>
        <v>0</v>
      </c>
      <c r="I129" s="254">
        <f t="shared" si="34"/>
        <v>0</v>
      </c>
      <c r="J129" s="254">
        <f t="shared" si="34"/>
        <v>0</v>
      </c>
      <c r="K129" s="254">
        <f t="shared" si="34"/>
        <v>0</v>
      </c>
      <c r="L129" s="254">
        <f t="shared" si="34"/>
        <v>0</v>
      </c>
      <c r="M129" s="254">
        <f t="shared" si="34"/>
        <v>0</v>
      </c>
      <c r="N129" s="254">
        <f t="shared" si="34"/>
        <v>0</v>
      </c>
      <c r="O129" s="227"/>
      <c r="P129" s="30"/>
      <c r="Q129" s="228" t="s">
        <v>28</v>
      </c>
      <c r="R129" s="229" t="b">
        <v>0</v>
      </c>
    </row>
    <row r="130" ht="13.5" customHeight="1">
      <c r="A130" s="230" t="s">
        <v>45</v>
      </c>
      <c r="B130" s="231"/>
      <c r="C130" s="232" t="s">
        <v>30</v>
      </c>
      <c r="D130" s="108"/>
      <c r="E130" s="255"/>
      <c r="F130" s="255"/>
      <c r="G130" s="255"/>
      <c r="H130" s="255"/>
      <c r="I130" s="255"/>
      <c r="J130" s="255"/>
      <c r="K130" s="255"/>
      <c r="L130" s="255"/>
      <c r="M130" s="255"/>
      <c r="N130" s="255"/>
      <c r="O130" s="235" t="s">
        <v>30</v>
      </c>
      <c r="P130" s="236">
        <f>(E130*E119)+(F130*F119)+(G130*G119)+(H130*H119)+(I130*I119)+(J130*J119)+(K130*K119)+(L130*L119)+(M130*M119)+(N130*N119)</f>
        <v>0</v>
      </c>
      <c r="Q130" s="237" t="s">
        <v>31</v>
      </c>
      <c r="R130" s="238" t="b">
        <v>0</v>
      </c>
    </row>
    <row r="131" ht="13.5" customHeight="1">
      <c r="A131" s="221"/>
      <c r="B131" s="239" t="s">
        <v>47</v>
      </c>
      <c r="C131" s="232" t="s">
        <v>34</v>
      </c>
      <c r="D131" s="108"/>
      <c r="E131" s="256"/>
      <c r="F131" s="257"/>
      <c r="G131" s="257"/>
      <c r="H131" s="257"/>
      <c r="I131" s="257"/>
      <c r="J131" s="257"/>
      <c r="K131" s="257"/>
      <c r="L131" s="257"/>
      <c r="M131" s="257"/>
      <c r="N131" s="257"/>
      <c r="O131" s="243" t="s">
        <v>35</v>
      </c>
      <c r="P131" s="236">
        <f>(E131*E119)+(F131*F119)+(G131*G119)+(H131*H119)+(I131*I119)+(J131*J119)+(K131*K119)+(L131*L119)+(M131*M119)+(N131*N119)</f>
        <v>0</v>
      </c>
      <c r="Q131" s="237" t="s">
        <v>36</v>
      </c>
      <c r="R131" s="238" t="b">
        <v>0</v>
      </c>
    </row>
    <row r="132" ht="13.5" customHeight="1">
      <c r="A132" s="68"/>
      <c r="B132" s="245" t="str">
        <f>IFS(P132=0,"",B132&lt;&gt;"",B132,TRUE,NOW())</f>
        <v/>
      </c>
      <c r="C132" s="232" t="s">
        <v>37</v>
      </c>
      <c r="D132" s="108"/>
      <c r="E132" s="258"/>
      <c r="F132" s="258"/>
      <c r="G132" s="258"/>
      <c r="H132" s="258"/>
      <c r="I132" s="258"/>
      <c r="J132" s="258"/>
      <c r="K132" s="258"/>
      <c r="L132" s="258"/>
      <c r="M132" s="258"/>
      <c r="N132" s="258"/>
      <c r="O132" s="248" t="s">
        <v>38</v>
      </c>
      <c r="P132" s="249">
        <f>P131-P130</f>
        <v>0</v>
      </c>
      <c r="Q132" s="250" t="s">
        <v>39</v>
      </c>
      <c r="R132" s="238" t="b">
        <v>0</v>
      </c>
    </row>
    <row r="133" ht="13.5" customHeight="1">
      <c r="A133" s="259" t="s">
        <v>48</v>
      </c>
      <c r="B133" s="222" t="s">
        <v>72</v>
      </c>
      <c r="C133" s="223" t="s">
        <v>27</v>
      </c>
      <c r="D133" s="224"/>
      <c r="E133" s="254">
        <f t="shared" ref="E133:N133" si="35">E131-E134</f>
        <v>0</v>
      </c>
      <c r="F133" s="254">
        <f t="shared" si="35"/>
        <v>0</v>
      </c>
      <c r="G133" s="254">
        <f t="shared" si="35"/>
        <v>0</v>
      </c>
      <c r="H133" s="254">
        <f t="shared" si="35"/>
        <v>0</v>
      </c>
      <c r="I133" s="254">
        <f t="shared" si="35"/>
        <v>0</v>
      </c>
      <c r="J133" s="254">
        <f t="shared" si="35"/>
        <v>0</v>
      </c>
      <c r="K133" s="254">
        <f t="shared" si="35"/>
        <v>0</v>
      </c>
      <c r="L133" s="254">
        <f t="shared" si="35"/>
        <v>0</v>
      </c>
      <c r="M133" s="254">
        <f t="shared" si="35"/>
        <v>0</v>
      </c>
      <c r="N133" s="254">
        <f t="shared" si="35"/>
        <v>0</v>
      </c>
      <c r="O133" s="227"/>
      <c r="P133" s="30"/>
      <c r="Q133" s="228" t="s">
        <v>28</v>
      </c>
      <c r="R133" s="229" t="b">
        <v>0</v>
      </c>
    </row>
    <row r="134" ht="18.75" customHeight="1">
      <c r="A134" s="87"/>
      <c r="B134" s="231"/>
      <c r="C134" s="232" t="s">
        <v>30</v>
      </c>
      <c r="D134" s="108"/>
      <c r="E134" s="255"/>
      <c r="F134" s="255"/>
      <c r="G134" s="255"/>
      <c r="H134" s="255"/>
      <c r="I134" s="255"/>
      <c r="J134" s="255"/>
      <c r="K134" s="255"/>
      <c r="L134" s="255"/>
      <c r="M134" s="255"/>
      <c r="N134" s="255"/>
      <c r="O134" s="235" t="s">
        <v>30</v>
      </c>
      <c r="P134" s="236">
        <f>(E134*E119)+(F134*F119)+(G134*G119)+(H134*H119)+(I134*I119)+(J134*J119)+(K134*K119)+(L134*L119)+(M134*M119)+(N134*N119)</f>
        <v>0</v>
      </c>
      <c r="Q134" s="237" t="s">
        <v>31</v>
      </c>
      <c r="R134" s="238" t="b">
        <v>0</v>
      </c>
    </row>
    <row r="135" ht="13.5" customHeight="1">
      <c r="A135" s="68"/>
      <c r="B135" s="239" t="s">
        <v>49</v>
      </c>
      <c r="C135" s="232" t="s">
        <v>34</v>
      </c>
      <c r="D135" s="108"/>
      <c r="E135" s="256"/>
      <c r="F135" s="257"/>
      <c r="G135" s="257"/>
      <c r="H135" s="257"/>
      <c r="I135" s="257"/>
      <c r="J135" s="257"/>
      <c r="K135" s="257"/>
      <c r="L135" s="257"/>
      <c r="M135" s="257"/>
      <c r="N135" s="257"/>
      <c r="O135" s="243" t="s">
        <v>35</v>
      </c>
      <c r="P135" s="236">
        <f>(E135*E119)+(F135*F119)+(G135*G119)+(H135*H119)+(I135*I119)+(J135*J119)+(K135*K119)+(L135*L119)+(M135*M119)+(N135*N119)</f>
        <v>0</v>
      </c>
      <c r="Q135" s="237" t="s">
        <v>36</v>
      </c>
      <c r="R135" s="238" t="b">
        <v>0</v>
      </c>
    </row>
    <row r="136" ht="13.5" customHeight="1">
      <c r="A136" s="80"/>
      <c r="B136" s="245" t="str">
        <f>IFS(P136=0,"",B136&lt;&gt;"",B136,TRUE,NOW())</f>
        <v/>
      </c>
      <c r="C136" s="232" t="s">
        <v>37</v>
      </c>
      <c r="D136" s="108"/>
      <c r="E136" s="258"/>
      <c r="F136" s="258"/>
      <c r="G136" s="258"/>
      <c r="H136" s="258"/>
      <c r="I136" s="258"/>
      <c r="J136" s="258"/>
      <c r="K136" s="258"/>
      <c r="L136" s="258"/>
      <c r="M136" s="258"/>
      <c r="N136" s="258"/>
      <c r="O136" s="248" t="s">
        <v>38</v>
      </c>
      <c r="P136" s="249">
        <f>P135-P134</f>
        <v>0</v>
      </c>
      <c r="Q136" s="250" t="s">
        <v>39</v>
      </c>
      <c r="R136" s="260" t="b">
        <v>0</v>
      </c>
    </row>
    <row r="137" ht="13.5" customHeight="1">
      <c r="A137" s="261" t="s">
        <v>74</v>
      </c>
      <c r="B137" s="209" t="s">
        <v>20</v>
      </c>
      <c r="C137" s="24"/>
      <c r="D137" s="33"/>
      <c r="E137" s="262">
        <f t="shared" ref="E137:N137" si="36">E6</f>
        <v>16</v>
      </c>
      <c r="F137" s="262">
        <f t="shared" si="36"/>
        <v>26</v>
      </c>
      <c r="G137" s="263">
        <f t="shared" si="36"/>
        <v>26</v>
      </c>
      <c r="H137" s="264">
        <f t="shared" si="36"/>
        <v>26</v>
      </c>
      <c r="I137" s="213">
        <f t="shared" si="36"/>
        <v>31</v>
      </c>
      <c r="J137" s="346">
        <f t="shared" si="36"/>
        <v>36</v>
      </c>
      <c r="K137" s="346">
        <f t="shared" si="36"/>
        <v>30</v>
      </c>
      <c r="L137" s="346">
        <f t="shared" si="36"/>
        <v>35</v>
      </c>
      <c r="M137" s="346">
        <f t="shared" si="36"/>
        <v>40</v>
      </c>
      <c r="N137" s="263">
        <f t="shared" si="36"/>
        <v>15</v>
      </c>
      <c r="O137" s="214" t="s">
        <v>21</v>
      </c>
      <c r="P137" s="25"/>
      <c r="Q137" s="215" t="s">
        <v>22</v>
      </c>
      <c r="R137" s="10"/>
    </row>
    <row r="138" ht="13.5" customHeight="1">
      <c r="A138" s="216" t="s">
        <v>23</v>
      </c>
      <c r="B138" s="217" t="s">
        <v>24</v>
      </c>
      <c r="C138" s="218" t="s">
        <v>25</v>
      </c>
      <c r="D138" s="117"/>
      <c r="E138" s="219"/>
      <c r="F138" s="219"/>
      <c r="G138" s="219"/>
      <c r="H138" s="219"/>
      <c r="I138" s="220"/>
      <c r="J138" s="347"/>
      <c r="K138" s="347"/>
      <c r="L138" s="347"/>
      <c r="M138" s="347"/>
      <c r="N138" s="219"/>
      <c r="O138" s="49"/>
      <c r="P138" s="25"/>
      <c r="Q138" s="50"/>
      <c r="R138" s="10"/>
    </row>
    <row r="139" ht="13.5" customHeight="1">
      <c r="A139" s="221"/>
      <c r="B139" s="222" t="s">
        <v>75</v>
      </c>
      <c r="C139" s="223" t="s">
        <v>27</v>
      </c>
      <c r="D139" s="224"/>
      <c r="E139" s="225">
        <f t="shared" ref="E139:N139" si="37">E138-E140</f>
        <v>0</v>
      </c>
      <c r="F139" s="225">
        <f t="shared" si="37"/>
        <v>0</v>
      </c>
      <c r="G139" s="225">
        <f t="shared" si="37"/>
        <v>0</v>
      </c>
      <c r="H139" s="225">
        <f t="shared" si="37"/>
        <v>0</v>
      </c>
      <c r="I139" s="225">
        <f t="shared" si="37"/>
        <v>0</v>
      </c>
      <c r="J139" s="226">
        <f t="shared" si="37"/>
        <v>0</v>
      </c>
      <c r="K139" s="226">
        <f t="shared" si="37"/>
        <v>0</v>
      </c>
      <c r="L139" s="226">
        <f t="shared" si="37"/>
        <v>0</v>
      </c>
      <c r="M139" s="226">
        <f t="shared" si="37"/>
        <v>0</v>
      </c>
      <c r="N139" s="226">
        <f t="shared" si="37"/>
        <v>0</v>
      </c>
      <c r="O139" s="227"/>
      <c r="P139" s="30"/>
      <c r="Q139" s="228" t="s">
        <v>28</v>
      </c>
      <c r="R139" s="229" t="b">
        <v>0</v>
      </c>
    </row>
    <row r="140" ht="13.5" customHeight="1">
      <c r="A140" s="230" t="s">
        <v>29</v>
      </c>
      <c r="B140" s="231"/>
      <c r="C140" s="232" t="s">
        <v>30</v>
      </c>
      <c r="D140" s="108"/>
      <c r="E140" s="233"/>
      <c r="F140" s="233"/>
      <c r="G140" s="233"/>
      <c r="H140" s="233"/>
      <c r="I140" s="234"/>
      <c r="J140" s="234"/>
      <c r="K140" s="234"/>
      <c r="L140" s="234"/>
      <c r="M140" s="234"/>
      <c r="N140" s="233"/>
      <c r="O140" s="235" t="s">
        <v>30</v>
      </c>
      <c r="P140" s="236">
        <f>(E140*E137)+(F140*F137)+(G140*G137)+(H140*H137)+(I140*I137)+(J140*J137)+(K140*K137)+(L140*L137)+(M140*M137)+(N140*N137)</f>
        <v>0</v>
      </c>
      <c r="Q140" s="237" t="s">
        <v>31</v>
      </c>
      <c r="R140" s="238" t="b">
        <v>0</v>
      </c>
    </row>
    <row r="141" ht="15.0" customHeight="1">
      <c r="A141" s="221"/>
      <c r="B141" s="239" t="s">
        <v>33</v>
      </c>
      <c r="C141" s="232" t="s">
        <v>34</v>
      </c>
      <c r="D141" s="108"/>
      <c r="E141" s="240"/>
      <c r="F141" s="241"/>
      <c r="G141" s="241"/>
      <c r="H141" s="241"/>
      <c r="I141" s="242"/>
      <c r="J141" s="242"/>
      <c r="K141" s="242"/>
      <c r="L141" s="242"/>
      <c r="M141" s="242"/>
      <c r="N141" s="241"/>
      <c r="O141" s="243" t="s">
        <v>35</v>
      </c>
      <c r="P141" s="236">
        <f>(E141*E137)+(F141*F137)+(G141*G137)+(H141*H137)+(I141*I137)+(J141*J137)+(K141*K137)+(L141*L137)+(M141*M137)+(N141*N137)</f>
        <v>0</v>
      </c>
      <c r="Q141" s="244" t="s">
        <v>36</v>
      </c>
      <c r="R141" s="238" t="b">
        <v>0</v>
      </c>
    </row>
    <row r="142" ht="13.5" customHeight="1">
      <c r="A142" s="68"/>
      <c r="B142" s="245" t="str">
        <f>IFS(P142=0,"",B142&lt;&gt;"",B142,TRUE,NOW())</f>
        <v/>
      </c>
      <c r="C142" s="232" t="s">
        <v>37</v>
      </c>
      <c r="D142" s="108"/>
      <c r="E142" s="246"/>
      <c r="F142" s="246"/>
      <c r="G142" s="246"/>
      <c r="H142" s="246"/>
      <c r="I142" s="247"/>
      <c r="J142" s="247"/>
      <c r="K142" s="247"/>
      <c r="L142" s="247"/>
      <c r="M142" s="247"/>
      <c r="N142" s="246"/>
      <c r="O142" s="248" t="s">
        <v>38</v>
      </c>
      <c r="P142" s="249">
        <f>P141-P140</f>
        <v>0</v>
      </c>
      <c r="Q142" s="250" t="s">
        <v>39</v>
      </c>
      <c r="R142" s="238" t="b">
        <v>0</v>
      </c>
    </row>
    <row r="143" ht="13.5" customHeight="1">
      <c r="A143" s="230" t="s">
        <v>40</v>
      </c>
      <c r="B143" s="222" t="s">
        <v>75</v>
      </c>
      <c r="C143" s="223" t="s">
        <v>27</v>
      </c>
      <c r="D143" s="224"/>
      <c r="E143" s="225">
        <f t="shared" ref="E143:N143" si="38">E141-E144</f>
        <v>0</v>
      </c>
      <c r="F143" s="225">
        <f t="shared" si="38"/>
        <v>0</v>
      </c>
      <c r="G143" s="225">
        <f t="shared" si="38"/>
        <v>0</v>
      </c>
      <c r="H143" s="225">
        <f t="shared" si="38"/>
        <v>0</v>
      </c>
      <c r="I143" s="225">
        <f t="shared" si="38"/>
        <v>0</v>
      </c>
      <c r="J143" s="226">
        <f t="shared" si="38"/>
        <v>0</v>
      </c>
      <c r="K143" s="226">
        <f t="shared" si="38"/>
        <v>0</v>
      </c>
      <c r="L143" s="226">
        <f t="shared" si="38"/>
        <v>0</v>
      </c>
      <c r="M143" s="226">
        <f t="shared" si="38"/>
        <v>0</v>
      </c>
      <c r="N143" s="226">
        <f t="shared" si="38"/>
        <v>0</v>
      </c>
      <c r="O143" s="227"/>
      <c r="P143" s="30"/>
      <c r="Q143" s="228" t="s">
        <v>28</v>
      </c>
      <c r="R143" s="229" t="b">
        <v>0</v>
      </c>
    </row>
    <row r="144" ht="13.5" customHeight="1">
      <c r="A144" s="221"/>
      <c r="B144" s="231"/>
      <c r="C144" s="232" t="s">
        <v>30</v>
      </c>
      <c r="D144" s="108"/>
      <c r="E144" s="233"/>
      <c r="F144" s="233"/>
      <c r="G144" s="233"/>
      <c r="H144" s="233"/>
      <c r="I144" s="234"/>
      <c r="J144" s="348"/>
      <c r="K144" s="348"/>
      <c r="L144" s="348"/>
      <c r="M144" s="348"/>
      <c r="N144" s="251"/>
      <c r="O144" s="235" t="s">
        <v>30</v>
      </c>
      <c r="P144" s="236">
        <f>(E144*E137)+(F144*F137)+(G144*G137)+(H144*H137)+(I144*I137)+(J144*J137)+(K144*K137)+(L144*L137)+(M144*M137)+(N144*N137)</f>
        <v>0</v>
      </c>
      <c r="Q144" s="237" t="s">
        <v>31</v>
      </c>
      <c r="R144" s="238" t="b">
        <v>0</v>
      </c>
    </row>
    <row r="145" ht="13.5" customHeight="1">
      <c r="A145" s="68"/>
      <c r="B145" s="239" t="s">
        <v>42</v>
      </c>
      <c r="C145" s="232" t="s">
        <v>34</v>
      </c>
      <c r="D145" s="108"/>
      <c r="E145" s="240"/>
      <c r="F145" s="241"/>
      <c r="G145" s="241"/>
      <c r="H145" s="241"/>
      <c r="I145" s="242"/>
      <c r="J145" s="349"/>
      <c r="K145" s="349"/>
      <c r="L145" s="349"/>
      <c r="M145" s="349"/>
      <c r="N145" s="252"/>
      <c r="O145" s="243" t="s">
        <v>35</v>
      </c>
      <c r="P145" s="236">
        <f>(E145*E137)+(F145*F137)+(G145*G137)+(H145*H137)+(I145*I137)+(J145*J137)+(K145*K137)+(L145*L137)+(M145*M137)+(N145*N137)</f>
        <v>0</v>
      </c>
      <c r="Q145" s="237" t="s">
        <v>36</v>
      </c>
      <c r="R145" s="238" t="b">
        <v>0</v>
      </c>
    </row>
    <row r="146" ht="15.0" customHeight="1">
      <c r="A146" s="230" t="s">
        <v>43</v>
      </c>
      <c r="B146" s="245" t="str">
        <f>IFS(P146=0,"",B146&lt;&gt;"",B146,TRUE,NOW())</f>
        <v/>
      </c>
      <c r="C146" s="232" t="s">
        <v>37</v>
      </c>
      <c r="D146" s="108"/>
      <c r="E146" s="246"/>
      <c r="F146" s="246"/>
      <c r="G146" s="246"/>
      <c r="H146" s="246"/>
      <c r="I146" s="247"/>
      <c r="J146" s="350"/>
      <c r="K146" s="350"/>
      <c r="L146" s="350"/>
      <c r="M146" s="350"/>
      <c r="N146" s="253"/>
      <c r="O146" s="248" t="s">
        <v>38</v>
      </c>
      <c r="P146" s="249">
        <f>P145-P144</f>
        <v>0</v>
      </c>
      <c r="Q146" s="250" t="s">
        <v>39</v>
      </c>
      <c r="R146" s="238" t="b">
        <v>0</v>
      </c>
    </row>
    <row r="147" ht="13.5" customHeight="1">
      <c r="A147" s="230"/>
      <c r="B147" s="222" t="s">
        <v>75</v>
      </c>
      <c r="C147" s="223" t="s">
        <v>27</v>
      </c>
      <c r="D147" s="224"/>
      <c r="E147" s="254">
        <f t="shared" ref="E147:N147" si="39">E145-E148</f>
        <v>0</v>
      </c>
      <c r="F147" s="254">
        <f t="shared" si="39"/>
        <v>0</v>
      </c>
      <c r="G147" s="254">
        <f t="shared" si="39"/>
        <v>0</v>
      </c>
      <c r="H147" s="254">
        <f t="shared" si="39"/>
        <v>0</v>
      </c>
      <c r="I147" s="254">
        <f t="shared" si="39"/>
        <v>0</v>
      </c>
      <c r="J147" s="254">
        <f t="shared" si="39"/>
        <v>0</v>
      </c>
      <c r="K147" s="254">
        <f t="shared" si="39"/>
        <v>0</v>
      </c>
      <c r="L147" s="254">
        <f t="shared" si="39"/>
        <v>0</v>
      </c>
      <c r="M147" s="254">
        <f t="shared" si="39"/>
        <v>0</v>
      </c>
      <c r="N147" s="254">
        <f t="shared" si="39"/>
        <v>0</v>
      </c>
      <c r="O147" s="227"/>
      <c r="P147" s="30"/>
      <c r="Q147" s="228" t="s">
        <v>28</v>
      </c>
      <c r="R147" s="229" t="b">
        <v>0</v>
      </c>
    </row>
    <row r="148" ht="13.5" customHeight="1">
      <c r="A148" s="230" t="s">
        <v>45</v>
      </c>
      <c r="B148" s="231"/>
      <c r="C148" s="232" t="s">
        <v>30</v>
      </c>
      <c r="D148" s="108"/>
      <c r="E148" s="255"/>
      <c r="F148" s="255"/>
      <c r="G148" s="255"/>
      <c r="H148" s="255"/>
      <c r="I148" s="255"/>
      <c r="J148" s="255"/>
      <c r="K148" s="255"/>
      <c r="L148" s="255"/>
      <c r="M148" s="255"/>
      <c r="N148" s="255"/>
      <c r="O148" s="235" t="s">
        <v>30</v>
      </c>
      <c r="P148" s="236">
        <f>(E148*E137)+(F148*F137)+(G148*G137)+(H148*H137)+(I148*I137)+(J148*J137)+(K148*K137)+(L148*L137)+(M148*M137)+(N148*N137)</f>
        <v>0</v>
      </c>
      <c r="Q148" s="237" t="s">
        <v>31</v>
      </c>
      <c r="R148" s="238" t="b">
        <v>0</v>
      </c>
    </row>
    <row r="149" ht="13.5" customHeight="1">
      <c r="A149" s="221"/>
      <c r="B149" s="239" t="s">
        <v>47</v>
      </c>
      <c r="C149" s="232" t="s">
        <v>34</v>
      </c>
      <c r="D149" s="108"/>
      <c r="E149" s="256"/>
      <c r="F149" s="257"/>
      <c r="G149" s="257"/>
      <c r="H149" s="257"/>
      <c r="I149" s="257"/>
      <c r="J149" s="257"/>
      <c r="K149" s="257"/>
      <c r="L149" s="257"/>
      <c r="M149" s="257"/>
      <c r="N149" s="257"/>
      <c r="O149" s="243" t="s">
        <v>35</v>
      </c>
      <c r="P149" s="236">
        <f>(E149*E137)+(F149*F137)+(G149*G137)+(H149*H137)+(I149*I137)+(J149*J137)+(K149*K137)+(L149*L137)+(M149*M137)+(N149*N137)</f>
        <v>0</v>
      </c>
      <c r="Q149" s="237" t="s">
        <v>36</v>
      </c>
      <c r="R149" s="238" t="b">
        <v>0</v>
      </c>
    </row>
    <row r="150" ht="13.5" customHeight="1">
      <c r="A150" s="68"/>
      <c r="B150" s="245" t="str">
        <f>IFS(P150=0,"",B150&lt;&gt;"",B150,TRUE,NOW())</f>
        <v/>
      </c>
      <c r="C150" s="232" t="s">
        <v>37</v>
      </c>
      <c r="D150" s="108"/>
      <c r="E150" s="258"/>
      <c r="F150" s="258"/>
      <c r="G150" s="258"/>
      <c r="H150" s="258"/>
      <c r="I150" s="258"/>
      <c r="J150" s="258"/>
      <c r="K150" s="258"/>
      <c r="L150" s="258"/>
      <c r="M150" s="258"/>
      <c r="N150" s="258"/>
      <c r="O150" s="248" t="s">
        <v>38</v>
      </c>
      <c r="P150" s="249">
        <f>P149-P148</f>
        <v>0</v>
      </c>
      <c r="Q150" s="250" t="s">
        <v>39</v>
      </c>
      <c r="R150" s="238" t="b">
        <v>0</v>
      </c>
    </row>
    <row r="151" ht="15.0" customHeight="1">
      <c r="A151" s="259" t="s">
        <v>48</v>
      </c>
      <c r="B151" s="222" t="s">
        <v>75</v>
      </c>
      <c r="C151" s="223" t="s">
        <v>27</v>
      </c>
      <c r="D151" s="224"/>
      <c r="E151" s="254">
        <f t="shared" ref="E151:N151" si="40">E149-E152</f>
        <v>0</v>
      </c>
      <c r="F151" s="254">
        <f t="shared" si="40"/>
        <v>0</v>
      </c>
      <c r="G151" s="254">
        <f t="shared" si="40"/>
        <v>0</v>
      </c>
      <c r="H151" s="254">
        <f t="shared" si="40"/>
        <v>0</v>
      </c>
      <c r="I151" s="254">
        <f t="shared" si="40"/>
        <v>0</v>
      </c>
      <c r="J151" s="254">
        <f t="shared" si="40"/>
        <v>0</v>
      </c>
      <c r="K151" s="254">
        <f t="shared" si="40"/>
        <v>0</v>
      </c>
      <c r="L151" s="254">
        <f t="shared" si="40"/>
        <v>0</v>
      </c>
      <c r="M151" s="254">
        <f t="shared" si="40"/>
        <v>0</v>
      </c>
      <c r="N151" s="254">
        <f t="shared" si="40"/>
        <v>0</v>
      </c>
      <c r="O151" s="227"/>
      <c r="P151" s="30"/>
      <c r="Q151" s="228" t="s">
        <v>28</v>
      </c>
      <c r="R151" s="229" t="b">
        <v>0</v>
      </c>
    </row>
    <row r="152" ht="13.5" customHeight="1">
      <c r="A152" s="87"/>
      <c r="B152" s="231"/>
      <c r="C152" s="232" t="s">
        <v>30</v>
      </c>
      <c r="D152" s="108"/>
      <c r="E152" s="255"/>
      <c r="F152" s="255"/>
      <c r="G152" s="255"/>
      <c r="H152" s="255"/>
      <c r="I152" s="255"/>
      <c r="J152" s="255"/>
      <c r="K152" s="255"/>
      <c r="L152" s="255"/>
      <c r="M152" s="255"/>
      <c r="N152" s="255"/>
      <c r="O152" s="235" t="s">
        <v>30</v>
      </c>
      <c r="P152" s="236">
        <f>(E152*E137)+(F152*F137)+(G152*G137)+(H152*H137)+(I152*I137)+(J152*J137)+(K152*K137)+(L152*L137)+(M152*M137)+(N152*N137)</f>
        <v>0</v>
      </c>
      <c r="Q152" s="237" t="s">
        <v>31</v>
      </c>
      <c r="R152" s="238" t="b">
        <v>0</v>
      </c>
    </row>
    <row r="153" ht="13.5" customHeight="1">
      <c r="A153" s="68"/>
      <c r="B153" s="239" t="s">
        <v>49</v>
      </c>
      <c r="C153" s="232" t="s">
        <v>34</v>
      </c>
      <c r="D153" s="108"/>
      <c r="E153" s="256"/>
      <c r="F153" s="257"/>
      <c r="G153" s="257"/>
      <c r="H153" s="257"/>
      <c r="I153" s="257"/>
      <c r="J153" s="257"/>
      <c r="K153" s="257"/>
      <c r="L153" s="257"/>
      <c r="M153" s="257"/>
      <c r="N153" s="257"/>
      <c r="O153" s="243" t="s">
        <v>35</v>
      </c>
      <c r="P153" s="236">
        <f>(E153*E137)+(F153*F137)+(G153*G137)+(H153*H137)+(I153*I137)+(J153*J137)+(K153*K137)+(L153*L137)+(M153*M137)+(N153*N137)</f>
        <v>0</v>
      </c>
      <c r="Q153" s="237" t="s">
        <v>36</v>
      </c>
      <c r="R153" s="238" t="b">
        <v>0</v>
      </c>
    </row>
    <row r="154" ht="13.5" customHeight="1">
      <c r="A154" s="80"/>
      <c r="B154" s="245" t="str">
        <f>IFS(P154=0,"",B154&lt;&gt;"",B154,TRUE,NOW())</f>
        <v/>
      </c>
      <c r="C154" s="232" t="s">
        <v>37</v>
      </c>
      <c r="D154" s="108"/>
      <c r="E154" s="258"/>
      <c r="F154" s="258"/>
      <c r="G154" s="258"/>
      <c r="H154" s="258"/>
      <c r="I154" s="258"/>
      <c r="J154" s="258"/>
      <c r="K154" s="258"/>
      <c r="L154" s="258"/>
      <c r="M154" s="258"/>
      <c r="N154" s="258"/>
      <c r="O154" s="248" t="s">
        <v>38</v>
      </c>
      <c r="P154" s="249">
        <f>P153-P152</f>
        <v>0</v>
      </c>
      <c r="Q154" s="250" t="s">
        <v>39</v>
      </c>
      <c r="R154" s="260" t="b">
        <v>0</v>
      </c>
    </row>
    <row r="155" ht="13.5" customHeight="1">
      <c r="A155" s="261" t="s">
        <v>77</v>
      </c>
      <c r="B155" s="209" t="s">
        <v>20</v>
      </c>
      <c r="C155" s="24"/>
      <c r="D155" s="33"/>
      <c r="E155" s="262">
        <f t="shared" ref="E155:N155" si="41">E6</f>
        <v>16</v>
      </c>
      <c r="F155" s="262">
        <f t="shared" si="41"/>
        <v>26</v>
      </c>
      <c r="G155" s="263">
        <f t="shared" si="41"/>
        <v>26</v>
      </c>
      <c r="H155" s="264">
        <f t="shared" si="41"/>
        <v>26</v>
      </c>
      <c r="I155" s="213">
        <f t="shared" si="41"/>
        <v>31</v>
      </c>
      <c r="J155" s="346">
        <f t="shared" si="41"/>
        <v>36</v>
      </c>
      <c r="K155" s="346">
        <f t="shared" si="41"/>
        <v>30</v>
      </c>
      <c r="L155" s="346">
        <f t="shared" si="41"/>
        <v>35</v>
      </c>
      <c r="M155" s="346">
        <f t="shared" si="41"/>
        <v>40</v>
      </c>
      <c r="N155" s="263">
        <f t="shared" si="41"/>
        <v>15</v>
      </c>
      <c r="O155" s="214" t="s">
        <v>21</v>
      </c>
      <c r="P155" s="25"/>
      <c r="Q155" s="215" t="s">
        <v>22</v>
      </c>
      <c r="R155" s="10"/>
    </row>
    <row r="156" ht="18.75" customHeight="1">
      <c r="A156" s="216" t="s">
        <v>23</v>
      </c>
      <c r="B156" s="217" t="s">
        <v>24</v>
      </c>
      <c r="C156" s="218" t="s">
        <v>25</v>
      </c>
      <c r="D156" s="117"/>
      <c r="E156" s="219"/>
      <c r="F156" s="219"/>
      <c r="G156" s="219"/>
      <c r="H156" s="219"/>
      <c r="I156" s="220"/>
      <c r="J156" s="347"/>
      <c r="K156" s="347"/>
      <c r="L156" s="347"/>
      <c r="M156" s="347"/>
      <c r="N156" s="219"/>
      <c r="O156" s="49"/>
      <c r="P156" s="25"/>
      <c r="Q156" s="50"/>
      <c r="R156" s="10"/>
    </row>
    <row r="157" ht="13.5" customHeight="1">
      <c r="A157" s="221"/>
      <c r="B157" s="222" t="s">
        <v>78</v>
      </c>
      <c r="C157" s="223" t="s">
        <v>27</v>
      </c>
      <c r="D157" s="224"/>
      <c r="E157" s="225">
        <f t="shared" ref="E157:N157" si="42">E156-E158</f>
        <v>0</v>
      </c>
      <c r="F157" s="225">
        <f t="shared" si="42"/>
        <v>0</v>
      </c>
      <c r="G157" s="225">
        <f t="shared" si="42"/>
        <v>0</v>
      </c>
      <c r="H157" s="225">
        <f t="shared" si="42"/>
        <v>0</v>
      </c>
      <c r="I157" s="225">
        <f t="shared" si="42"/>
        <v>0</v>
      </c>
      <c r="J157" s="226">
        <f t="shared" si="42"/>
        <v>0</v>
      </c>
      <c r="K157" s="226">
        <f t="shared" si="42"/>
        <v>0</v>
      </c>
      <c r="L157" s="226">
        <f t="shared" si="42"/>
        <v>0</v>
      </c>
      <c r="M157" s="226">
        <f t="shared" si="42"/>
        <v>0</v>
      </c>
      <c r="N157" s="226">
        <f t="shared" si="42"/>
        <v>0</v>
      </c>
      <c r="O157" s="227"/>
      <c r="P157" s="30"/>
      <c r="Q157" s="228" t="s">
        <v>28</v>
      </c>
      <c r="R157" s="229" t="b">
        <v>0</v>
      </c>
    </row>
    <row r="158" ht="13.5" customHeight="1">
      <c r="A158" s="230" t="s">
        <v>29</v>
      </c>
      <c r="B158" s="231"/>
      <c r="C158" s="232" t="s">
        <v>30</v>
      </c>
      <c r="D158" s="108"/>
      <c r="E158" s="233"/>
      <c r="F158" s="233"/>
      <c r="G158" s="233"/>
      <c r="H158" s="233"/>
      <c r="I158" s="234"/>
      <c r="J158" s="234"/>
      <c r="K158" s="234"/>
      <c r="L158" s="234"/>
      <c r="M158" s="234"/>
      <c r="N158" s="233"/>
      <c r="O158" s="235" t="s">
        <v>30</v>
      </c>
      <c r="P158" s="236">
        <f>(E158*E155)+(F158*F155)+(G158*G155)+(H158*H155)+(I158*I155)+(J158*J155)+(K158*K155)+(L158*L155)+(M158*M155)+(N158*N155)</f>
        <v>0</v>
      </c>
      <c r="Q158" s="237" t="s">
        <v>31</v>
      </c>
      <c r="R158" s="238" t="b">
        <v>0</v>
      </c>
    </row>
    <row r="159" ht="13.5" customHeight="1">
      <c r="A159" s="221"/>
      <c r="B159" s="239" t="s">
        <v>33</v>
      </c>
      <c r="C159" s="232" t="s">
        <v>34</v>
      </c>
      <c r="D159" s="108"/>
      <c r="E159" s="240"/>
      <c r="F159" s="241"/>
      <c r="G159" s="241"/>
      <c r="H159" s="241"/>
      <c r="I159" s="242"/>
      <c r="J159" s="242"/>
      <c r="K159" s="242"/>
      <c r="L159" s="242"/>
      <c r="M159" s="242"/>
      <c r="N159" s="241"/>
      <c r="O159" s="243" t="s">
        <v>35</v>
      </c>
      <c r="P159" s="236">
        <f>(E159*E155)+(F159*F155)+(G159*G155)+(H159*H155)+(I159*I155)+(J159*J155)+(K159*K155)+(L159*L155)+(M159*M155)+(N159*N155)</f>
        <v>0</v>
      </c>
      <c r="Q159" s="244" t="s">
        <v>36</v>
      </c>
      <c r="R159" s="238" t="b">
        <v>0</v>
      </c>
    </row>
    <row r="160" ht="13.5" customHeight="1">
      <c r="A160" s="68"/>
      <c r="B160" s="245" t="str">
        <f>IFS(P160=0,"",B160&lt;&gt;"",B160,TRUE,NOW())</f>
        <v/>
      </c>
      <c r="C160" s="232" t="s">
        <v>37</v>
      </c>
      <c r="D160" s="108"/>
      <c r="E160" s="246"/>
      <c r="F160" s="246"/>
      <c r="G160" s="246"/>
      <c r="H160" s="246"/>
      <c r="I160" s="247"/>
      <c r="J160" s="247"/>
      <c r="K160" s="247"/>
      <c r="L160" s="247"/>
      <c r="M160" s="247"/>
      <c r="N160" s="246"/>
      <c r="O160" s="248" t="s">
        <v>38</v>
      </c>
      <c r="P160" s="249">
        <f>P159-P158</f>
        <v>0</v>
      </c>
      <c r="Q160" s="250" t="s">
        <v>39</v>
      </c>
      <c r="R160" s="238" t="b">
        <v>0</v>
      </c>
    </row>
    <row r="161" ht="13.5" customHeight="1">
      <c r="A161" s="230" t="s">
        <v>40</v>
      </c>
      <c r="B161" s="222" t="s">
        <v>78</v>
      </c>
      <c r="C161" s="223" t="s">
        <v>27</v>
      </c>
      <c r="D161" s="224"/>
      <c r="E161" s="225">
        <f t="shared" ref="E161:N161" si="43">E159-E162</f>
        <v>0</v>
      </c>
      <c r="F161" s="225">
        <f t="shared" si="43"/>
        <v>0</v>
      </c>
      <c r="G161" s="225">
        <f t="shared" si="43"/>
        <v>0</v>
      </c>
      <c r="H161" s="225">
        <f t="shared" si="43"/>
        <v>0</v>
      </c>
      <c r="I161" s="225">
        <f t="shared" si="43"/>
        <v>0</v>
      </c>
      <c r="J161" s="226">
        <f t="shared" si="43"/>
        <v>0</v>
      </c>
      <c r="K161" s="226">
        <f t="shared" si="43"/>
        <v>0</v>
      </c>
      <c r="L161" s="226">
        <f t="shared" si="43"/>
        <v>0</v>
      </c>
      <c r="M161" s="226">
        <f t="shared" si="43"/>
        <v>0</v>
      </c>
      <c r="N161" s="226">
        <f t="shared" si="43"/>
        <v>0</v>
      </c>
      <c r="O161" s="227"/>
      <c r="P161" s="30"/>
      <c r="Q161" s="228" t="s">
        <v>28</v>
      </c>
      <c r="R161" s="229" t="b">
        <v>0</v>
      </c>
    </row>
    <row r="162" ht="13.5" customHeight="1">
      <c r="A162" s="221"/>
      <c r="B162" s="231"/>
      <c r="C162" s="232" t="s">
        <v>30</v>
      </c>
      <c r="D162" s="108"/>
      <c r="E162" s="233"/>
      <c r="F162" s="233"/>
      <c r="G162" s="233"/>
      <c r="H162" s="233"/>
      <c r="I162" s="234"/>
      <c r="J162" s="348"/>
      <c r="K162" s="348"/>
      <c r="L162" s="348"/>
      <c r="M162" s="348"/>
      <c r="N162" s="251"/>
      <c r="O162" s="235" t="s">
        <v>30</v>
      </c>
      <c r="P162" s="236">
        <f>(E162*E155)+(F162*F155)+(G162*G155)+(H162*H155)+(I162*I155)+(J162*J155)+(K162*K155)+(L162*L155)+(M162*M155)+(N162*N155)</f>
        <v>0</v>
      </c>
      <c r="Q162" s="237" t="s">
        <v>31</v>
      </c>
      <c r="R162" s="238" t="b">
        <v>0</v>
      </c>
    </row>
    <row r="163" ht="17.25" customHeight="1">
      <c r="A163" s="68"/>
      <c r="B163" s="239" t="s">
        <v>42</v>
      </c>
      <c r="C163" s="232" t="s">
        <v>34</v>
      </c>
      <c r="D163" s="108"/>
      <c r="E163" s="240"/>
      <c r="F163" s="241"/>
      <c r="G163" s="241"/>
      <c r="H163" s="241"/>
      <c r="I163" s="242"/>
      <c r="J163" s="349"/>
      <c r="K163" s="349"/>
      <c r="L163" s="349"/>
      <c r="M163" s="349"/>
      <c r="N163" s="252"/>
      <c r="O163" s="243" t="s">
        <v>35</v>
      </c>
      <c r="P163" s="236">
        <f>(E163*E155)+(F163*F155)+(G163*G155)+(H163*H155)+(I163*I155)+(J163*J155)+(K163*K155)+(L163*L155)+(M163*M155)+(N163*N155)</f>
        <v>0</v>
      </c>
      <c r="Q163" s="237" t="s">
        <v>36</v>
      </c>
      <c r="R163" s="238" t="b">
        <v>0</v>
      </c>
    </row>
    <row r="164" ht="13.5" customHeight="1">
      <c r="A164" s="230" t="s">
        <v>43</v>
      </c>
      <c r="B164" s="245" t="str">
        <f>IFS(P164=0,"",B164&lt;&gt;"",B164,TRUE,NOW())</f>
        <v/>
      </c>
      <c r="C164" s="232" t="s">
        <v>37</v>
      </c>
      <c r="D164" s="108"/>
      <c r="E164" s="246"/>
      <c r="F164" s="246"/>
      <c r="G164" s="246"/>
      <c r="H164" s="246"/>
      <c r="I164" s="247"/>
      <c r="J164" s="350"/>
      <c r="K164" s="350"/>
      <c r="L164" s="350"/>
      <c r="M164" s="350"/>
      <c r="N164" s="253"/>
      <c r="O164" s="248" t="s">
        <v>38</v>
      </c>
      <c r="P164" s="249">
        <f>P163-P162</f>
        <v>0</v>
      </c>
      <c r="Q164" s="250" t="s">
        <v>39</v>
      </c>
      <c r="R164" s="238" t="b">
        <v>0</v>
      </c>
    </row>
    <row r="165" ht="13.5" customHeight="1">
      <c r="A165" s="230"/>
      <c r="B165" s="222" t="s">
        <v>78</v>
      </c>
      <c r="C165" s="223" t="s">
        <v>27</v>
      </c>
      <c r="D165" s="224"/>
      <c r="E165" s="254">
        <f t="shared" ref="E165:N165" si="44">E163-E166</f>
        <v>0</v>
      </c>
      <c r="F165" s="254">
        <f t="shared" si="44"/>
        <v>0</v>
      </c>
      <c r="G165" s="254">
        <f t="shared" si="44"/>
        <v>0</v>
      </c>
      <c r="H165" s="254">
        <f t="shared" si="44"/>
        <v>0</v>
      </c>
      <c r="I165" s="254">
        <f t="shared" si="44"/>
        <v>0</v>
      </c>
      <c r="J165" s="254">
        <f t="shared" si="44"/>
        <v>0</v>
      </c>
      <c r="K165" s="254">
        <f t="shared" si="44"/>
        <v>0</v>
      </c>
      <c r="L165" s="254">
        <f t="shared" si="44"/>
        <v>0</v>
      </c>
      <c r="M165" s="254">
        <f t="shared" si="44"/>
        <v>0</v>
      </c>
      <c r="N165" s="254">
        <f t="shared" si="44"/>
        <v>0</v>
      </c>
      <c r="O165" s="227"/>
      <c r="P165" s="30"/>
      <c r="Q165" s="228" t="s">
        <v>28</v>
      </c>
      <c r="R165" s="229" t="b">
        <v>0</v>
      </c>
    </row>
    <row r="166" ht="13.5" customHeight="1">
      <c r="A166" s="230" t="s">
        <v>45</v>
      </c>
      <c r="B166" s="231"/>
      <c r="C166" s="232" t="s">
        <v>30</v>
      </c>
      <c r="D166" s="108"/>
      <c r="E166" s="255"/>
      <c r="F166" s="255"/>
      <c r="G166" s="255"/>
      <c r="H166" s="255"/>
      <c r="I166" s="255"/>
      <c r="J166" s="255"/>
      <c r="K166" s="255"/>
      <c r="L166" s="255"/>
      <c r="M166" s="255"/>
      <c r="N166" s="255"/>
      <c r="O166" s="235" t="s">
        <v>30</v>
      </c>
      <c r="P166" s="236">
        <f>(E166*E155)+(F166*F155)+(G166*G155)+(H166*H155)+(I166*I155)+(J166*J155)+(K166*K155)+(L166*L155)+(M166*M155)+(N166*N155)</f>
        <v>0</v>
      </c>
      <c r="Q166" s="237" t="s">
        <v>31</v>
      </c>
      <c r="R166" s="238" t="b">
        <v>0</v>
      </c>
    </row>
    <row r="167" ht="13.5" customHeight="1">
      <c r="A167" s="221"/>
      <c r="B167" s="239" t="s">
        <v>47</v>
      </c>
      <c r="C167" s="232" t="s">
        <v>34</v>
      </c>
      <c r="D167" s="108"/>
      <c r="E167" s="256"/>
      <c r="F167" s="257"/>
      <c r="G167" s="257"/>
      <c r="H167" s="257"/>
      <c r="I167" s="257"/>
      <c r="J167" s="257"/>
      <c r="K167" s="257"/>
      <c r="L167" s="257"/>
      <c r="M167" s="257"/>
      <c r="N167" s="257"/>
      <c r="O167" s="243" t="s">
        <v>35</v>
      </c>
      <c r="P167" s="236">
        <f>(E167*E155)+(F167*F155)+(G167*G155)+(H167*H155)+(I167*I155)+(J167*J155)+(K167*K155)+(L167*L155)+(M167*M155)+(N167*N155)</f>
        <v>0</v>
      </c>
      <c r="Q167" s="237" t="s">
        <v>36</v>
      </c>
      <c r="R167" s="238" t="b">
        <v>0</v>
      </c>
    </row>
    <row r="168" ht="15.0" customHeight="1">
      <c r="A168" s="68"/>
      <c r="B168" s="245" t="str">
        <f>IFS(P168=0,"",B168&lt;&gt;"",B168,TRUE,NOW())</f>
        <v/>
      </c>
      <c r="C168" s="232" t="s">
        <v>37</v>
      </c>
      <c r="D168" s="108"/>
      <c r="E168" s="258"/>
      <c r="F168" s="258"/>
      <c r="G168" s="258"/>
      <c r="H168" s="258"/>
      <c r="I168" s="258"/>
      <c r="J168" s="258"/>
      <c r="K168" s="258"/>
      <c r="L168" s="258"/>
      <c r="M168" s="258"/>
      <c r="N168" s="258"/>
      <c r="O168" s="248" t="s">
        <v>38</v>
      </c>
      <c r="P168" s="249">
        <f>P167-P166</f>
        <v>0</v>
      </c>
      <c r="Q168" s="250" t="s">
        <v>39</v>
      </c>
      <c r="R168" s="238" t="b">
        <v>0</v>
      </c>
    </row>
    <row r="169" ht="13.5" customHeight="1">
      <c r="A169" s="259" t="s">
        <v>48</v>
      </c>
      <c r="B169" s="222" t="s">
        <v>78</v>
      </c>
      <c r="C169" s="223" t="s">
        <v>27</v>
      </c>
      <c r="D169" s="224"/>
      <c r="E169" s="254">
        <f t="shared" ref="E169:N169" si="45">E167-E170</f>
        <v>0</v>
      </c>
      <c r="F169" s="254">
        <f t="shared" si="45"/>
        <v>0</v>
      </c>
      <c r="G169" s="254">
        <f t="shared" si="45"/>
        <v>0</v>
      </c>
      <c r="H169" s="254">
        <f t="shared" si="45"/>
        <v>0</v>
      </c>
      <c r="I169" s="254">
        <f t="shared" si="45"/>
        <v>0</v>
      </c>
      <c r="J169" s="254">
        <f t="shared" si="45"/>
        <v>0</v>
      </c>
      <c r="K169" s="254">
        <f t="shared" si="45"/>
        <v>0</v>
      </c>
      <c r="L169" s="254">
        <f t="shared" si="45"/>
        <v>0</v>
      </c>
      <c r="M169" s="254">
        <f t="shared" si="45"/>
        <v>0</v>
      </c>
      <c r="N169" s="254">
        <f t="shared" si="45"/>
        <v>0</v>
      </c>
      <c r="O169" s="227"/>
      <c r="P169" s="30"/>
      <c r="Q169" s="228" t="s">
        <v>28</v>
      </c>
      <c r="R169" s="229" t="b">
        <v>0</v>
      </c>
    </row>
    <row r="170" ht="13.5" customHeight="1">
      <c r="A170" s="87"/>
      <c r="B170" s="231"/>
      <c r="C170" s="232" t="s">
        <v>30</v>
      </c>
      <c r="D170" s="108"/>
      <c r="E170" s="255"/>
      <c r="F170" s="255"/>
      <c r="G170" s="255"/>
      <c r="H170" s="255"/>
      <c r="I170" s="255"/>
      <c r="J170" s="255"/>
      <c r="K170" s="255"/>
      <c r="L170" s="255"/>
      <c r="M170" s="255"/>
      <c r="N170" s="255"/>
      <c r="O170" s="235" t="s">
        <v>30</v>
      </c>
      <c r="P170" s="236">
        <f>(E170*E155)+(F170*F155)+(G170*G155)+(H170*H155)+(I170*I155)+(J170*J155)+(K170*K155)+(L170*L155)+(M170*M155)+(N170*N155)</f>
        <v>0</v>
      </c>
      <c r="Q170" s="237" t="s">
        <v>31</v>
      </c>
      <c r="R170" s="238" t="b">
        <v>0</v>
      </c>
    </row>
    <row r="171" ht="13.5" customHeight="1">
      <c r="A171" s="68"/>
      <c r="B171" s="239" t="s">
        <v>49</v>
      </c>
      <c r="C171" s="232" t="s">
        <v>34</v>
      </c>
      <c r="D171" s="108"/>
      <c r="E171" s="256"/>
      <c r="F171" s="257"/>
      <c r="G171" s="257"/>
      <c r="H171" s="257"/>
      <c r="I171" s="257"/>
      <c r="J171" s="257"/>
      <c r="K171" s="257"/>
      <c r="L171" s="257"/>
      <c r="M171" s="257"/>
      <c r="N171" s="257"/>
      <c r="O171" s="243" t="s">
        <v>35</v>
      </c>
      <c r="P171" s="236">
        <f>(E171*E155)+(F171*F155)+(G171*G155)+(H171*H155)+(I171*I155)+(J171*J155)+(K171*K155)+(L171*L155)+(M171*M155)+(N171*N155)</f>
        <v>0</v>
      </c>
      <c r="Q171" s="237" t="s">
        <v>36</v>
      </c>
      <c r="R171" s="238" t="b">
        <v>0</v>
      </c>
    </row>
    <row r="172" ht="13.5" customHeight="1">
      <c r="A172" s="80"/>
      <c r="B172" s="245" t="str">
        <f>IFS(P172=0,"",B172&lt;&gt;"",B172,TRUE,NOW())</f>
        <v/>
      </c>
      <c r="C172" s="265" t="s">
        <v>37</v>
      </c>
      <c r="D172" s="117"/>
      <c r="E172" s="258"/>
      <c r="F172" s="258"/>
      <c r="G172" s="258"/>
      <c r="H172" s="258"/>
      <c r="I172" s="258"/>
      <c r="J172" s="258"/>
      <c r="K172" s="258"/>
      <c r="L172" s="258"/>
      <c r="M172" s="258"/>
      <c r="N172" s="258"/>
      <c r="O172" s="248" t="s">
        <v>38</v>
      </c>
      <c r="P172" s="249">
        <f>P171-P170</f>
        <v>0</v>
      </c>
      <c r="Q172" s="250" t="s">
        <v>39</v>
      </c>
      <c r="R172" s="260" t="b">
        <v>0</v>
      </c>
    </row>
    <row r="173" ht="15.0" customHeight="1">
      <c r="A173" s="261" t="s">
        <v>80</v>
      </c>
      <c r="B173" s="209" t="s">
        <v>20</v>
      </c>
      <c r="C173" s="24"/>
      <c r="D173" s="33"/>
      <c r="E173" s="262">
        <f t="shared" ref="E173:N173" si="46">E6</f>
        <v>16</v>
      </c>
      <c r="F173" s="262">
        <f t="shared" si="46"/>
        <v>26</v>
      </c>
      <c r="G173" s="263">
        <f t="shared" si="46"/>
        <v>26</v>
      </c>
      <c r="H173" s="264">
        <f t="shared" si="46"/>
        <v>26</v>
      </c>
      <c r="I173" s="213">
        <f t="shared" si="46"/>
        <v>31</v>
      </c>
      <c r="J173" s="346">
        <f t="shared" si="46"/>
        <v>36</v>
      </c>
      <c r="K173" s="346">
        <f t="shared" si="46"/>
        <v>30</v>
      </c>
      <c r="L173" s="346">
        <f t="shared" si="46"/>
        <v>35</v>
      </c>
      <c r="M173" s="346">
        <f t="shared" si="46"/>
        <v>40</v>
      </c>
      <c r="N173" s="263">
        <f t="shared" si="46"/>
        <v>15</v>
      </c>
      <c r="O173" s="214" t="s">
        <v>21</v>
      </c>
      <c r="P173" s="25"/>
      <c r="Q173" s="215" t="s">
        <v>22</v>
      </c>
      <c r="R173" s="10"/>
    </row>
    <row r="174" ht="13.5" customHeight="1">
      <c r="A174" s="216" t="s">
        <v>23</v>
      </c>
      <c r="B174" s="217" t="s">
        <v>24</v>
      </c>
      <c r="C174" s="218" t="s">
        <v>25</v>
      </c>
      <c r="D174" s="117"/>
      <c r="E174" s="219"/>
      <c r="F174" s="219"/>
      <c r="G174" s="219"/>
      <c r="H174" s="219"/>
      <c r="I174" s="220"/>
      <c r="J174" s="347"/>
      <c r="K174" s="347"/>
      <c r="L174" s="347"/>
      <c r="M174" s="347"/>
      <c r="N174" s="219"/>
      <c r="O174" s="49"/>
      <c r="P174" s="25"/>
      <c r="Q174" s="50"/>
      <c r="R174" s="10"/>
    </row>
    <row r="175" ht="13.5" customHeight="1">
      <c r="A175" s="221"/>
      <c r="B175" s="222" t="s">
        <v>81</v>
      </c>
      <c r="C175" s="223" t="s">
        <v>27</v>
      </c>
      <c r="D175" s="224"/>
      <c r="E175" s="225">
        <f t="shared" ref="E175:N175" si="47">E174-E176</f>
        <v>0</v>
      </c>
      <c r="F175" s="225">
        <f t="shared" si="47"/>
        <v>0</v>
      </c>
      <c r="G175" s="225">
        <f t="shared" si="47"/>
        <v>0</v>
      </c>
      <c r="H175" s="225">
        <f t="shared" si="47"/>
        <v>0</v>
      </c>
      <c r="I175" s="225">
        <f t="shared" si="47"/>
        <v>0</v>
      </c>
      <c r="J175" s="226">
        <f t="shared" si="47"/>
        <v>0</v>
      </c>
      <c r="K175" s="226">
        <f t="shared" si="47"/>
        <v>0</v>
      </c>
      <c r="L175" s="226">
        <f t="shared" si="47"/>
        <v>0</v>
      </c>
      <c r="M175" s="226">
        <f t="shared" si="47"/>
        <v>0</v>
      </c>
      <c r="N175" s="226">
        <f t="shared" si="47"/>
        <v>0</v>
      </c>
      <c r="O175" s="227"/>
      <c r="P175" s="30"/>
      <c r="Q175" s="228" t="s">
        <v>28</v>
      </c>
      <c r="R175" s="229" t="b">
        <v>0</v>
      </c>
    </row>
    <row r="176" ht="13.5" customHeight="1">
      <c r="A176" s="230" t="s">
        <v>29</v>
      </c>
      <c r="B176" s="231"/>
      <c r="C176" s="232" t="s">
        <v>30</v>
      </c>
      <c r="D176" s="108"/>
      <c r="E176" s="233"/>
      <c r="F176" s="233"/>
      <c r="G176" s="233"/>
      <c r="H176" s="233"/>
      <c r="I176" s="234"/>
      <c r="J176" s="234"/>
      <c r="K176" s="234"/>
      <c r="L176" s="234"/>
      <c r="M176" s="234"/>
      <c r="N176" s="233"/>
      <c r="O176" s="235" t="s">
        <v>30</v>
      </c>
      <c r="P176" s="236">
        <f>(E176*E173)+(F176*F173)+(G176*G173)+(H176*H173)+(I176*I173)+(J176*J173)+(K176*K173)+(L176*L173)+(M176*M173)+(N176*N173)</f>
        <v>0</v>
      </c>
      <c r="Q176" s="237" t="s">
        <v>31</v>
      </c>
      <c r="R176" s="238" t="b">
        <v>0</v>
      </c>
    </row>
    <row r="177" ht="13.5" customHeight="1">
      <c r="A177" s="221"/>
      <c r="B177" s="239" t="s">
        <v>33</v>
      </c>
      <c r="C177" s="232" t="s">
        <v>34</v>
      </c>
      <c r="D177" s="108"/>
      <c r="E177" s="240"/>
      <c r="F177" s="241"/>
      <c r="G177" s="241"/>
      <c r="H177" s="241"/>
      <c r="I177" s="242"/>
      <c r="J177" s="242"/>
      <c r="K177" s="242"/>
      <c r="L177" s="242"/>
      <c r="M177" s="242"/>
      <c r="N177" s="241"/>
      <c r="O177" s="243" t="s">
        <v>35</v>
      </c>
      <c r="P177" s="236">
        <f>(E177*E173)+(F177*F173)+(G177*G173)+(H177*H173)+(I177*I173)+(J177*J173)+(K177*K173)+(L177*L173)+(M177*M173)+(N177*N173)</f>
        <v>0</v>
      </c>
      <c r="Q177" s="244" t="s">
        <v>36</v>
      </c>
      <c r="R177" s="238" t="b">
        <v>0</v>
      </c>
    </row>
    <row r="178" ht="15.0" customHeight="1">
      <c r="A178" s="68"/>
      <c r="B178" s="245" t="str">
        <f>IFS(P178=0,"",B178&lt;&gt;"",B178,TRUE,NOW())</f>
        <v/>
      </c>
      <c r="C178" s="232" t="s">
        <v>37</v>
      </c>
      <c r="D178" s="108"/>
      <c r="E178" s="246"/>
      <c r="F178" s="246"/>
      <c r="G178" s="246"/>
      <c r="H178" s="246"/>
      <c r="I178" s="247"/>
      <c r="J178" s="247"/>
      <c r="K178" s="247"/>
      <c r="L178" s="247"/>
      <c r="M178" s="247"/>
      <c r="N178" s="246"/>
      <c r="O178" s="248" t="s">
        <v>38</v>
      </c>
      <c r="P178" s="249">
        <f>P177-P176</f>
        <v>0</v>
      </c>
      <c r="Q178" s="250" t="s">
        <v>39</v>
      </c>
      <c r="R178" s="238" t="b">
        <v>0</v>
      </c>
    </row>
    <row r="179" ht="13.5" customHeight="1">
      <c r="A179" s="230" t="s">
        <v>40</v>
      </c>
      <c r="B179" s="222" t="s">
        <v>81</v>
      </c>
      <c r="C179" s="223" t="s">
        <v>27</v>
      </c>
      <c r="D179" s="224"/>
      <c r="E179" s="225">
        <f t="shared" ref="E179:N179" si="48">E177-E180</f>
        <v>0</v>
      </c>
      <c r="F179" s="225">
        <f t="shared" si="48"/>
        <v>0</v>
      </c>
      <c r="G179" s="225">
        <f t="shared" si="48"/>
        <v>0</v>
      </c>
      <c r="H179" s="225">
        <f t="shared" si="48"/>
        <v>0</v>
      </c>
      <c r="I179" s="225">
        <f t="shared" si="48"/>
        <v>0</v>
      </c>
      <c r="J179" s="226">
        <f t="shared" si="48"/>
        <v>0</v>
      </c>
      <c r="K179" s="226">
        <f t="shared" si="48"/>
        <v>0</v>
      </c>
      <c r="L179" s="226">
        <f t="shared" si="48"/>
        <v>0</v>
      </c>
      <c r="M179" s="226">
        <f t="shared" si="48"/>
        <v>0</v>
      </c>
      <c r="N179" s="226">
        <f t="shared" si="48"/>
        <v>0</v>
      </c>
      <c r="O179" s="227"/>
      <c r="P179" s="30"/>
      <c r="Q179" s="228" t="s">
        <v>28</v>
      </c>
      <c r="R179" s="229" t="b">
        <v>0</v>
      </c>
    </row>
    <row r="180" ht="13.5" customHeight="1">
      <c r="A180" s="221"/>
      <c r="B180" s="231"/>
      <c r="C180" s="232" t="s">
        <v>30</v>
      </c>
      <c r="D180" s="108"/>
      <c r="E180" s="233"/>
      <c r="F180" s="233"/>
      <c r="G180" s="233"/>
      <c r="H180" s="233"/>
      <c r="I180" s="234"/>
      <c r="J180" s="348"/>
      <c r="K180" s="348"/>
      <c r="L180" s="348"/>
      <c r="M180" s="348"/>
      <c r="N180" s="251"/>
      <c r="O180" s="235" t="s">
        <v>30</v>
      </c>
      <c r="P180" s="236">
        <f>(E180*E173)+(F180*F173)+(G180*G173)+(H180*H173)+(I180*I173)+(J180*J173)+(K180*K173)+(L180*L173)+(M180*M173)+(N180*N173)</f>
        <v>0</v>
      </c>
      <c r="Q180" s="237" t="s">
        <v>31</v>
      </c>
      <c r="R180" s="238" t="b">
        <v>0</v>
      </c>
    </row>
    <row r="181" ht="13.5" customHeight="1">
      <c r="A181" s="68"/>
      <c r="B181" s="239" t="s">
        <v>42</v>
      </c>
      <c r="C181" s="232" t="s">
        <v>34</v>
      </c>
      <c r="D181" s="108"/>
      <c r="E181" s="240"/>
      <c r="F181" s="241"/>
      <c r="G181" s="241"/>
      <c r="H181" s="241"/>
      <c r="I181" s="242"/>
      <c r="J181" s="349"/>
      <c r="K181" s="349"/>
      <c r="L181" s="349"/>
      <c r="M181" s="349"/>
      <c r="N181" s="252"/>
      <c r="O181" s="243" t="s">
        <v>35</v>
      </c>
      <c r="P181" s="236">
        <f>(E181*E173)+(F181*F173)+(G181*G173)+(H181*H173)+(I181*I173)+(J181*J173)+(K181*K173)+(L181*L173)+(M181*M173)+(N181*N173)</f>
        <v>0</v>
      </c>
      <c r="Q181" s="237" t="s">
        <v>36</v>
      </c>
      <c r="R181" s="238" t="b">
        <v>0</v>
      </c>
    </row>
    <row r="182" ht="13.5" customHeight="1">
      <c r="A182" s="230" t="s">
        <v>43</v>
      </c>
      <c r="B182" s="245" t="str">
        <f>IFS(P182=0,"",B182&lt;&gt;"",B182,TRUE,NOW())</f>
        <v/>
      </c>
      <c r="C182" s="232" t="s">
        <v>37</v>
      </c>
      <c r="D182" s="108"/>
      <c r="E182" s="246"/>
      <c r="F182" s="246"/>
      <c r="G182" s="246"/>
      <c r="H182" s="246"/>
      <c r="I182" s="247"/>
      <c r="J182" s="350"/>
      <c r="K182" s="350"/>
      <c r="L182" s="350"/>
      <c r="M182" s="350"/>
      <c r="N182" s="253"/>
      <c r="O182" s="248" t="s">
        <v>38</v>
      </c>
      <c r="P182" s="249">
        <f>P181-P180</f>
        <v>0</v>
      </c>
      <c r="Q182" s="250" t="s">
        <v>39</v>
      </c>
      <c r="R182" s="238" t="b">
        <v>0</v>
      </c>
    </row>
    <row r="183" ht="13.5" customHeight="1">
      <c r="A183" s="230"/>
      <c r="B183" s="222" t="s">
        <v>81</v>
      </c>
      <c r="C183" s="223" t="s">
        <v>27</v>
      </c>
      <c r="D183" s="224"/>
      <c r="E183" s="254">
        <f t="shared" ref="E183:N183" si="49">E181-E184</f>
        <v>0</v>
      </c>
      <c r="F183" s="254">
        <f t="shared" si="49"/>
        <v>0</v>
      </c>
      <c r="G183" s="254">
        <f t="shared" si="49"/>
        <v>0</v>
      </c>
      <c r="H183" s="254">
        <f t="shared" si="49"/>
        <v>0</v>
      </c>
      <c r="I183" s="254">
        <f t="shared" si="49"/>
        <v>0</v>
      </c>
      <c r="J183" s="254">
        <f t="shared" si="49"/>
        <v>0</v>
      </c>
      <c r="K183" s="254">
        <f t="shared" si="49"/>
        <v>0</v>
      </c>
      <c r="L183" s="254">
        <f t="shared" si="49"/>
        <v>0</v>
      </c>
      <c r="M183" s="254">
        <f t="shared" si="49"/>
        <v>0</v>
      </c>
      <c r="N183" s="254">
        <f t="shared" si="49"/>
        <v>0</v>
      </c>
      <c r="O183" s="227"/>
      <c r="P183" s="30"/>
      <c r="Q183" s="228" t="s">
        <v>28</v>
      </c>
      <c r="R183" s="229" t="b">
        <v>0</v>
      </c>
    </row>
    <row r="184" ht="13.5" customHeight="1">
      <c r="A184" s="230" t="s">
        <v>45</v>
      </c>
      <c r="B184" s="231"/>
      <c r="C184" s="232" t="s">
        <v>30</v>
      </c>
      <c r="D184" s="108"/>
      <c r="E184" s="255"/>
      <c r="F184" s="255"/>
      <c r="G184" s="255"/>
      <c r="H184" s="255"/>
      <c r="I184" s="255"/>
      <c r="J184" s="255"/>
      <c r="K184" s="255"/>
      <c r="L184" s="255"/>
      <c r="M184" s="255"/>
      <c r="N184" s="255"/>
      <c r="O184" s="235" t="s">
        <v>30</v>
      </c>
      <c r="P184" s="236">
        <f>(E184*E173)+(F184*F173)+(G184*G173)+(H184*H173)+(I184*I173)+(J184*J173)+(K184*K173)+(L184*L173)+(M184*M173)+(N184*N173)</f>
        <v>0</v>
      </c>
      <c r="Q184" s="237" t="s">
        <v>31</v>
      </c>
      <c r="R184" s="238" t="b">
        <v>0</v>
      </c>
    </row>
    <row r="185" ht="18.0" customHeight="1">
      <c r="A185" s="221"/>
      <c r="B185" s="239" t="s">
        <v>47</v>
      </c>
      <c r="C185" s="232" t="s">
        <v>34</v>
      </c>
      <c r="D185" s="108"/>
      <c r="E185" s="256"/>
      <c r="F185" s="257"/>
      <c r="G185" s="257"/>
      <c r="H185" s="257"/>
      <c r="I185" s="257"/>
      <c r="J185" s="257"/>
      <c r="K185" s="257"/>
      <c r="L185" s="257"/>
      <c r="M185" s="257"/>
      <c r="N185" s="257"/>
      <c r="O185" s="243" t="s">
        <v>35</v>
      </c>
      <c r="P185" s="236">
        <f>(E185*E173)+(F185*F173)+(G185*G173)+(H185*H173)+(I185*I173)+(J185*J173)+(K185*K173)+(L185*L173)+(M185*M173)+(N185*N173)</f>
        <v>0</v>
      </c>
      <c r="Q185" s="237" t="s">
        <v>36</v>
      </c>
      <c r="R185" s="238" t="b">
        <v>0</v>
      </c>
    </row>
    <row r="186" ht="13.5" customHeight="1">
      <c r="A186" s="68"/>
      <c r="B186" s="245" t="str">
        <f>IFS(P186=0,"",B186&lt;&gt;"",B186,TRUE,NOW())</f>
        <v/>
      </c>
      <c r="C186" s="232" t="s">
        <v>37</v>
      </c>
      <c r="D186" s="108"/>
      <c r="E186" s="258"/>
      <c r="F186" s="258"/>
      <c r="G186" s="258"/>
      <c r="H186" s="258"/>
      <c r="I186" s="258"/>
      <c r="J186" s="258"/>
      <c r="K186" s="258"/>
      <c r="L186" s="258"/>
      <c r="M186" s="258"/>
      <c r="N186" s="258"/>
      <c r="O186" s="248" t="s">
        <v>38</v>
      </c>
      <c r="P186" s="249">
        <f>P185-P184</f>
        <v>0</v>
      </c>
      <c r="Q186" s="250" t="s">
        <v>39</v>
      </c>
      <c r="R186" s="238" t="b">
        <v>0</v>
      </c>
    </row>
    <row r="187" ht="13.5" customHeight="1">
      <c r="A187" s="259" t="s">
        <v>48</v>
      </c>
      <c r="B187" s="222" t="s">
        <v>81</v>
      </c>
      <c r="C187" s="223" t="s">
        <v>27</v>
      </c>
      <c r="D187" s="224"/>
      <c r="E187" s="254">
        <f t="shared" ref="E187:N187" si="50">E185-E188</f>
        <v>0</v>
      </c>
      <c r="F187" s="254">
        <f t="shared" si="50"/>
        <v>0</v>
      </c>
      <c r="G187" s="254">
        <f t="shared" si="50"/>
        <v>0</v>
      </c>
      <c r="H187" s="254">
        <f t="shared" si="50"/>
        <v>0</v>
      </c>
      <c r="I187" s="254">
        <f t="shared" si="50"/>
        <v>0</v>
      </c>
      <c r="J187" s="254">
        <f t="shared" si="50"/>
        <v>0</v>
      </c>
      <c r="K187" s="254">
        <f t="shared" si="50"/>
        <v>0</v>
      </c>
      <c r="L187" s="254">
        <f t="shared" si="50"/>
        <v>0</v>
      </c>
      <c r="M187" s="254">
        <f t="shared" si="50"/>
        <v>0</v>
      </c>
      <c r="N187" s="254">
        <f t="shared" si="50"/>
        <v>0</v>
      </c>
      <c r="O187" s="227"/>
      <c r="P187" s="30"/>
      <c r="Q187" s="228" t="s">
        <v>28</v>
      </c>
      <c r="R187" s="229" t="b">
        <v>0</v>
      </c>
    </row>
    <row r="188" ht="13.5" customHeight="1">
      <c r="A188" s="87"/>
      <c r="B188" s="231"/>
      <c r="C188" s="232" t="s">
        <v>30</v>
      </c>
      <c r="D188" s="108"/>
      <c r="E188" s="255"/>
      <c r="F188" s="255"/>
      <c r="G188" s="255"/>
      <c r="H188" s="255"/>
      <c r="I188" s="255"/>
      <c r="J188" s="255"/>
      <c r="K188" s="255"/>
      <c r="L188" s="255"/>
      <c r="M188" s="255"/>
      <c r="N188" s="255"/>
      <c r="O188" s="235" t="s">
        <v>30</v>
      </c>
      <c r="P188" s="236">
        <f>(E188*E173)+(F188*F173)+(G188*G173)+(H188*H173)+(I188*I173)+(J188*J173)+(K188*K173)+(L188*L173)+(M188*M173)+(N188*N173)</f>
        <v>0</v>
      </c>
      <c r="Q188" s="237" t="s">
        <v>31</v>
      </c>
      <c r="R188" s="238" t="b">
        <v>0</v>
      </c>
    </row>
    <row r="189" ht="13.5" customHeight="1">
      <c r="A189" s="68"/>
      <c r="B189" s="239" t="s">
        <v>49</v>
      </c>
      <c r="C189" s="232" t="s">
        <v>34</v>
      </c>
      <c r="D189" s="108"/>
      <c r="E189" s="256"/>
      <c r="F189" s="257"/>
      <c r="G189" s="257"/>
      <c r="H189" s="257"/>
      <c r="I189" s="257"/>
      <c r="J189" s="257"/>
      <c r="K189" s="257"/>
      <c r="L189" s="257"/>
      <c r="M189" s="257"/>
      <c r="N189" s="257"/>
      <c r="O189" s="243" t="s">
        <v>35</v>
      </c>
      <c r="P189" s="236">
        <f>(E189*E173)+(F189*F173)+(G189*G173)+(H189*H173)+(I189*I173)+(J189*J173)+(K189*K173)+(L189*L173)+(M189*M173)+(N189*N173)</f>
        <v>0</v>
      </c>
      <c r="Q189" s="237" t="s">
        <v>36</v>
      </c>
      <c r="R189" s="238" t="b">
        <v>0</v>
      </c>
    </row>
    <row r="190" ht="15.0" customHeight="1">
      <c r="A190" s="80"/>
      <c r="B190" s="245" t="str">
        <f>IFS(P190=0,"",B190&lt;&gt;"",B190,TRUE,NOW())</f>
        <v/>
      </c>
      <c r="C190" s="232" t="s">
        <v>37</v>
      </c>
      <c r="D190" s="108"/>
      <c r="E190" s="258"/>
      <c r="F190" s="258"/>
      <c r="G190" s="258"/>
      <c r="H190" s="258"/>
      <c r="I190" s="258"/>
      <c r="J190" s="258"/>
      <c r="K190" s="258"/>
      <c r="L190" s="258"/>
      <c r="M190" s="258"/>
      <c r="N190" s="258"/>
      <c r="O190" s="248" t="s">
        <v>38</v>
      </c>
      <c r="P190" s="249">
        <f>P189-P188</f>
        <v>0</v>
      </c>
      <c r="Q190" s="250" t="s">
        <v>39</v>
      </c>
      <c r="R190" s="260" t="b">
        <v>0</v>
      </c>
    </row>
    <row r="191" ht="13.5" customHeight="1">
      <c r="A191" s="261" t="s">
        <v>83</v>
      </c>
      <c r="B191" s="209" t="s">
        <v>20</v>
      </c>
      <c r="C191" s="24"/>
      <c r="D191" s="33"/>
      <c r="E191" s="262">
        <f t="shared" ref="E191:N191" si="51">E6</f>
        <v>16</v>
      </c>
      <c r="F191" s="262">
        <f t="shared" si="51"/>
        <v>26</v>
      </c>
      <c r="G191" s="263">
        <f t="shared" si="51"/>
        <v>26</v>
      </c>
      <c r="H191" s="264">
        <f t="shared" si="51"/>
        <v>26</v>
      </c>
      <c r="I191" s="213">
        <f t="shared" si="51"/>
        <v>31</v>
      </c>
      <c r="J191" s="346">
        <f t="shared" si="51"/>
        <v>36</v>
      </c>
      <c r="K191" s="346">
        <f t="shared" si="51"/>
        <v>30</v>
      </c>
      <c r="L191" s="346">
        <f t="shared" si="51"/>
        <v>35</v>
      </c>
      <c r="M191" s="346">
        <f t="shared" si="51"/>
        <v>40</v>
      </c>
      <c r="N191" s="263">
        <f t="shared" si="51"/>
        <v>15</v>
      </c>
      <c r="O191" s="214" t="s">
        <v>21</v>
      </c>
      <c r="P191" s="25"/>
      <c r="Q191" s="215" t="s">
        <v>22</v>
      </c>
      <c r="R191" s="10"/>
    </row>
    <row r="192" ht="13.5" customHeight="1">
      <c r="A192" s="216" t="s">
        <v>23</v>
      </c>
      <c r="B192" s="217" t="s">
        <v>24</v>
      </c>
      <c r="C192" s="218" t="s">
        <v>25</v>
      </c>
      <c r="D192" s="117"/>
      <c r="E192" s="219"/>
      <c r="F192" s="219"/>
      <c r="G192" s="219"/>
      <c r="H192" s="219"/>
      <c r="I192" s="220"/>
      <c r="J192" s="347"/>
      <c r="K192" s="347"/>
      <c r="L192" s="347"/>
      <c r="M192" s="347"/>
      <c r="N192" s="219"/>
      <c r="O192" s="49"/>
      <c r="P192" s="25"/>
      <c r="Q192" s="50"/>
      <c r="R192" s="10"/>
    </row>
    <row r="193" ht="13.5" customHeight="1">
      <c r="A193" s="221"/>
      <c r="B193" s="222" t="s">
        <v>84</v>
      </c>
      <c r="C193" s="223" t="s">
        <v>27</v>
      </c>
      <c r="D193" s="224"/>
      <c r="E193" s="225">
        <f t="shared" ref="E193:N193" si="52">E192-E194</f>
        <v>0</v>
      </c>
      <c r="F193" s="225">
        <f t="shared" si="52"/>
        <v>0</v>
      </c>
      <c r="G193" s="225">
        <f t="shared" si="52"/>
        <v>0</v>
      </c>
      <c r="H193" s="225">
        <f t="shared" si="52"/>
        <v>0</v>
      </c>
      <c r="I193" s="225">
        <f t="shared" si="52"/>
        <v>0</v>
      </c>
      <c r="J193" s="226">
        <f t="shared" si="52"/>
        <v>0</v>
      </c>
      <c r="K193" s="226">
        <f t="shared" si="52"/>
        <v>0</v>
      </c>
      <c r="L193" s="226">
        <f t="shared" si="52"/>
        <v>0</v>
      </c>
      <c r="M193" s="226">
        <f t="shared" si="52"/>
        <v>0</v>
      </c>
      <c r="N193" s="226">
        <f t="shared" si="52"/>
        <v>0</v>
      </c>
      <c r="O193" s="227"/>
      <c r="P193" s="30"/>
      <c r="Q193" s="228" t="s">
        <v>28</v>
      </c>
      <c r="R193" s="229" t="b">
        <v>0</v>
      </c>
    </row>
    <row r="194" ht="13.5" customHeight="1">
      <c r="A194" s="230" t="s">
        <v>29</v>
      </c>
      <c r="B194" s="231"/>
      <c r="C194" s="232" t="s">
        <v>30</v>
      </c>
      <c r="D194" s="108"/>
      <c r="E194" s="233"/>
      <c r="F194" s="233"/>
      <c r="G194" s="233"/>
      <c r="H194" s="233"/>
      <c r="I194" s="234"/>
      <c r="J194" s="234"/>
      <c r="K194" s="234"/>
      <c r="L194" s="234"/>
      <c r="M194" s="234"/>
      <c r="N194" s="233"/>
      <c r="O194" s="235" t="s">
        <v>30</v>
      </c>
      <c r="P194" s="236">
        <f>(E194*E191)+(F194*F191)+(G194*G191)+(H194*H191)+(I194*I191)+(J194*J191)+(K194*K191)+(L194*L191)+(M194*M191)+(N194*N191)</f>
        <v>0</v>
      </c>
      <c r="Q194" s="237" t="s">
        <v>31</v>
      </c>
      <c r="R194" s="238" t="b">
        <v>0</v>
      </c>
    </row>
    <row r="195" ht="18.0" customHeight="1">
      <c r="A195" s="221"/>
      <c r="B195" s="239" t="s">
        <v>33</v>
      </c>
      <c r="C195" s="232" t="s">
        <v>34</v>
      </c>
      <c r="D195" s="108"/>
      <c r="E195" s="240"/>
      <c r="F195" s="241"/>
      <c r="G195" s="241"/>
      <c r="H195" s="241"/>
      <c r="I195" s="242"/>
      <c r="J195" s="242"/>
      <c r="K195" s="242"/>
      <c r="L195" s="242"/>
      <c r="M195" s="242"/>
      <c r="N195" s="241"/>
      <c r="O195" s="243" t="s">
        <v>35</v>
      </c>
      <c r="P195" s="236">
        <f>(E195*E191)+(F195*F191)+(G195*G191)+(H195*H191)+(I195*I191)+(J195*J191)+(K195*K191)+(L195*L191)+(M195*M191)+(N195*N191)</f>
        <v>0</v>
      </c>
      <c r="Q195" s="244" t="s">
        <v>36</v>
      </c>
      <c r="R195" s="238" t="b">
        <v>0</v>
      </c>
    </row>
    <row r="196" ht="13.5" customHeight="1">
      <c r="A196" s="68"/>
      <c r="B196" s="245" t="str">
        <f>IFS(P196=0,"",B196&lt;&gt;"",B196,TRUE,NOW())</f>
        <v/>
      </c>
      <c r="C196" s="232" t="s">
        <v>37</v>
      </c>
      <c r="D196" s="108"/>
      <c r="E196" s="246"/>
      <c r="F196" s="246"/>
      <c r="G196" s="246"/>
      <c r="H196" s="246"/>
      <c r="I196" s="247"/>
      <c r="J196" s="247"/>
      <c r="K196" s="247"/>
      <c r="L196" s="247"/>
      <c r="M196" s="247"/>
      <c r="N196" s="246"/>
      <c r="O196" s="248" t="s">
        <v>38</v>
      </c>
      <c r="P196" s="249">
        <f>P195-P194</f>
        <v>0</v>
      </c>
      <c r="Q196" s="250" t="s">
        <v>39</v>
      </c>
      <c r="R196" s="238" t="b">
        <v>0</v>
      </c>
    </row>
    <row r="197" ht="13.5" customHeight="1">
      <c r="A197" s="230" t="s">
        <v>40</v>
      </c>
      <c r="B197" s="222" t="s">
        <v>84</v>
      </c>
      <c r="C197" s="223" t="s">
        <v>27</v>
      </c>
      <c r="D197" s="224"/>
      <c r="E197" s="225">
        <f t="shared" ref="E197:N197" si="53">E195-E198</f>
        <v>0</v>
      </c>
      <c r="F197" s="225">
        <f t="shared" si="53"/>
        <v>0</v>
      </c>
      <c r="G197" s="225">
        <f t="shared" si="53"/>
        <v>0</v>
      </c>
      <c r="H197" s="225">
        <f t="shared" si="53"/>
        <v>0</v>
      </c>
      <c r="I197" s="225">
        <f t="shared" si="53"/>
        <v>0</v>
      </c>
      <c r="J197" s="226">
        <f t="shared" si="53"/>
        <v>0</v>
      </c>
      <c r="K197" s="226">
        <f t="shared" si="53"/>
        <v>0</v>
      </c>
      <c r="L197" s="226">
        <f t="shared" si="53"/>
        <v>0</v>
      </c>
      <c r="M197" s="226">
        <f t="shared" si="53"/>
        <v>0</v>
      </c>
      <c r="N197" s="226">
        <f t="shared" si="53"/>
        <v>0</v>
      </c>
      <c r="O197" s="227"/>
      <c r="P197" s="30"/>
      <c r="Q197" s="228" t="s">
        <v>28</v>
      </c>
      <c r="R197" s="229" t="b">
        <v>0</v>
      </c>
    </row>
    <row r="198" ht="13.5" customHeight="1">
      <c r="A198" s="221"/>
      <c r="B198" s="231"/>
      <c r="C198" s="232" t="s">
        <v>30</v>
      </c>
      <c r="D198" s="108"/>
      <c r="E198" s="233"/>
      <c r="F198" s="233"/>
      <c r="G198" s="233"/>
      <c r="H198" s="233"/>
      <c r="I198" s="234"/>
      <c r="J198" s="348"/>
      <c r="K198" s="348"/>
      <c r="L198" s="348"/>
      <c r="M198" s="348"/>
      <c r="N198" s="251"/>
      <c r="O198" s="235" t="s">
        <v>30</v>
      </c>
      <c r="P198" s="236">
        <f>(E198*E191)+(F198*F191)+(G198*G191)+(H198*H191)+(I198*I191)+(J198*J191)+(K198*K191)+(L198*L191)+(M198*M191)+(N198*N191)</f>
        <v>0</v>
      </c>
      <c r="Q198" s="237" t="s">
        <v>31</v>
      </c>
      <c r="R198" s="238" t="b">
        <v>0</v>
      </c>
    </row>
    <row r="199" ht="13.5" customHeight="1">
      <c r="A199" s="68"/>
      <c r="B199" s="239" t="s">
        <v>42</v>
      </c>
      <c r="C199" s="232" t="s">
        <v>34</v>
      </c>
      <c r="D199" s="108"/>
      <c r="E199" s="240"/>
      <c r="F199" s="241"/>
      <c r="G199" s="241"/>
      <c r="H199" s="241"/>
      <c r="I199" s="242"/>
      <c r="J199" s="349"/>
      <c r="K199" s="349"/>
      <c r="L199" s="349"/>
      <c r="M199" s="349"/>
      <c r="N199" s="252"/>
      <c r="O199" s="243" t="s">
        <v>35</v>
      </c>
      <c r="P199" s="236">
        <f>(E199*E191)+(F199*F191)+(G199*G191)+(H199*H191)+(I199*I191)+(J199*J191)+(K199*K191)+(L199*L191)+(M199*M191)+(N199*N191)</f>
        <v>0</v>
      </c>
      <c r="Q199" s="237" t="s">
        <v>36</v>
      </c>
      <c r="R199" s="238" t="b">
        <v>0</v>
      </c>
    </row>
    <row r="200" ht="15.0" customHeight="1">
      <c r="A200" s="230" t="s">
        <v>43</v>
      </c>
      <c r="B200" s="245" t="str">
        <f>IFS(P200=0,"",B200&lt;&gt;"",B200,TRUE,NOW())</f>
        <v/>
      </c>
      <c r="C200" s="232" t="s">
        <v>37</v>
      </c>
      <c r="D200" s="108"/>
      <c r="E200" s="246"/>
      <c r="F200" s="246"/>
      <c r="G200" s="246"/>
      <c r="H200" s="246"/>
      <c r="I200" s="247"/>
      <c r="J200" s="350"/>
      <c r="K200" s="350"/>
      <c r="L200" s="350"/>
      <c r="M200" s="350"/>
      <c r="N200" s="253"/>
      <c r="O200" s="248" t="s">
        <v>38</v>
      </c>
      <c r="P200" s="249">
        <f>P199-P198</f>
        <v>0</v>
      </c>
      <c r="Q200" s="250" t="s">
        <v>39</v>
      </c>
      <c r="R200" s="238" t="b">
        <v>0</v>
      </c>
    </row>
    <row r="201" ht="13.5" customHeight="1">
      <c r="A201" s="230"/>
      <c r="B201" s="222" t="s">
        <v>84</v>
      </c>
      <c r="C201" s="223" t="s">
        <v>27</v>
      </c>
      <c r="D201" s="224"/>
      <c r="E201" s="254">
        <f t="shared" ref="E201:N201" si="54">E199-E202</f>
        <v>0</v>
      </c>
      <c r="F201" s="254">
        <f t="shared" si="54"/>
        <v>0</v>
      </c>
      <c r="G201" s="254">
        <f t="shared" si="54"/>
        <v>0</v>
      </c>
      <c r="H201" s="254">
        <f t="shared" si="54"/>
        <v>0</v>
      </c>
      <c r="I201" s="254">
        <f t="shared" si="54"/>
        <v>0</v>
      </c>
      <c r="J201" s="254">
        <f t="shared" si="54"/>
        <v>0</v>
      </c>
      <c r="K201" s="254">
        <f t="shared" si="54"/>
        <v>0</v>
      </c>
      <c r="L201" s="254">
        <f t="shared" si="54"/>
        <v>0</v>
      </c>
      <c r="M201" s="254">
        <f t="shared" si="54"/>
        <v>0</v>
      </c>
      <c r="N201" s="254">
        <f t="shared" si="54"/>
        <v>0</v>
      </c>
      <c r="O201" s="227"/>
      <c r="P201" s="30"/>
      <c r="Q201" s="228" t="s">
        <v>28</v>
      </c>
      <c r="R201" s="229" t="b">
        <v>0</v>
      </c>
    </row>
    <row r="202" ht="13.5" customHeight="1">
      <c r="A202" s="230" t="s">
        <v>45</v>
      </c>
      <c r="B202" s="231"/>
      <c r="C202" s="232" t="s">
        <v>30</v>
      </c>
      <c r="D202" s="108"/>
      <c r="E202" s="255"/>
      <c r="F202" s="255"/>
      <c r="G202" s="255"/>
      <c r="H202" s="255"/>
      <c r="I202" s="255"/>
      <c r="J202" s="255"/>
      <c r="K202" s="255"/>
      <c r="L202" s="255"/>
      <c r="M202" s="255"/>
      <c r="N202" s="255"/>
      <c r="O202" s="235" t="s">
        <v>30</v>
      </c>
      <c r="P202" s="236">
        <f>(E202*E191)+(F202*F191)+(G202*G191)+(H202*H191)+(I202*I191)+(J202*J191)+(K202*K191)+(L202*L191)+(M202*M191)+(N202*N191)</f>
        <v>0</v>
      </c>
      <c r="Q202" s="237" t="s">
        <v>31</v>
      </c>
      <c r="R202" s="238" t="b">
        <v>0</v>
      </c>
    </row>
    <row r="203" ht="13.5" customHeight="1">
      <c r="A203" s="221"/>
      <c r="B203" s="239" t="s">
        <v>47</v>
      </c>
      <c r="C203" s="232" t="s">
        <v>34</v>
      </c>
      <c r="D203" s="108"/>
      <c r="E203" s="256"/>
      <c r="F203" s="257"/>
      <c r="G203" s="257"/>
      <c r="H203" s="257"/>
      <c r="I203" s="257"/>
      <c r="J203" s="257"/>
      <c r="K203" s="257"/>
      <c r="L203" s="257"/>
      <c r="M203" s="257"/>
      <c r="N203" s="257"/>
      <c r="O203" s="243" t="s">
        <v>35</v>
      </c>
      <c r="P203" s="236">
        <f>(E203*E191)+(F203*F191)+(G203*G191)+(H203*H191)+(I203*I191)+(J203*J191)+(K203*K191)+(L203*L191)+(M203*M191)+(N203*N191)</f>
        <v>0</v>
      </c>
      <c r="Q203" s="237" t="s">
        <v>36</v>
      </c>
      <c r="R203" s="238" t="b">
        <v>0</v>
      </c>
    </row>
    <row r="204" ht="13.5" customHeight="1">
      <c r="A204" s="68"/>
      <c r="B204" s="245" t="str">
        <f>IFS(P204=0,"",B204&lt;&gt;"",B204,TRUE,NOW())</f>
        <v/>
      </c>
      <c r="C204" s="232" t="s">
        <v>37</v>
      </c>
      <c r="D204" s="108"/>
      <c r="E204" s="258"/>
      <c r="F204" s="258"/>
      <c r="G204" s="258"/>
      <c r="H204" s="258"/>
      <c r="I204" s="258"/>
      <c r="J204" s="258"/>
      <c r="K204" s="258"/>
      <c r="L204" s="258"/>
      <c r="M204" s="258"/>
      <c r="N204" s="258"/>
      <c r="O204" s="248" t="s">
        <v>38</v>
      </c>
      <c r="P204" s="249">
        <f>P203-P202</f>
        <v>0</v>
      </c>
      <c r="Q204" s="250" t="s">
        <v>39</v>
      </c>
      <c r="R204" s="238" t="b">
        <v>0</v>
      </c>
    </row>
    <row r="205" ht="13.5" customHeight="1">
      <c r="A205" s="259" t="s">
        <v>48</v>
      </c>
      <c r="B205" s="222" t="s">
        <v>84</v>
      </c>
      <c r="C205" s="223" t="s">
        <v>27</v>
      </c>
      <c r="D205" s="224"/>
      <c r="E205" s="254">
        <f t="shared" ref="E205:N205" si="55">E203-E206</f>
        <v>0</v>
      </c>
      <c r="F205" s="254">
        <f t="shared" si="55"/>
        <v>0</v>
      </c>
      <c r="G205" s="254">
        <f t="shared" si="55"/>
        <v>0</v>
      </c>
      <c r="H205" s="254">
        <f t="shared" si="55"/>
        <v>0</v>
      </c>
      <c r="I205" s="254">
        <f t="shared" si="55"/>
        <v>0</v>
      </c>
      <c r="J205" s="254">
        <f t="shared" si="55"/>
        <v>0</v>
      </c>
      <c r="K205" s="254">
        <f t="shared" si="55"/>
        <v>0</v>
      </c>
      <c r="L205" s="254">
        <f t="shared" si="55"/>
        <v>0</v>
      </c>
      <c r="M205" s="254">
        <f t="shared" si="55"/>
        <v>0</v>
      </c>
      <c r="N205" s="254">
        <f t="shared" si="55"/>
        <v>0</v>
      </c>
      <c r="O205" s="227"/>
      <c r="P205" s="30"/>
      <c r="Q205" s="228" t="s">
        <v>28</v>
      </c>
      <c r="R205" s="229" t="b">
        <v>0</v>
      </c>
    </row>
    <row r="206" ht="13.5" customHeight="1">
      <c r="A206" s="87"/>
      <c r="B206" s="231"/>
      <c r="C206" s="232" t="s">
        <v>30</v>
      </c>
      <c r="D206" s="108"/>
      <c r="E206" s="255"/>
      <c r="F206" s="255"/>
      <c r="G206" s="255"/>
      <c r="H206" s="255"/>
      <c r="I206" s="255"/>
      <c r="J206" s="255"/>
      <c r="K206" s="255"/>
      <c r="L206" s="255"/>
      <c r="M206" s="255"/>
      <c r="N206" s="255"/>
      <c r="O206" s="235" t="s">
        <v>30</v>
      </c>
      <c r="P206" s="236">
        <f>(E206*E191)+(F206*F191)+(G206*G191)+(H206*H191)+(I206*I191)+(J206*J191)+(K206*K191)+(L206*L191)+(M206*M191)+(N206*N191)</f>
        <v>0</v>
      </c>
      <c r="Q206" s="237" t="s">
        <v>31</v>
      </c>
      <c r="R206" s="238" t="b">
        <v>0</v>
      </c>
    </row>
    <row r="207" ht="18.0" customHeight="1">
      <c r="A207" s="68"/>
      <c r="B207" s="239" t="s">
        <v>49</v>
      </c>
      <c r="C207" s="232" t="s">
        <v>34</v>
      </c>
      <c r="D207" s="108"/>
      <c r="E207" s="256"/>
      <c r="F207" s="257"/>
      <c r="G207" s="257"/>
      <c r="H207" s="257"/>
      <c r="I207" s="257"/>
      <c r="J207" s="257"/>
      <c r="K207" s="257"/>
      <c r="L207" s="257"/>
      <c r="M207" s="257"/>
      <c r="N207" s="257"/>
      <c r="O207" s="243" t="s">
        <v>35</v>
      </c>
      <c r="P207" s="236">
        <f>(E207*E191)+(F207*F191)+(G207*G191)+(H207*H191)+(I207*I191)+(J207*J191)+(K207*K191)+(L207*L191)+(M207*M191)+(N207*N191)</f>
        <v>0</v>
      </c>
      <c r="Q207" s="237" t="s">
        <v>36</v>
      </c>
      <c r="R207" s="238" t="b">
        <v>0</v>
      </c>
    </row>
    <row r="208" ht="13.5" customHeight="1">
      <c r="A208" s="80"/>
      <c r="B208" s="245" t="str">
        <f>IFS(P208=0,"",B208&lt;&gt;"",B208,TRUE,NOW())</f>
        <v/>
      </c>
      <c r="C208" s="232" t="s">
        <v>37</v>
      </c>
      <c r="D208" s="108"/>
      <c r="E208" s="258"/>
      <c r="F208" s="258"/>
      <c r="G208" s="258"/>
      <c r="H208" s="258"/>
      <c r="I208" s="258"/>
      <c r="J208" s="258"/>
      <c r="K208" s="258"/>
      <c r="L208" s="258"/>
      <c r="M208" s="258"/>
      <c r="N208" s="258"/>
      <c r="O208" s="248" t="s">
        <v>38</v>
      </c>
      <c r="P208" s="249">
        <f>P207-P206</f>
        <v>0</v>
      </c>
      <c r="Q208" s="250" t="s">
        <v>39</v>
      </c>
      <c r="R208" s="260" t="b">
        <v>0</v>
      </c>
    </row>
    <row r="209" ht="13.5" customHeight="1">
      <c r="A209" s="261" t="s">
        <v>86</v>
      </c>
      <c r="B209" s="209" t="s">
        <v>20</v>
      </c>
      <c r="C209" s="24"/>
      <c r="D209" s="33"/>
      <c r="E209" s="262">
        <f t="shared" ref="E209:N209" si="56">E6</f>
        <v>16</v>
      </c>
      <c r="F209" s="262">
        <f t="shared" si="56"/>
        <v>26</v>
      </c>
      <c r="G209" s="263">
        <f t="shared" si="56"/>
        <v>26</v>
      </c>
      <c r="H209" s="264">
        <f t="shared" si="56"/>
        <v>26</v>
      </c>
      <c r="I209" s="213">
        <f t="shared" si="56"/>
        <v>31</v>
      </c>
      <c r="J209" s="346">
        <f t="shared" si="56"/>
        <v>36</v>
      </c>
      <c r="K209" s="346">
        <f t="shared" si="56"/>
        <v>30</v>
      </c>
      <c r="L209" s="346">
        <f t="shared" si="56"/>
        <v>35</v>
      </c>
      <c r="M209" s="346">
        <f t="shared" si="56"/>
        <v>40</v>
      </c>
      <c r="N209" s="263">
        <f t="shared" si="56"/>
        <v>15</v>
      </c>
      <c r="O209" s="214" t="s">
        <v>21</v>
      </c>
      <c r="P209" s="25"/>
      <c r="Q209" s="215" t="s">
        <v>22</v>
      </c>
      <c r="R209" s="10"/>
    </row>
    <row r="210" ht="13.5" customHeight="1">
      <c r="A210" s="216" t="s">
        <v>23</v>
      </c>
      <c r="B210" s="217" t="s">
        <v>24</v>
      </c>
      <c r="C210" s="218" t="s">
        <v>25</v>
      </c>
      <c r="D210" s="117"/>
      <c r="E210" s="219"/>
      <c r="F210" s="219"/>
      <c r="G210" s="219"/>
      <c r="H210" s="219"/>
      <c r="I210" s="220"/>
      <c r="J210" s="347"/>
      <c r="K210" s="347"/>
      <c r="L210" s="347"/>
      <c r="M210" s="347"/>
      <c r="N210" s="219"/>
      <c r="O210" s="49"/>
      <c r="P210" s="25"/>
      <c r="Q210" s="50"/>
      <c r="R210" s="10"/>
    </row>
    <row r="211" ht="13.5" customHeight="1">
      <c r="A211" s="221"/>
      <c r="B211" s="222" t="s">
        <v>87</v>
      </c>
      <c r="C211" s="223" t="s">
        <v>27</v>
      </c>
      <c r="D211" s="224"/>
      <c r="E211" s="225">
        <f t="shared" ref="E211:N211" si="57">E210-E212</f>
        <v>0</v>
      </c>
      <c r="F211" s="225">
        <f t="shared" si="57"/>
        <v>0</v>
      </c>
      <c r="G211" s="225">
        <f t="shared" si="57"/>
        <v>0</v>
      </c>
      <c r="H211" s="225">
        <f t="shared" si="57"/>
        <v>0</v>
      </c>
      <c r="I211" s="225">
        <f t="shared" si="57"/>
        <v>0</v>
      </c>
      <c r="J211" s="226">
        <f t="shared" si="57"/>
        <v>0</v>
      </c>
      <c r="K211" s="226">
        <f t="shared" si="57"/>
        <v>0</v>
      </c>
      <c r="L211" s="226">
        <f t="shared" si="57"/>
        <v>0</v>
      </c>
      <c r="M211" s="226">
        <f t="shared" si="57"/>
        <v>0</v>
      </c>
      <c r="N211" s="226">
        <f t="shared" si="57"/>
        <v>0</v>
      </c>
      <c r="O211" s="227"/>
      <c r="P211" s="30"/>
      <c r="Q211" s="228" t="s">
        <v>28</v>
      </c>
      <c r="R211" s="229" t="b">
        <v>0</v>
      </c>
    </row>
    <row r="212" ht="18.0" customHeight="1">
      <c r="A212" s="230" t="s">
        <v>29</v>
      </c>
      <c r="B212" s="231"/>
      <c r="C212" s="232" t="s">
        <v>30</v>
      </c>
      <c r="D212" s="108"/>
      <c r="E212" s="233"/>
      <c r="F212" s="233"/>
      <c r="G212" s="233"/>
      <c r="H212" s="233"/>
      <c r="I212" s="234"/>
      <c r="J212" s="234"/>
      <c r="K212" s="234"/>
      <c r="L212" s="234"/>
      <c r="M212" s="234"/>
      <c r="N212" s="233"/>
      <c r="O212" s="235" t="s">
        <v>30</v>
      </c>
      <c r="P212" s="236">
        <f>(E212*E209)+(F212*F209)+(G212*G209)+(H212*H209)+(I212*I209)+(J212*J209)+(K212*K209)+(L212*L209)+(M212*M209)+(N212*N209)</f>
        <v>0</v>
      </c>
      <c r="Q212" s="237" t="s">
        <v>31</v>
      </c>
      <c r="R212" s="238" t="b">
        <v>0</v>
      </c>
    </row>
    <row r="213" ht="13.5" customHeight="1">
      <c r="A213" s="221"/>
      <c r="B213" s="239" t="s">
        <v>33</v>
      </c>
      <c r="C213" s="232" t="s">
        <v>34</v>
      </c>
      <c r="D213" s="108"/>
      <c r="E213" s="240"/>
      <c r="F213" s="241"/>
      <c r="G213" s="241"/>
      <c r="H213" s="241"/>
      <c r="I213" s="242"/>
      <c r="J213" s="242"/>
      <c r="K213" s="242"/>
      <c r="L213" s="242"/>
      <c r="M213" s="242"/>
      <c r="N213" s="241"/>
      <c r="O213" s="243" t="s">
        <v>35</v>
      </c>
      <c r="P213" s="236">
        <f>(E213*E209)+(F213*F209)+(G213*G209)+(H213*H209)+(I213*I209)+(J213*J209)+(K213*K209)+(L213*L209)+(M213*M209)+(N213*N209)</f>
        <v>0</v>
      </c>
      <c r="Q213" s="244" t="s">
        <v>36</v>
      </c>
      <c r="R213" s="238" t="b">
        <v>0</v>
      </c>
    </row>
    <row r="214" ht="13.5" customHeight="1">
      <c r="A214" s="68"/>
      <c r="B214" s="245" t="str">
        <f>IFS(P214=0,"",B214&lt;&gt;"",B214,TRUE,NOW())</f>
        <v/>
      </c>
      <c r="C214" s="232" t="s">
        <v>37</v>
      </c>
      <c r="D214" s="108"/>
      <c r="E214" s="246"/>
      <c r="F214" s="246"/>
      <c r="G214" s="246"/>
      <c r="H214" s="246"/>
      <c r="I214" s="247"/>
      <c r="J214" s="247"/>
      <c r="K214" s="247"/>
      <c r="L214" s="247"/>
      <c r="M214" s="247"/>
      <c r="N214" s="246"/>
      <c r="O214" s="248" t="s">
        <v>38</v>
      </c>
      <c r="P214" s="249">
        <f>P213-P212</f>
        <v>0</v>
      </c>
      <c r="Q214" s="250" t="s">
        <v>39</v>
      </c>
      <c r="R214" s="238" t="b">
        <v>0</v>
      </c>
    </row>
    <row r="215" ht="13.5" customHeight="1">
      <c r="A215" s="230" t="s">
        <v>40</v>
      </c>
      <c r="B215" s="222" t="s">
        <v>87</v>
      </c>
      <c r="C215" s="223" t="s">
        <v>27</v>
      </c>
      <c r="D215" s="224"/>
      <c r="E215" s="225">
        <f t="shared" ref="E215:N215" si="58">E213-E216</f>
        <v>0</v>
      </c>
      <c r="F215" s="225">
        <f t="shared" si="58"/>
        <v>0</v>
      </c>
      <c r="G215" s="225">
        <f t="shared" si="58"/>
        <v>0</v>
      </c>
      <c r="H215" s="225">
        <f t="shared" si="58"/>
        <v>0</v>
      </c>
      <c r="I215" s="225">
        <f t="shared" si="58"/>
        <v>0</v>
      </c>
      <c r="J215" s="226">
        <f t="shared" si="58"/>
        <v>0</v>
      </c>
      <c r="K215" s="226">
        <f t="shared" si="58"/>
        <v>0</v>
      </c>
      <c r="L215" s="226">
        <f t="shared" si="58"/>
        <v>0</v>
      </c>
      <c r="M215" s="226">
        <f t="shared" si="58"/>
        <v>0</v>
      </c>
      <c r="N215" s="226">
        <f t="shared" si="58"/>
        <v>0</v>
      </c>
      <c r="O215" s="227"/>
      <c r="P215" s="30"/>
      <c r="Q215" s="228" t="s">
        <v>28</v>
      </c>
      <c r="R215" s="229" t="b">
        <v>0</v>
      </c>
    </row>
    <row r="216" ht="13.5" customHeight="1">
      <c r="A216" s="221"/>
      <c r="B216" s="231"/>
      <c r="C216" s="232" t="s">
        <v>30</v>
      </c>
      <c r="D216" s="108"/>
      <c r="E216" s="233"/>
      <c r="F216" s="233"/>
      <c r="G216" s="233"/>
      <c r="H216" s="233"/>
      <c r="I216" s="234"/>
      <c r="J216" s="348"/>
      <c r="K216" s="348"/>
      <c r="L216" s="348"/>
      <c r="M216" s="348"/>
      <c r="N216" s="251"/>
      <c r="O216" s="235" t="s">
        <v>30</v>
      </c>
      <c r="P216" s="236">
        <f>(E216*E209)+(F216*F209)+(G216*G209)+(H216*H209)+(I216*I209)+(J216*J209)+(K216*K209)+(L216*L209)+(M216*M209)+(N216*N209)</f>
        <v>0</v>
      </c>
      <c r="Q216" s="237" t="s">
        <v>31</v>
      </c>
      <c r="R216" s="238" t="b">
        <v>0</v>
      </c>
    </row>
    <row r="217" ht="15.0" customHeight="1">
      <c r="A217" s="68"/>
      <c r="B217" s="239" t="s">
        <v>42</v>
      </c>
      <c r="C217" s="232" t="s">
        <v>34</v>
      </c>
      <c r="D217" s="108"/>
      <c r="E217" s="240"/>
      <c r="F217" s="241"/>
      <c r="G217" s="241"/>
      <c r="H217" s="241"/>
      <c r="I217" s="242"/>
      <c r="J217" s="349"/>
      <c r="K217" s="349"/>
      <c r="L217" s="349"/>
      <c r="M217" s="349"/>
      <c r="N217" s="252"/>
      <c r="O217" s="243" t="s">
        <v>35</v>
      </c>
      <c r="P217" s="236">
        <f>(E217*E209)+(F217*F209)+(G217*G209)+(H217*H209)+(I217*I209)+(J217*J209)+(K217*K209)+(L217*L209)+(M217*M209)+(N217*N209)</f>
        <v>0</v>
      </c>
      <c r="Q217" s="237" t="s">
        <v>36</v>
      </c>
      <c r="R217" s="238" t="b">
        <v>0</v>
      </c>
    </row>
    <row r="218" ht="13.5" customHeight="1">
      <c r="A218" s="230" t="s">
        <v>43</v>
      </c>
      <c r="B218" s="245" t="str">
        <f>IFS(P218=0,"",B218&lt;&gt;"",B218,TRUE,NOW())</f>
        <v/>
      </c>
      <c r="C218" s="232" t="s">
        <v>37</v>
      </c>
      <c r="D218" s="108"/>
      <c r="E218" s="246"/>
      <c r="F218" s="246"/>
      <c r="G218" s="246"/>
      <c r="H218" s="246"/>
      <c r="I218" s="247"/>
      <c r="J218" s="350"/>
      <c r="K218" s="350"/>
      <c r="L218" s="350"/>
      <c r="M218" s="350"/>
      <c r="N218" s="253"/>
      <c r="O218" s="248" t="s">
        <v>38</v>
      </c>
      <c r="P218" s="249">
        <f>P217-P216</f>
        <v>0</v>
      </c>
      <c r="Q218" s="250" t="s">
        <v>39</v>
      </c>
      <c r="R218" s="238" t="b">
        <v>0</v>
      </c>
    </row>
    <row r="219" ht="13.5" customHeight="1">
      <c r="A219" s="230"/>
      <c r="B219" s="222" t="s">
        <v>87</v>
      </c>
      <c r="C219" s="223" t="s">
        <v>27</v>
      </c>
      <c r="D219" s="224"/>
      <c r="E219" s="254">
        <f t="shared" ref="E219:N219" si="59">E217-E220</f>
        <v>0</v>
      </c>
      <c r="F219" s="254">
        <f t="shared" si="59"/>
        <v>0</v>
      </c>
      <c r="G219" s="254">
        <f t="shared" si="59"/>
        <v>0</v>
      </c>
      <c r="H219" s="254">
        <f t="shared" si="59"/>
        <v>0</v>
      </c>
      <c r="I219" s="254">
        <f t="shared" si="59"/>
        <v>0</v>
      </c>
      <c r="J219" s="254">
        <f t="shared" si="59"/>
        <v>0</v>
      </c>
      <c r="K219" s="254">
        <f t="shared" si="59"/>
        <v>0</v>
      </c>
      <c r="L219" s="254">
        <f t="shared" si="59"/>
        <v>0</v>
      </c>
      <c r="M219" s="254">
        <f t="shared" si="59"/>
        <v>0</v>
      </c>
      <c r="N219" s="254">
        <f t="shared" si="59"/>
        <v>0</v>
      </c>
      <c r="O219" s="227"/>
      <c r="P219" s="30"/>
      <c r="Q219" s="228" t="s">
        <v>28</v>
      </c>
      <c r="R219" s="229" t="b">
        <v>0</v>
      </c>
    </row>
    <row r="220" ht="13.5" customHeight="1">
      <c r="A220" s="230" t="s">
        <v>45</v>
      </c>
      <c r="B220" s="231"/>
      <c r="C220" s="232" t="s">
        <v>30</v>
      </c>
      <c r="D220" s="108"/>
      <c r="E220" s="255"/>
      <c r="F220" s="255"/>
      <c r="G220" s="255"/>
      <c r="H220" s="255"/>
      <c r="I220" s="255"/>
      <c r="J220" s="255"/>
      <c r="K220" s="255"/>
      <c r="L220" s="255"/>
      <c r="M220" s="255"/>
      <c r="N220" s="255"/>
      <c r="O220" s="235" t="s">
        <v>30</v>
      </c>
      <c r="P220" s="236">
        <f>(E220*E209)+(F220*F209)+(G220*G209)+(H220*H209)+(I220*I209)+(J220*J209)+(K220*K209)+(L220*L209)+(M220*M209)+(N220*N209)</f>
        <v>0</v>
      </c>
      <c r="Q220" s="237" t="s">
        <v>31</v>
      </c>
      <c r="R220" s="238" t="b">
        <v>0</v>
      </c>
    </row>
    <row r="221" ht="13.5" customHeight="1">
      <c r="A221" s="221"/>
      <c r="B221" s="239" t="s">
        <v>47</v>
      </c>
      <c r="C221" s="232" t="s">
        <v>34</v>
      </c>
      <c r="D221" s="108"/>
      <c r="E221" s="256"/>
      <c r="F221" s="257"/>
      <c r="G221" s="257"/>
      <c r="H221" s="257"/>
      <c r="I221" s="257"/>
      <c r="J221" s="257"/>
      <c r="K221" s="257"/>
      <c r="L221" s="257"/>
      <c r="M221" s="257"/>
      <c r="N221" s="257"/>
      <c r="O221" s="243" t="s">
        <v>35</v>
      </c>
      <c r="P221" s="236">
        <f>(E221*E209)+(F221*F209)+(G221*G209)+(H221*H209)+(I221*I209)+(J221*J209)+(K221*K209)+(L221*L209)+(M221*M209)+(N221*N209)</f>
        <v>0</v>
      </c>
      <c r="Q221" s="237" t="s">
        <v>36</v>
      </c>
      <c r="R221" s="238" t="b">
        <v>0</v>
      </c>
    </row>
    <row r="222" ht="15.0" customHeight="1">
      <c r="A222" s="68"/>
      <c r="B222" s="245" t="str">
        <f>IFS(P222=0,"",B222&lt;&gt;"",B222,TRUE,NOW())</f>
        <v/>
      </c>
      <c r="C222" s="232" t="s">
        <v>37</v>
      </c>
      <c r="D222" s="108"/>
      <c r="E222" s="258"/>
      <c r="F222" s="258"/>
      <c r="G222" s="258"/>
      <c r="H222" s="258"/>
      <c r="I222" s="258"/>
      <c r="J222" s="258"/>
      <c r="K222" s="258"/>
      <c r="L222" s="258"/>
      <c r="M222" s="258"/>
      <c r="N222" s="258"/>
      <c r="O222" s="248" t="s">
        <v>38</v>
      </c>
      <c r="P222" s="249">
        <f>P221-P220</f>
        <v>0</v>
      </c>
      <c r="Q222" s="250" t="s">
        <v>39</v>
      </c>
      <c r="R222" s="238" t="b">
        <v>0</v>
      </c>
    </row>
    <row r="223" ht="13.5" customHeight="1">
      <c r="A223" s="259" t="s">
        <v>48</v>
      </c>
      <c r="B223" s="222" t="s">
        <v>87</v>
      </c>
      <c r="C223" s="223" t="s">
        <v>27</v>
      </c>
      <c r="D223" s="224"/>
      <c r="E223" s="254">
        <f t="shared" ref="E223:N223" si="60">E221-E224</f>
        <v>0</v>
      </c>
      <c r="F223" s="254">
        <f t="shared" si="60"/>
        <v>0</v>
      </c>
      <c r="G223" s="254">
        <f t="shared" si="60"/>
        <v>0</v>
      </c>
      <c r="H223" s="254">
        <f t="shared" si="60"/>
        <v>0</v>
      </c>
      <c r="I223" s="254">
        <f t="shared" si="60"/>
        <v>0</v>
      </c>
      <c r="J223" s="254">
        <f t="shared" si="60"/>
        <v>0</v>
      </c>
      <c r="K223" s="254">
        <f t="shared" si="60"/>
        <v>0</v>
      </c>
      <c r="L223" s="254">
        <f t="shared" si="60"/>
        <v>0</v>
      </c>
      <c r="M223" s="254">
        <f t="shared" si="60"/>
        <v>0</v>
      </c>
      <c r="N223" s="254">
        <f t="shared" si="60"/>
        <v>0</v>
      </c>
      <c r="O223" s="227"/>
      <c r="P223" s="30"/>
      <c r="Q223" s="228" t="s">
        <v>28</v>
      </c>
      <c r="R223" s="229" t="b">
        <v>0</v>
      </c>
    </row>
    <row r="224" ht="13.5" customHeight="1">
      <c r="A224" s="87"/>
      <c r="B224" s="231"/>
      <c r="C224" s="232" t="s">
        <v>30</v>
      </c>
      <c r="D224" s="108"/>
      <c r="E224" s="255"/>
      <c r="F224" s="255"/>
      <c r="G224" s="255"/>
      <c r="H224" s="255"/>
      <c r="I224" s="255"/>
      <c r="J224" s="255"/>
      <c r="K224" s="255"/>
      <c r="L224" s="255"/>
      <c r="M224" s="255"/>
      <c r="N224" s="255"/>
      <c r="O224" s="235" t="s">
        <v>30</v>
      </c>
      <c r="P224" s="236">
        <f>(E224*E209)+(F224*F209)+(G224*G209)+(H224*H209)+(I224*I209)+(J224*J209)+(K224*K209)+(L224*L209)+(M224*M209)+(N224*N209)</f>
        <v>0</v>
      </c>
      <c r="Q224" s="237" t="s">
        <v>31</v>
      </c>
      <c r="R224" s="238" t="b">
        <v>0</v>
      </c>
    </row>
    <row r="225" ht="13.5" customHeight="1">
      <c r="A225" s="68"/>
      <c r="B225" s="239" t="s">
        <v>49</v>
      </c>
      <c r="C225" s="232" t="s">
        <v>34</v>
      </c>
      <c r="D225" s="108"/>
      <c r="E225" s="256"/>
      <c r="F225" s="257"/>
      <c r="G225" s="257"/>
      <c r="H225" s="257"/>
      <c r="I225" s="257"/>
      <c r="J225" s="257"/>
      <c r="K225" s="257"/>
      <c r="L225" s="257"/>
      <c r="M225" s="257"/>
      <c r="N225" s="257"/>
      <c r="O225" s="243" t="s">
        <v>35</v>
      </c>
      <c r="P225" s="236">
        <f>(E225*E209)+(F225*F209)+(G225*G209)+(H225*H209)+(I225*I209)+(J225*J209)+(K225*K209)+(L225*L209)+(M225*M209)+(N225*N209)</f>
        <v>0</v>
      </c>
      <c r="Q225" s="237" t="s">
        <v>36</v>
      </c>
      <c r="R225" s="238" t="b">
        <v>0</v>
      </c>
    </row>
    <row r="226" ht="13.5" customHeight="1">
      <c r="A226" s="80"/>
      <c r="B226" s="245" t="str">
        <f>IFS(P226=0,"",B226&lt;&gt;"",B226,TRUE,NOW())</f>
        <v/>
      </c>
      <c r="C226" s="232" t="s">
        <v>37</v>
      </c>
      <c r="D226" s="108"/>
      <c r="E226" s="258"/>
      <c r="F226" s="258"/>
      <c r="G226" s="258"/>
      <c r="H226" s="258"/>
      <c r="I226" s="258"/>
      <c r="J226" s="258"/>
      <c r="K226" s="258"/>
      <c r="L226" s="258"/>
      <c r="M226" s="258"/>
      <c r="N226" s="258"/>
      <c r="O226" s="248" t="s">
        <v>38</v>
      </c>
      <c r="P226" s="249">
        <f>P225-P224</f>
        <v>0</v>
      </c>
      <c r="Q226" s="250" t="s">
        <v>39</v>
      </c>
      <c r="R226" s="260" t="b">
        <v>0</v>
      </c>
    </row>
    <row r="227" ht="13.5" customHeight="1">
      <c r="A227" s="261" t="s">
        <v>89</v>
      </c>
      <c r="B227" s="209" t="s">
        <v>20</v>
      </c>
      <c r="C227" s="24"/>
      <c r="D227" s="33"/>
      <c r="E227" s="262">
        <f t="shared" ref="E227:N227" si="61">E6</f>
        <v>16</v>
      </c>
      <c r="F227" s="262">
        <f t="shared" si="61"/>
        <v>26</v>
      </c>
      <c r="G227" s="263">
        <f t="shared" si="61"/>
        <v>26</v>
      </c>
      <c r="H227" s="264">
        <f t="shared" si="61"/>
        <v>26</v>
      </c>
      <c r="I227" s="213">
        <f t="shared" si="61"/>
        <v>31</v>
      </c>
      <c r="J227" s="346">
        <f t="shared" si="61"/>
        <v>36</v>
      </c>
      <c r="K227" s="346">
        <f t="shared" si="61"/>
        <v>30</v>
      </c>
      <c r="L227" s="346">
        <f t="shared" si="61"/>
        <v>35</v>
      </c>
      <c r="M227" s="346">
        <f t="shared" si="61"/>
        <v>40</v>
      </c>
      <c r="N227" s="263">
        <f t="shared" si="61"/>
        <v>15</v>
      </c>
      <c r="O227" s="214" t="s">
        <v>21</v>
      </c>
      <c r="P227" s="25"/>
      <c r="Q227" s="215" t="s">
        <v>22</v>
      </c>
      <c r="R227" s="10"/>
    </row>
    <row r="228" ht="13.5" customHeight="1">
      <c r="A228" s="216" t="s">
        <v>23</v>
      </c>
      <c r="B228" s="217" t="s">
        <v>24</v>
      </c>
      <c r="C228" s="218" t="s">
        <v>25</v>
      </c>
      <c r="D228" s="117"/>
      <c r="E228" s="219"/>
      <c r="F228" s="219"/>
      <c r="G228" s="219"/>
      <c r="H228" s="219"/>
      <c r="I228" s="220"/>
      <c r="J228" s="347"/>
      <c r="K228" s="347"/>
      <c r="L228" s="347"/>
      <c r="M228" s="347"/>
      <c r="N228" s="219"/>
      <c r="O228" s="49"/>
      <c r="P228" s="25"/>
      <c r="Q228" s="50"/>
      <c r="R228" s="10"/>
    </row>
    <row r="229" ht="15.0" customHeight="1">
      <c r="A229" s="221"/>
      <c r="B229" s="222" t="s">
        <v>90</v>
      </c>
      <c r="C229" s="223" t="s">
        <v>27</v>
      </c>
      <c r="D229" s="224"/>
      <c r="E229" s="225">
        <f t="shared" ref="E229:N229" si="62">E228-E230</f>
        <v>0</v>
      </c>
      <c r="F229" s="225">
        <f t="shared" si="62"/>
        <v>0</v>
      </c>
      <c r="G229" s="225">
        <f t="shared" si="62"/>
        <v>0</v>
      </c>
      <c r="H229" s="225">
        <f t="shared" si="62"/>
        <v>0</v>
      </c>
      <c r="I229" s="225">
        <f t="shared" si="62"/>
        <v>0</v>
      </c>
      <c r="J229" s="226">
        <f t="shared" si="62"/>
        <v>0</v>
      </c>
      <c r="K229" s="226">
        <f t="shared" si="62"/>
        <v>0</v>
      </c>
      <c r="L229" s="226">
        <f t="shared" si="62"/>
        <v>0</v>
      </c>
      <c r="M229" s="226">
        <f t="shared" si="62"/>
        <v>0</v>
      </c>
      <c r="N229" s="226">
        <f t="shared" si="62"/>
        <v>0</v>
      </c>
      <c r="O229" s="227"/>
      <c r="P229" s="30"/>
      <c r="Q229" s="228" t="s">
        <v>28</v>
      </c>
      <c r="R229" s="229" t="b">
        <v>0</v>
      </c>
    </row>
    <row r="230" ht="13.5" customHeight="1">
      <c r="A230" s="230" t="s">
        <v>29</v>
      </c>
      <c r="B230" s="231"/>
      <c r="C230" s="232" t="s">
        <v>30</v>
      </c>
      <c r="D230" s="108"/>
      <c r="E230" s="233"/>
      <c r="F230" s="233"/>
      <c r="G230" s="233"/>
      <c r="H230" s="233"/>
      <c r="I230" s="234"/>
      <c r="J230" s="234"/>
      <c r="K230" s="234"/>
      <c r="L230" s="234"/>
      <c r="M230" s="234"/>
      <c r="N230" s="233"/>
      <c r="O230" s="235" t="s">
        <v>30</v>
      </c>
      <c r="P230" s="236">
        <f>(E230*E227)+(F230*F227)+(G230*G227)+(H230*H227)+(I230*I227)+(J230*J227)+(K230*K227)+(L230*L227)+(M230*M227)+(N230*N227)</f>
        <v>0</v>
      </c>
      <c r="Q230" s="237" t="s">
        <v>31</v>
      </c>
      <c r="R230" s="238" t="b">
        <v>0</v>
      </c>
    </row>
    <row r="231" ht="13.5" customHeight="1">
      <c r="A231" s="221"/>
      <c r="B231" s="239" t="s">
        <v>33</v>
      </c>
      <c r="C231" s="232" t="s">
        <v>34</v>
      </c>
      <c r="D231" s="108"/>
      <c r="E231" s="240"/>
      <c r="F231" s="241"/>
      <c r="G231" s="241"/>
      <c r="H231" s="241"/>
      <c r="I231" s="242"/>
      <c r="J231" s="242"/>
      <c r="K231" s="242"/>
      <c r="L231" s="242"/>
      <c r="M231" s="242"/>
      <c r="N231" s="241"/>
      <c r="O231" s="243" t="s">
        <v>35</v>
      </c>
      <c r="P231" s="236">
        <f>(E231*E227)+(F231*F227)+(G231*G227)+(H231*H227)+(I231*I227)+(J231*J227)+(K231*K227)+(L231*L227)+(M231*M227)+(N231*N227)</f>
        <v>0</v>
      </c>
      <c r="Q231" s="244" t="s">
        <v>36</v>
      </c>
      <c r="R231" s="238" t="b">
        <v>0</v>
      </c>
    </row>
    <row r="232" ht="13.5" customHeight="1">
      <c r="A232" s="68"/>
      <c r="B232" s="245" t="str">
        <f>IFS(P232=0,"",B232&lt;&gt;"",B232,TRUE,NOW())</f>
        <v/>
      </c>
      <c r="C232" s="232" t="s">
        <v>37</v>
      </c>
      <c r="D232" s="108"/>
      <c r="E232" s="246"/>
      <c r="F232" s="246"/>
      <c r="G232" s="246"/>
      <c r="H232" s="246"/>
      <c r="I232" s="247"/>
      <c r="J232" s="247"/>
      <c r="K232" s="247"/>
      <c r="L232" s="247"/>
      <c r="M232" s="247"/>
      <c r="N232" s="246"/>
      <c r="O232" s="248" t="s">
        <v>38</v>
      </c>
      <c r="P232" s="249">
        <f>P231-P230</f>
        <v>0</v>
      </c>
      <c r="Q232" s="250" t="s">
        <v>39</v>
      </c>
      <c r="R232" s="238" t="b">
        <v>0</v>
      </c>
    </row>
    <row r="233" ht="13.5" customHeight="1">
      <c r="A233" s="230" t="s">
        <v>40</v>
      </c>
      <c r="B233" s="222" t="s">
        <v>90</v>
      </c>
      <c r="C233" s="223" t="s">
        <v>27</v>
      </c>
      <c r="D233" s="224"/>
      <c r="E233" s="225">
        <f t="shared" ref="E233:N233" si="63">E231-E234</f>
        <v>0</v>
      </c>
      <c r="F233" s="225">
        <f t="shared" si="63"/>
        <v>0</v>
      </c>
      <c r="G233" s="225">
        <f t="shared" si="63"/>
        <v>0</v>
      </c>
      <c r="H233" s="225">
        <f t="shared" si="63"/>
        <v>0</v>
      </c>
      <c r="I233" s="225">
        <f t="shared" si="63"/>
        <v>0</v>
      </c>
      <c r="J233" s="226">
        <f t="shared" si="63"/>
        <v>0</v>
      </c>
      <c r="K233" s="226">
        <f t="shared" si="63"/>
        <v>0</v>
      </c>
      <c r="L233" s="226">
        <f t="shared" si="63"/>
        <v>0</v>
      </c>
      <c r="M233" s="226">
        <f t="shared" si="63"/>
        <v>0</v>
      </c>
      <c r="N233" s="226">
        <f t="shared" si="63"/>
        <v>0</v>
      </c>
      <c r="O233" s="227"/>
      <c r="P233" s="30"/>
      <c r="Q233" s="228" t="s">
        <v>28</v>
      </c>
      <c r="R233" s="229" t="b">
        <v>0</v>
      </c>
    </row>
    <row r="234" ht="15.0" customHeight="1">
      <c r="A234" s="221"/>
      <c r="B234" s="231"/>
      <c r="C234" s="232" t="s">
        <v>30</v>
      </c>
      <c r="D234" s="108"/>
      <c r="E234" s="233"/>
      <c r="F234" s="233"/>
      <c r="G234" s="233"/>
      <c r="H234" s="233"/>
      <c r="I234" s="234"/>
      <c r="J234" s="348"/>
      <c r="K234" s="348"/>
      <c r="L234" s="348"/>
      <c r="M234" s="348"/>
      <c r="N234" s="251"/>
      <c r="O234" s="235" t="s">
        <v>30</v>
      </c>
      <c r="P234" s="236">
        <f>(E234*E227)+(F234*F227)+(G234*G227)+(H234*H227)+(I234*I227)+(J234*J227)+(K234*K227)+(L234*L227)+(M234*M227)+(N234*N227)</f>
        <v>0</v>
      </c>
      <c r="Q234" s="237" t="s">
        <v>31</v>
      </c>
      <c r="R234" s="238" t="b">
        <v>0</v>
      </c>
    </row>
    <row r="235" ht="13.5" customHeight="1">
      <c r="A235" s="68"/>
      <c r="B235" s="239" t="s">
        <v>42</v>
      </c>
      <c r="C235" s="232" t="s">
        <v>34</v>
      </c>
      <c r="D235" s="108"/>
      <c r="E235" s="240"/>
      <c r="F235" s="241"/>
      <c r="G235" s="241"/>
      <c r="H235" s="241"/>
      <c r="I235" s="242"/>
      <c r="J235" s="349"/>
      <c r="K235" s="349"/>
      <c r="L235" s="349"/>
      <c r="M235" s="349"/>
      <c r="N235" s="252"/>
      <c r="O235" s="243" t="s">
        <v>35</v>
      </c>
      <c r="P235" s="236">
        <f>(E235*E227)+(F235*F227)+(G235*G227)+(H235*H227)+(I235*I227)+(J235*J227)+(K235*K227)+(L235*L227)+(M235*M227)+(N235*N227)</f>
        <v>0</v>
      </c>
      <c r="Q235" s="237" t="s">
        <v>36</v>
      </c>
      <c r="R235" s="238" t="b">
        <v>0</v>
      </c>
    </row>
    <row r="236" ht="13.5" customHeight="1">
      <c r="A236" s="230" t="s">
        <v>43</v>
      </c>
      <c r="B236" s="245" t="str">
        <f>IFS(P236=0,"",B236&lt;&gt;"",B236,TRUE,NOW())</f>
        <v/>
      </c>
      <c r="C236" s="232" t="s">
        <v>37</v>
      </c>
      <c r="D236" s="108"/>
      <c r="E236" s="246"/>
      <c r="F236" s="246"/>
      <c r="G236" s="246"/>
      <c r="H236" s="246"/>
      <c r="I236" s="247"/>
      <c r="J236" s="350"/>
      <c r="K236" s="350"/>
      <c r="L236" s="350"/>
      <c r="M236" s="350"/>
      <c r="N236" s="253"/>
      <c r="O236" s="248" t="s">
        <v>38</v>
      </c>
      <c r="P236" s="249">
        <f>P235-P234</f>
        <v>0</v>
      </c>
      <c r="Q236" s="250" t="s">
        <v>39</v>
      </c>
      <c r="R236" s="238" t="b">
        <v>0</v>
      </c>
    </row>
    <row r="237" ht="13.5" customHeight="1">
      <c r="A237" s="230"/>
      <c r="B237" s="222" t="s">
        <v>90</v>
      </c>
      <c r="C237" s="223" t="s">
        <v>27</v>
      </c>
      <c r="D237" s="224"/>
      <c r="E237" s="254">
        <f t="shared" ref="E237:N237" si="64">E235-E238</f>
        <v>0</v>
      </c>
      <c r="F237" s="254">
        <f t="shared" si="64"/>
        <v>0</v>
      </c>
      <c r="G237" s="254">
        <f t="shared" si="64"/>
        <v>0</v>
      </c>
      <c r="H237" s="254">
        <f t="shared" si="64"/>
        <v>0</v>
      </c>
      <c r="I237" s="254">
        <f t="shared" si="64"/>
        <v>0</v>
      </c>
      <c r="J237" s="254">
        <f t="shared" si="64"/>
        <v>0</v>
      </c>
      <c r="K237" s="254">
        <f t="shared" si="64"/>
        <v>0</v>
      </c>
      <c r="L237" s="254">
        <f t="shared" si="64"/>
        <v>0</v>
      </c>
      <c r="M237" s="254">
        <f t="shared" si="64"/>
        <v>0</v>
      </c>
      <c r="N237" s="254">
        <f t="shared" si="64"/>
        <v>0</v>
      </c>
      <c r="O237" s="227"/>
      <c r="P237" s="30"/>
      <c r="Q237" s="228" t="s">
        <v>28</v>
      </c>
      <c r="R237" s="229" t="b">
        <v>0</v>
      </c>
    </row>
    <row r="238" ht="13.5" customHeight="1">
      <c r="A238" s="230" t="s">
        <v>45</v>
      </c>
      <c r="B238" s="231"/>
      <c r="C238" s="232" t="s">
        <v>30</v>
      </c>
      <c r="D238" s="108"/>
      <c r="E238" s="255"/>
      <c r="F238" s="255"/>
      <c r="G238" s="255"/>
      <c r="H238" s="255"/>
      <c r="I238" s="255"/>
      <c r="J238" s="255"/>
      <c r="K238" s="255"/>
      <c r="L238" s="255"/>
      <c r="M238" s="255"/>
      <c r="N238" s="255"/>
      <c r="O238" s="235" t="s">
        <v>30</v>
      </c>
      <c r="P238" s="236">
        <f>(E238*E227)+(F238*F227)+(G238*G227)+(H238*H227)+(I238*I227)+(J238*J227)+(K238*K227)+(L238*L227)+(M238*M227)+(N238*N227)</f>
        <v>0</v>
      </c>
      <c r="Q238" s="237" t="s">
        <v>31</v>
      </c>
      <c r="R238" s="238" t="b">
        <v>0</v>
      </c>
    </row>
    <row r="239" ht="15.0" customHeight="1">
      <c r="A239" s="221"/>
      <c r="B239" s="239" t="s">
        <v>47</v>
      </c>
      <c r="C239" s="232" t="s">
        <v>34</v>
      </c>
      <c r="D239" s="108"/>
      <c r="E239" s="256"/>
      <c r="F239" s="257"/>
      <c r="G239" s="257"/>
      <c r="H239" s="257"/>
      <c r="I239" s="257"/>
      <c r="J239" s="257"/>
      <c r="K239" s="257"/>
      <c r="L239" s="257"/>
      <c r="M239" s="257"/>
      <c r="N239" s="257"/>
      <c r="O239" s="243" t="s">
        <v>35</v>
      </c>
      <c r="P239" s="236">
        <f>(E239*E227)+(F239*F227)+(G239*G227)+(H239*H227)+(I239*I227)+(J239*J227)+(K239*K227)+(L239*L227)+(M239*M227)+(N239*N227)</f>
        <v>0</v>
      </c>
      <c r="Q239" s="237" t="s">
        <v>36</v>
      </c>
      <c r="R239" s="238" t="b">
        <v>0</v>
      </c>
    </row>
    <row r="240" ht="13.5" customHeight="1">
      <c r="A240" s="68"/>
      <c r="B240" s="245" t="str">
        <f>IFS(P240=0,"",B240&lt;&gt;"",B240,TRUE,NOW())</f>
        <v/>
      </c>
      <c r="C240" s="232" t="s">
        <v>37</v>
      </c>
      <c r="D240" s="108"/>
      <c r="E240" s="258"/>
      <c r="F240" s="258"/>
      <c r="G240" s="258"/>
      <c r="H240" s="258"/>
      <c r="I240" s="258"/>
      <c r="J240" s="258"/>
      <c r="K240" s="258"/>
      <c r="L240" s="258"/>
      <c r="M240" s="258"/>
      <c r="N240" s="258"/>
      <c r="O240" s="248" t="s">
        <v>38</v>
      </c>
      <c r="P240" s="249">
        <f>P239-P238</f>
        <v>0</v>
      </c>
      <c r="Q240" s="250" t="s">
        <v>39</v>
      </c>
      <c r="R240" s="238" t="b">
        <v>0</v>
      </c>
    </row>
    <row r="241" ht="13.5" customHeight="1">
      <c r="A241" s="259" t="s">
        <v>48</v>
      </c>
      <c r="B241" s="222" t="s">
        <v>90</v>
      </c>
      <c r="C241" s="223" t="s">
        <v>27</v>
      </c>
      <c r="D241" s="224"/>
      <c r="E241" s="254">
        <f t="shared" ref="E241:N241" si="65">E239-E242</f>
        <v>0</v>
      </c>
      <c r="F241" s="254">
        <f t="shared" si="65"/>
        <v>0</v>
      </c>
      <c r="G241" s="254">
        <f t="shared" si="65"/>
        <v>0</v>
      </c>
      <c r="H241" s="254">
        <f t="shared" si="65"/>
        <v>0</v>
      </c>
      <c r="I241" s="254">
        <f t="shared" si="65"/>
        <v>0</v>
      </c>
      <c r="J241" s="254">
        <f t="shared" si="65"/>
        <v>0</v>
      </c>
      <c r="K241" s="254">
        <f t="shared" si="65"/>
        <v>0</v>
      </c>
      <c r="L241" s="254">
        <f t="shared" si="65"/>
        <v>0</v>
      </c>
      <c r="M241" s="254">
        <f t="shared" si="65"/>
        <v>0</v>
      </c>
      <c r="N241" s="254">
        <f t="shared" si="65"/>
        <v>0</v>
      </c>
      <c r="O241" s="227"/>
      <c r="P241" s="30"/>
      <c r="Q241" s="228" t="s">
        <v>28</v>
      </c>
      <c r="R241" s="229" t="b">
        <v>0</v>
      </c>
    </row>
    <row r="242" ht="13.5" customHeight="1">
      <c r="A242" s="87"/>
      <c r="B242" s="231"/>
      <c r="C242" s="232" t="s">
        <v>30</v>
      </c>
      <c r="D242" s="108"/>
      <c r="E242" s="255"/>
      <c r="F242" s="255"/>
      <c r="G242" s="255"/>
      <c r="H242" s="255"/>
      <c r="I242" s="255"/>
      <c r="J242" s="255"/>
      <c r="K242" s="255"/>
      <c r="L242" s="255"/>
      <c r="M242" s="255"/>
      <c r="N242" s="255"/>
      <c r="O242" s="235" t="s">
        <v>30</v>
      </c>
      <c r="P242" s="236">
        <f>(E242*E227)+(F242*F227)+(G242*G227)+(H242*H227)+(I242*I227)+(J242*J227)+(K242*K227)+(L242*L227)+(M242*M227)+(N242*N227)</f>
        <v>0</v>
      </c>
      <c r="Q242" s="237" t="s">
        <v>31</v>
      </c>
      <c r="R242" s="238" t="b">
        <v>0</v>
      </c>
    </row>
    <row r="243" ht="13.5" customHeight="1">
      <c r="A243" s="68"/>
      <c r="B243" s="239" t="s">
        <v>49</v>
      </c>
      <c r="C243" s="232" t="s">
        <v>34</v>
      </c>
      <c r="D243" s="108"/>
      <c r="E243" s="256"/>
      <c r="F243" s="257"/>
      <c r="G243" s="257"/>
      <c r="H243" s="257"/>
      <c r="I243" s="257"/>
      <c r="J243" s="257"/>
      <c r="K243" s="257"/>
      <c r="L243" s="257"/>
      <c r="M243" s="257"/>
      <c r="N243" s="257"/>
      <c r="O243" s="243" t="s">
        <v>35</v>
      </c>
      <c r="P243" s="236">
        <f>(E243*E227)+(F243*F227)+(G243*G227)+(H243*H227)+(I243*I227)+(J243*J227)+(K243*K227)+(L243*L227)+(M243*M227)+(N243*N227)</f>
        <v>0</v>
      </c>
      <c r="Q243" s="237" t="s">
        <v>36</v>
      </c>
      <c r="R243" s="238" t="b">
        <v>0</v>
      </c>
    </row>
    <row r="244" ht="15.0" customHeight="1">
      <c r="A244" s="80"/>
      <c r="B244" s="245" t="str">
        <f>IFS(P244=0,"",B244&lt;&gt;"",B244,TRUE,NOW())</f>
        <v/>
      </c>
      <c r="C244" s="265" t="s">
        <v>37</v>
      </c>
      <c r="D244" s="117"/>
      <c r="E244" s="258"/>
      <c r="F244" s="258"/>
      <c r="G244" s="258"/>
      <c r="H244" s="258"/>
      <c r="I244" s="258"/>
      <c r="J244" s="258"/>
      <c r="K244" s="258"/>
      <c r="L244" s="258"/>
      <c r="M244" s="258"/>
      <c r="N244" s="258"/>
      <c r="O244" s="248" t="s">
        <v>38</v>
      </c>
      <c r="P244" s="249">
        <f>P243-P242</f>
        <v>0</v>
      </c>
      <c r="Q244" s="250" t="s">
        <v>39</v>
      </c>
      <c r="R244" s="260" t="b">
        <v>0</v>
      </c>
    </row>
    <row r="245" ht="13.5" customHeight="1">
      <c r="A245" s="261" t="s">
        <v>92</v>
      </c>
      <c r="B245" s="209" t="s">
        <v>20</v>
      </c>
      <c r="C245" s="24"/>
      <c r="D245" s="33"/>
      <c r="E245" s="262">
        <f t="shared" ref="E245:N245" si="66">E6</f>
        <v>16</v>
      </c>
      <c r="F245" s="262">
        <f t="shared" si="66"/>
        <v>26</v>
      </c>
      <c r="G245" s="263">
        <f t="shared" si="66"/>
        <v>26</v>
      </c>
      <c r="H245" s="264">
        <f t="shared" si="66"/>
        <v>26</v>
      </c>
      <c r="I245" s="213">
        <f t="shared" si="66"/>
        <v>31</v>
      </c>
      <c r="J245" s="346">
        <f t="shared" si="66"/>
        <v>36</v>
      </c>
      <c r="K245" s="346">
        <f t="shared" si="66"/>
        <v>30</v>
      </c>
      <c r="L245" s="346">
        <f t="shared" si="66"/>
        <v>35</v>
      </c>
      <c r="M245" s="346">
        <f t="shared" si="66"/>
        <v>40</v>
      </c>
      <c r="N245" s="263">
        <f t="shared" si="66"/>
        <v>15</v>
      </c>
      <c r="O245" s="214" t="s">
        <v>21</v>
      </c>
      <c r="P245" s="25"/>
      <c r="Q245" s="215" t="s">
        <v>22</v>
      </c>
      <c r="R245" s="10"/>
    </row>
    <row r="246" ht="13.5" customHeight="1">
      <c r="A246" s="216" t="s">
        <v>23</v>
      </c>
      <c r="B246" s="217" t="s">
        <v>24</v>
      </c>
      <c r="C246" s="218" t="s">
        <v>25</v>
      </c>
      <c r="D246" s="117"/>
      <c r="E246" s="219"/>
      <c r="F246" s="219"/>
      <c r="G246" s="219"/>
      <c r="H246" s="219"/>
      <c r="I246" s="220"/>
      <c r="J246" s="347"/>
      <c r="K246" s="347"/>
      <c r="L246" s="347"/>
      <c r="M246" s="347"/>
      <c r="N246" s="219"/>
      <c r="O246" s="49"/>
      <c r="P246" s="25"/>
      <c r="Q246" s="50"/>
      <c r="R246" s="10"/>
    </row>
    <row r="247" ht="13.5" customHeight="1">
      <c r="A247" s="221"/>
      <c r="B247" s="222" t="s">
        <v>93</v>
      </c>
      <c r="C247" s="223" t="s">
        <v>27</v>
      </c>
      <c r="D247" s="224"/>
      <c r="E247" s="225">
        <f t="shared" ref="E247:N247" si="67">E246-E248</f>
        <v>0</v>
      </c>
      <c r="F247" s="225">
        <f t="shared" si="67"/>
        <v>0</v>
      </c>
      <c r="G247" s="225">
        <f t="shared" si="67"/>
        <v>0</v>
      </c>
      <c r="H247" s="225">
        <f t="shared" si="67"/>
        <v>0</v>
      </c>
      <c r="I247" s="225">
        <f t="shared" si="67"/>
        <v>0</v>
      </c>
      <c r="J247" s="226">
        <f t="shared" si="67"/>
        <v>0</v>
      </c>
      <c r="K247" s="226">
        <f t="shared" si="67"/>
        <v>0</v>
      </c>
      <c r="L247" s="226">
        <f t="shared" si="67"/>
        <v>0</v>
      </c>
      <c r="M247" s="226">
        <f t="shared" si="67"/>
        <v>0</v>
      </c>
      <c r="N247" s="226">
        <f t="shared" si="67"/>
        <v>0</v>
      </c>
      <c r="O247" s="227"/>
      <c r="P247" s="30"/>
      <c r="Q247" s="228" t="s">
        <v>28</v>
      </c>
      <c r="R247" s="229" t="b">
        <v>0</v>
      </c>
    </row>
    <row r="248" ht="13.5" customHeight="1">
      <c r="A248" s="230" t="s">
        <v>29</v>
      </c>
      <c r="B248" s="231"/>
      <c r="C248" s="232" t="s">
        <v>30</v>
      </c>
      <c r="D248" s="108"/>
      <c r="E248" s="233"/>
      <c r="F248" s="233"/>
      <c r="G248" s="233"/>
      <c r="H248" s="233"/>
      <c r="I248" s="234"/>
      <c r="J248" s="234"/>
      <c r="K248" s="234"/>
      <c r="L248" s="234"/>
      <c r="M248" s="234"/>
      <c r="N248" s="233"/>
      <c r="O248" s="235" t="s">
        <v>30</v>
      </c>
      <c r="P248" s="236">
        <f>(E248*E245)+(F248*F245)+(G248*G245)+(H248*H245)+(I248*I245)+(J248*J245)+(K248*K245)+(L248*L245)+(M248*M245)+(N248*N245)</f>
        <v>0</v>
      </c>
      <c r="Q248" s="237" t="s">
        <v>31</v>
      </c>
      <c r="R248" s="238" t="b">
        <v>0</v>
      </c>
    </row>
    <row r="249" ht="13.5" customHeight="1">
      <c r="A249" s="221"/>
      <c r="B249" s="239" t="s">
        <v>33</v>
      </c>
      <c r="C249" s="232" t="s">
        <v>34</v>
      </c>
      <c r="D249" s="108"/>
      <c r="E249" s="240"/>
      <c r="F249" s="241"/>
      <c r="G249" s="241"/>
      <c r="H249" s="241"/>
      <c r="I249" s="242"/>
      <c r="J249" s="242"/>
      <c r="K249" s="242"/>
      <c r="L249" s="242"/>
      <c r="M249" s="242"/>
      <c r="N249" s="241"/>
      <c r="O249" s="243" t="s">
        <v>35</v>
      </c>
      <c r="P249" s="236">
        <f>(E249*E245)+(F249*F245)+(G249*G245)+(H249*H245)+(I249*I245)+(J249*J245)+(K249*K245)+(L249*L245)+(M249*M245)+(N249*N245)</f>
        <v>0</v>
      </c>
      <c r="Q249" s="244" t="s">
        <v>36</v>
      </c>
      <c r="R249" s="238" t="b">
        <v>0</v>
      </c>
    </row>
    <row r="250" ht="13.5" customHeight="1">
      <c r="A250" s="68"/>
      <c r="B250" s="245" t="str">
        <f>IFS(P250=0,"",B250&lt;&gt;"",B250,TRUE,NOW())</f>
        <v/>
      </c>
      <c r="C250" s="232" t="s">
        <v>37</v>
      </c>
      <c r="D250" s="108"/>
      <c r="E250" s="246"/>
      <c r="F250" s="246"/>
      <c r="G250" s="246"/>
      <c r="H250" s="246"/>
      <c r="I250" s="247"/>
      <c r="J250" s="247"/>
      <c r="K250" s="247"/>
      <c r="L250" s="247"/>
      <c r="M250" s="247"/>
      <c r="N250" s="246"/>
      <c r="O250" s="248" t="s">
        <v>38</v>
      </c>
      <c r="P250" s="249">
        <f>P249-P248</f>
        <v>0</v>
      </c>
      <c r="Q250" s="250" t="s">
        <v>39</v>
      </c>
      <c r="R250" s="238" t="b">
        <v>0</v>
      </c>
    </row>
    <row r="251" ht="15.0" customHeight="1">
      <c r="A251" s="230" t="s">
        <v>40</v>
      </c>
      <c r="B251" s="222" t="s">
        <v>93</v>
      </c>
      <c r="C251" s="223" t="s">
        <v>27</v>
      </c>
      <c r="D251" s="224"/>
      <c r="E251" s="225">
        <f t="shared" ref="E251:N251" si="68">E249-E252</f>
        <v>0</v>
      </c>
      <c r="F251" s="225">
        <f t="shared" si="68"/>
        <v>0</v>
      </c>
      <c r="G251" s="225">
        <f t="shared" si="68"/>
        <v>0</v>
      </c>
      <c r="H251" s="225">
        <f t="shared" si="68"/>
        <v>0</v>
      </c>
      <c r="I251" s="225">
        <f t="shared" si="68"/>
        <v>0</v>
      </c>
      <c r="J251" s="226">
        <f t="shared" si="68"/>
        <v>0</v>
      </c>
      <c r="K251" s="226">
        <f t="shared" si="68"/>
        <v>0</v>
      </c>
      <c r="L251" s="226">
        <f t="shared" si="68"/>
        <v>0</v>
      </c>
      <c r="M251" s="226">
        <f t="shared" si="68"/>
        <v>0</v>
      </c>
      <c r="N251" s="226">
        <f t="shared" si="68"/>
        <v>0</v>
      </c>
      <c r="O251" s="227"/>
      <c r="P251" s="30"/>
      <c r="Q251" s="228" t="s">
        <v>28</v>
      </c>
      <c r="R251" s="229" t="b">
        <v>0</v>
      </c>
    </row>
    <row r="252" ht="13.5" customHeight="1">
      <c r="A252" s="221"/>
      <c r="B252" s="231"/>
      <c r="C252" s="232" t="s">
        <v>30</v>
      </c>
      <c r="D252" s="108"/>
      <c r="E252" s="233"/>
      <c r="F252" s="233"/>
      <c r="G252" s="233"/>
      <c r="H252" s="233"/>
      <c r="I252" s="234"/>
      <c r="J252" s="348"/>
      <c r="K252" s="348"/>
      <c r="L252" s="348"/>
      <c r="M252" s="348"/>
      <c r="N252" s="251"/>
      <c r="O252" s="235" t="s">
        <v>30</v>
      </c>
      <c r="P252" s="236">
        <f>(E252*E245)+(F252*F245)+(G252*G245)+(H252*H245)+(I252*I245)+(J252*J245)+(K252*K245)+(L252*L245)+(M252*M245)+(N252*N245)</f>
        <v>0</v>
      </c>
      <c r="Q252" s="237" t="s">
        <v>31</v>
      </c>
      <c r="R252" s="238" t="b">
        <v>0</v>
      </c>
    </row>
    <row r="253" ht="13.5" customHeight="1">
      <c r="A253" s="68"/>
      <c r="B253" s="239" t="s">
        <v>42</v>
      </c>
      <c r="C253" s="232" t="s">
        <v>34</v>
      </c>
      <c r="D253" s="108"/>
      <c r="E253" s="240"/>
      <c r="F253" s="241"/>
      <c r="G253" s="241"/>
      <c r="H253" s="241"/>
      <c r="I253" s="242"/>
      <c r="J253" s="349"/>
      <c r="K253" s="349"/>
      <c r="L253" s="349"/>
      <c r="M253" s="349"/>
      <c r="N253" s="252"/>
      <c r="O253" s="243" t="s">
        <v>35</v>
      </c>
      <c r="P253" s="236">
        <f>(E253*E245)+(F253*F245)+(G253*G245)+(H253*H245)+(I253*I245)+(J253*J245)+(K253*K245)+(L253*L245)+(M253*M245)+(N253*N245)</f>
        <v>0</v>
      </c>
      <c r="Q253" s="237" t="s">
        <v>36</v>
      </c>
      <c r="R253" s="238" t="b">
        <v>0</v>
      </c>
    </row>
    <row r="254" ht="13.5" customHeight="1">
      <c r="A254" s="230" t="s">
        <v>43</v>
      </c>
      <c r="B254" s="245" t="str">
        <f>IFS(P254=0,"",B254&lt;&gt;"",B254,TRUE,NOW())</f>
        <v/>
      </c>
      <c r="C254" s="232" t="s">
        <v>37</v>
      </c>
      <c r="D254" s="108"/>
      <c r="E254" s="246"/>
      <c r="F254" s="246"/>
      <c r="G254" s="246"/>
      <c r="H254" s="246"/>
      <c r="I254" s="247"/>
      <c r="J254" s="350"/>
      <c r="K254" s="350"/>
      <c r="L254" s="350"/>
      <c r="M254" s="350"/>
      <c r="N254" s="253"/>
      <c r="O254" s="248" t="s">
        <v>38</v>
      </c>
      <c r="P254" s="249">
        <f>P253-P252</f>
        <v>0</v>
      </c>
      <c r="Q254" s="250" t="s">
        <v>39</v>
      </c>
      <c r="R254" s="238" t="b">
        <v>0</v>
      </c>
    </row>
    <row r="255" ht="13.5" customHeight="1">
      <c r="A255" s="230"/>
      <c r="B255" s="222" t="s">
        <v>93</v>
      </c>
      <c r="C255" s="223" t="s">
        <v>27</v>
      </c>
      <c r="D255" s="224"/>
      <c r="E255" s="254">
        <f t="shared" ref="E255:N255" si="69">E253-E256</f>
        <v>0</v>
      </c>
      <c r="F255" s="254">
        <f t="shared" si="69"/>
        <v>0</v>
      </c>
      <c r="G255" s="254">
        <f t="shared" si="69"/>
        <v>0</v>
      </c>
      <c r="H255" s="254">
        <f t="shared" si="69"/>
        <v>0</v>
      </c>
      <c r="I255" s="254">
        <f t="shared" si="69"/>
        <v>0</v>
      </c>
      <c r="J255" s="254">
        <f t="shared" si="69"/>
        <v>0</v>
      </c>
      <c r="K255" s="254">
        <f t="shared" si="69"/>
        <v>0</v>
      </c>
      <c r="L255" s="254">
        <f t="shared" si="69"/>
        <v>0</v>
      </c>
      <c r="M255" s="254">
        <f t="shared" si="69"/>
        <v>0</v>
      </c>
      <c r="N255" s="254">
        <f t="shared" si="69"/>
        <v>0</v>
      </c>
      <c r="O255" s="227"/>
      <c r="P255" s="30"/>
      <c r="Q255" s="228" t="s">
        <v>28</v>
      </c>
      <c r="R255" s="229" t="b">
        <v>0</v>
      </c>
    </row>
    <row r="256" ht="15.0" customHeight="1">
      <c r="A256" s="230" t="s">
        <v>45</v>
      </c>
      <c r="B256" s="231"/>
      <c r="C256" s="232" t="s">
        <v>30</v>
      </c>
      <c r="D256" s="108"/>
      <c r="E256" s="255"/>
      <c r="F256" s="255"/>
      <c r="G256" s="255"/>
      <c r="H256" s="255"/>
      <c r="I256" s="255"/>
      <c r="J256" s="255"/>
      <c r="K256" s="255"/>
      <c r="L256" s="255"/>
      <c r="M256" s="255"/>
      <c r="N256" s="255"/>
      <c r="O256" s="235" t="s">
        <v>30</v>
      </c>
      <c r="P256" s="236">
        <f>(E256*E245)+(F256*F245)+(G256*G245)+(H256*H245)+(I256*I245)+(J256*J245)+(K256*K245)+(L256*L245)+(M256*M245)+(N256*N245)</f>
        <v>0</v>
      </c>
      <c r="Q256" s="237" t="s">
        <v>31</v>
      </c>
      <c r="R256" s="238" t="b">
        <v>0</v>
      </c>
    </row>
    <row r="257" ht="13.5" customHeight="1">
      <c r="A257" s="221"/>
      <c r="B257" s="239" t="s">
        <v>47</v>
      </c>
      <c r="C257" s="232" t="s">
        <v>34</v>
      </c>
      <c r="D257" s="108"/>
      <c r="E257" s="256"/>
      <c r="F257" s="257"/>
      <c r="G257" s="257"/>
      <c r="H257" s="257"/>
      <c r="I257" s="257"/>
      <c r="J257" s="257"/>
      <c r="K257" s="257"/>
      <c r="L257" s="257"/>
      <c r="M257" s="257"/>
      <c r="N257" s="257"/>
      <c r="O257" s="243" t="s">
        <v>35</v>
      </c>
      <c r="P257" s="236">
        <f>(E257*E245)+(F257*F245)+(G257*G245)+(H257*H245)+(I257*I245)+(J257*J245)+(K257*K245)+(L257*L245)+(M257*M245)+(N257*N245)</f>
        <v>0</v>
      </c>
      <c r="Q257" s="237" t="s">
        <v>36</v>
      </c>
      <c r="R257" s="238" t="b">
        <v>0</v>
      </c>
    </row>
    <row r="258" ht="13.5" customHeight="1">
      <c r="A258" s="68"/>
      <c r="B258" s="245" t="str">
        <f>IFS(P258=0,"",B258&lt;&gt;"",B258,TRUE,NOW())</f>
        <v/>
      </c>
      <c r="C258" s="232" t="s">
        <v>37</v>
      </c>
      <c r="D258" s="108"/>
      <c r="E258" s="258"/>
      <c r="F258" s="258"/>
      <c r="G258" s="258"/>
      <c r="H258" s="258"/>
      <c r="I258" s="258"/>
      <c r="J258" s="258"/>
      <c r="K258" s="258"/>
      <c r="L258" s="258"/>
      <c r="M258" s="258"/>
      <c r="N258" s="258"/>
      <c r="O258" s="248" t="s">
        <v>38</v>
      </c>
      <c r="P258" s="249">
        <f>P257-P256</f>
        <v>0</v>
      </c>
      <c r="Q258" s="250" t="s">
        <v>39</v>
      </c>
      <c r="R258" s="238" t="b">
        <v>0</v>
      </c>
    </row>
    <row r="259" ht="13.5" customHeight="1">
      <c r="A259" s="259" t="s">
        <v>48</v>
      </c>
      <c r="B259" s="222" t="s">
        <v>93</v>
      </c>
      <c r="C259" s="223" t="s">
        <v>27</v>
      </c>
      <c r="D259" s="224"/>
      <c r="E259" s="254">
        <f t="shared" ref="E259:N259" si="70">E257-E260</f>
        <v>0</v>
      </c>
      <c r="F259" s="254">
        <f t="shared" si="70"/>
        <v>0</v>
      </c>
      <c r="G259" s="254">
        <f t="shared" si="70"/>
        <v>0</v>
      </c>
      <c r="H259" s="254">
        <f t="shared" si="70"/>
        <v>0</v>
      </c>
      <c r="I259" s="254">
        <f t="shared" si="70"/>
        <v>0</v>
      </c>
      <c r="J259" s="254">
        <f t="shared" si="70"/>
        <v>0</v>
      </c>
      <c r="K259" s="254">
        <f t="shared" si="70"/>
        <v>0</v>
      </c>
      <c r="L259" s="254">
        <f t="shared" si="70"/>
        <v>0</v>
      </c>
      <c r="M259" s="254">
        <f t="shared" si="70"/>
        <v>0</v>
      </c>
      <c r="N259" s="254">
        <f t="shared" si="70"/>
        <v>0</v>
      </c>
      <c r="O259" s="227"/>
      <c r="P259" s="30"/>
      <c r="Q259" s="228" t="s">
        <v>28</v>
      </c>
      <c r="R259" s="229" t="b">
        <v>0</v>
      </c>
    </row>
    <row r="260" ht="13.5" customHeight="1">
      <c r="A260" s="87"/>
      <c r="B260" s="231"/>
      <c r="C260" s="232" t="s">
        <v>30</v>
      </c>
      <c r="D260" s="108"/>
      <c r="E260" s="255"/>
      <c r="F260" s="255"/>
      <c r="G260" s="255"/>
      <c r="H260" s="255"/>
      <c r="I260" s="255"/>
      <c r="J260" s="255"/>
      <c r="K260" s="255"/>
      <c r="L260" s="255"/>
      <c r="M260" s="255"/>
      <c r="N260" s="255"/>
      <c r="O260" s="235" t="s">
        <v>30</v>
      </c>
      <c r="P260" s="236">
        <f>(E260*E245)+(F260*F245)+(G260*G245)+(H260*H245)+(I260*I245)+(J260*J245)+(K260*K245)+(L260*L245)+(M260*M245)+(N260*N245)</f>
        <v>0</v>
      </c>
      <c r="Q260" s="237" t="s">
        <v>31</v>
      </c>
      <c r="R260" s="238" t="b">
        <v>0</v>
      </c>
    </row>
    <row r="261" ht="15.0" customHeight="1">
      <c r="A261" s="68"/>
      <c r="B261" s="239" t="s">
        <v>49</v>
      </c>
      <c r="C261" s="232" t="s">
        <v>34</v>
      </c>
      <c r="D261" s="108"/>
      <c r="E261" s="256"/>
      <c r="F261" s="257"/>
      <c r="G261" s="257"/>
      <c r="H261" s="257"/>
      <c r="I261" s="257"/>
      <c r="J261" s="257"/>
      <c r="K261" s="257"/>
      <c r="L261" s="257"/>
      <c r="M261" s="257"/>
      <c r="N261" s="257"/>
      <c r="O261" s="243" t="s">
        <v>35</v>
      </c>
      <c r="P261" s="236">
        <f>(E261*E245)+(F261*F245)+(G261*G245)+(H261*H245)+(I261*I245)+(J261*J245)+(K261*K245)+(L261*L245)+(M261*M245)+(N261*N245)</f>
        <v>0</v>
      </c>
      <c r="Q261" s="237" t="s">
        <v>36</v>
      </c>
      <c r="R261" s="238" t="b">
        <v>0</v>
      </c>
    </row>
    <row r="262" ht="13.5" customHeight="1">
      <c r="A262" s="80"/>
      <c r="B262" s="245" t="str">
        <f>IFS(P262=0,"",B262&lt;&gt;"",B262,TRUE,NOW())</f>
        <v/>
      </c>
      <c r="C262" s="232" t="s">
        <v>37</v>
      </c>
      <c r="D262" s="108"/>
      <c r="E262" s="258"/>
      <c r="F262" s="258"/>
      <c r="G262" s="258"/>
      <c r="H262" s="258"/>
      <c r="I262" s="258"/>
      <c r="J262" s="258"/>
      <c r="K262" s="258"/>
      <c r="L262" s="258"/>
      <c r="M262" s="258"/>
      <c r="N262" s="258"/>
      <c r="O262" s="248" t="s">
        <v>38</v>
      </c>
      <c r="P262" s="249">
        <f>P261-P260</f>
        <v>0</v>
      </c>
      <c r="Q262" s="250" t="s">
        <v>39</v>
      </c>
      <c r="R262" s="260" t="b">
        <v>0</v>
      </c>
    </row>
    <row r="263" ht="13.5" customHeight="1">
      <c r="A263" s="261" t="s">
        <v>95</v>
      </c>
      <c r="B263" s="209" t="s">
        <v>20</v>
      </c>
      <c r="C263" s="24"/>
      <c r="D263" s="33"/>
      <c r="E263" s="262">
        <f t="shared" ref="E263:N263" si="71">E6</f>
        <v>16</v>
      </c>
      <c r="F263" s="262">
        <f t="shared" si="71"/>
        <v>26</v>
      </c>
      <c r="G263" s="263">
        <f t="shared" si="71"/>
        <v>26</v>
      </c>
      <c r="H263" s="264">
        <f t="shared" si="71"/>
        <v>26</v>
      </c>
      <c r="I263" s="213">
        <f t="shared" si="71"/>
        <v>31</v>
      </c>
      <c r="J263" s="346">
        <f t="shared" si="71"/>
        <v>36</v>
      </c>
      <c r="K263" s="346">
        <f t="shared" si="71"/>
        <v>30</v>
      </c>
      <c r="L263" s="346">
        <f t="shared" si="71"/>
        <v>35</v>
      </c>
      <c r="M263" s="346">
        <f t="shared" si="71"/>
        <v>40</v>
      </c>
      <c r="N263" s="263">
        <f t="shared" si="71"/>
        <v>15</v>
      </c>
      <c r="O263" s="214" t="s">
        <v>21</v>
      </c>
      <c r="P263" s="25"/>
      <c r="Q263" s="215" t="s">
        <v>22</v>
      </c>
      <c r="R263" s="10"/>
    </row>
    <row r="264" ht="13.5" customHeight="1">
      <c r="A264" s="216" t="s">
        <v>23</v>
      </c>
      <c r="B264" s="217" t="s">
        <v>24</v>
      </c>
      <c r="C264" s="218" t="s">
        <v>25</v>
      </c>
      <c r="D264" s="117"/>
      <c r="E264" s="219"/>
      <c r="F264" s="219"/>
      <c r="G264" s="219"/>
      <c r="H264" s="219"/>
      <c r="I264" s="220"/>
      <c r="J264" s="347"/>
      <c r="K264" s="347"/>
      <c r="L264" s="347"/>
      <c r="M264" s="347"/>
      <c r="N264" s="219"/>
      <c r="O264" s="49"/>
      <c r="P264" s="25"/>
      <c r="Q264" s="50"/>
      <c r="R264" s="10"/>
    </row>
    <row r="265" ht="13.5" customHeight="1">
      <c r="A265" s="221"/>
      <c r="B265" s="222" t="s">
        <v>96</v>
      </c>
      <c r="C265" s="223" t="s">
        <v>27</v>
      </c>
      <c r="D265" s="224"/>
      <c r="E265" s="225">
        <f t="shared" ref="E265:N265" si="72">E264-E266</f>
        <v>0</v>
      </c>
      <c r="F265" s="225">
        <f t="shared" si="72"/>
        <v>0</v>
      </c>
      <c r="G265" s="225">
        <f t="shared" si="72"/>
        <v>0</v>
      </c>
      <c r="H265" s="225">
        <f t="shared" si="72"/>
        <v>0</v>
      </c>
      <c r="I265" s="225">
        <f t="shared" si="72"/>
        <v>0</v>
      </c>
      <c r="J265" s="226">
        <f t="shared" si="72"/>
        <v>0</v>
      </c>
      <c r="K265" s="226">
        <f t="shared" si="72"/>
        <v>0</v>
      </c>
      <c r="L265" s="226">
        <f t="shared" si="72"/>
        <v>0</v>
      </c>
      <c r="M265" s="226">
        <f t="shared" si="72"/>
        <v>0</v>
      </c>
      <c r="N265" s="226">
        <f t="shared" si="72"/>
        <v>0</v>
      </c>
      <c r="O265" s="227"/>
      <c r="P265" s="30"/>
      <c r="Q265" s="228" t="s">
        <v>28</v>
      </c>
      <c r="R265" s="229" t="b">
        <v>0</v>
      </c>
    </row>
    <row r="266" ht="15.0" customHeight="1">
      <c r="A266" s="230" t="s">
        <v>29</v>
      </c>
      <c r="B266" s="231"/>
      <c r="C266" s="232" t="s">
        <v>30</v>
      </c>
      <c r="D266" s="108"/>
      <c r="E266" s="233"/>
      <c r="F266" s="233"/>
      <c r="G266" s="233"/>
      <c r="H266" s="233"/>
      <c r="I266" s="234"/>
      <c r="J266" s="234"/>
      <c r="K266" s="234"/>
      <c r="L266" s="234"/>
      <c r="M266" s="234"/>
      <c r="N266" s="233"/>
      <c r="O266" s="235" t="s">
        <v>30</v>
      </c>
      <c r="P266" s="236">
        <f>(E266*E263)+(F266*F263)+(G266*G263)+(H266*H263)+(I266*I263)+(J266*J263)+(K266*K263)+(L266*L263)+(M266*M263)+(N266*N263)</f>
        <v>0</v>
      </c>
      <c r="Q266" s="237" t="s">
        <v>31</v>
      </c>
      <c r="R266" s="238" t="b">
        <v>0</v>
      </c>
    </row>
    <row r="267" ht="13.5" customHeight="1">
      <c r="A267" s="221"/>
      <c r="B267" s="239" t="s">
        <v>33</v>
      </c>
      <c r="C267" s="232" t="s">
        <v>34</v>
      </c>
      <c r="D267" s="108"/>
      <c r="E267" s="240"/>
      <c r="F267" s="241"/>
      <c r="G267" s="241"/>
      <c r="H267" s="241"/>
      <c r="I267" s="242"/>
      <c r="J267" s="242"/>
      <c r="K267" s="242"/>
      <c r="L267" s="242"/>
      <c r="M267" s="242"/>
      <c r="N267" s="241"/>
      <c r="O267" s="243" t="s">
        <v>35</v>
      </c>
      <c r="P267" s="236">
        <f>(E267*E263)+(F267*F263)+(G267*G263)+(H267*H263)+(I267*I263)+(J267*J263)+(K267*K263)+(L267*L263)+(M267*M263)+(N267*N263)</f>
        <v>0</v>
      </c>
      <c r="Q267" s="244" t="s">
        <v>36</v>
      </c>
      <c r="R267" s="238" t="b">
        <v>0</v>
      </c>
    </row>
    <row r="268" ht="13.5" customHeight="1">
      <c r="A268" s="68"/>
      <c r="B268" s="245" t="str">
        <f>IFS(P268=0,"",B268&lt;&gt;"",B268,TRUE,NOW())</f>
        <v/>
      </c>
      <c r="C268" s="232" t="s">
        <v>37</v>
      </c>
      <c r="D268" s="108"/>
      <c r="E268" s="246"/>
      <c r="F268" s="246"/>
      <c r="G268" s="246"/>
      <c r="H268" s="246"/>
      <c r="I268" s="247"/>
      <c r="J268" s="247"/>
      <c r="K268" s="247"/>
      <c r="L268" s="247"/>
      <c r="M268" s="247"/>
      <c r="N268" s="246"/>
      <c r="O268" s="248" t="s">
        <v>38</v>
      </c>
      <c r="P268" s="249">
        <f>P267-P266</f>
        <v>0</v>
      </c>
      <c r="Q268" s="250" t="s">
        <v>39</v>
      </c>
      <c r="R268" s="238" t="b">
        <v>0</v>
      </c>
    </row>
    <row r="269" ht="13.5" customHeight="1">
      <c r="A269" s="230" t="s">
        <v>40</v>
      </c>
      <c r="B269" s="222" t="s">
        <v>96</v>
      </c>
      <c r="C269" s="223" t="s">
        <v>27</v>
      </c>
      <c r="D269" s="224"/>
      <c r="E269" s="225">
        <f t="shared" ref="E269:N269" si="73">E267-E270</f>
        <v>0</v>
      </c>
      <c r="F269" s="225">
        <f t="shared" si="73"/>
        <v>0</v>
      </c>
      <c r="G269" s="225">
        <f t="shared" si="73"/>
        <v>0</v>
      </c>
      <c r="H269" s="225">
        <f t="shared" si="73"/>
        <v>0</v>
      </c>
      <c r="I269" s="225">
        <f t="shared" si="73"/>
        <v>0</v>
      </c>
      <c r="J269" s="226">
        <f t="shared" si="73"/>
        <v>0</v>
      </c>
      <c r="K269" s="226">
        <f t="shared" si="73"/>
        <v>0</v>
      </c>
      <c r="L269" s="226">
        <f t="shared" si="73"/>
        <v>0</v>
      </c>
      <c r="M269" s="226">
        <f t="shared" si="73"/>
        <v>0</v>
      </c>
      <c r="N269" s="226">
        <f t="shared" si="73"/>
        <v>0</v>
      </c>
      <c r="O269" s="227"/>
      <c r="P269" s="30"/>
      <c r="Q269" s="228" t="s">
        <v>28</v>
      </c>
      <c r="R269" s="229" t="b">
        <v>0</v>
      </c>
    </row>
    <row r="270" ht="13.5" customHeight="1">
      <c r="A270" s="221"/>
      <c r="B270" s="231"/>
      <c r="C270" s="232" t="s">
        <v>30</v>
      </c>
      <c r="D270" s="108"/>
      <c r="E270" s="233"/>
      <c r="F270" s="233"/>
      <c r="G270" s="233"/>
      <c r="H270" s="233"/>
      <c r="I270" s="234"/>
      <c r="J270" s="348"/>
      <c r="K270" s="348"/>
      <c r="L270" s="348"/>
      <c r="M270" s="348"/>
      <c r="N270" s="251"/>
      <c r="O270" s="235" t="s">
        <v>30</v>
      </c>
      <c r="P270" s="236">
        <f>(E270*E263)+(F270*F263)+(G270*G263)+(H270*H263)+(I270*I263)+(J270*J263)+(K270*K263)+(L270*L263)+(M270*M263)+(N270*N263)</f>
        <v>0</v>
      </c>
      <c r="Q270" s="237" t="s">
        <v>31</v>
      </c>
      <c r="R270" s="238" t="b">
        <v>0</v>
      </c>
    </row>
    <row r="271" ht="13.5" customHeight="1">
      <c r="A271" s="68"/>
      <c r="B271" s="239" t="s">
        <v>42</v>
      </c>
      <c r="C271" s="232" t="s">
        <v>34</v>
      </c>
      <c r="D271" s="108"/>
      <c r="E271" s="240"/>
      <c r="F271" s="241"/>
      <c r="G271" s="241"/>
      <c r="H271" s="241"/>
      <c r="I271" s="242"/>
      <c r="J271" s="349"/>
      <c r="K271" s="349"/>
      <c r="L271" s="349"/>
      <c r="M271" s="349"/>
      <c r="N271" s="252"/>
      <c r="O271" s="243" t="s">
        <v>35</v>
      </c>
      <c r="P271" s="236">
        <f>(E271*E263)+(F271*F263)+(G271*G263)+(H271*H263)+(I271*I263)+(J271*J263)+(K271*K263)+(L271*L263)+(M271*M263)+(N271*N263)</f>
        <v>0</v>
      </c>
      <c r="Q271" s="237" t="s">
        <v>36</v>
      </c>
      <c r="R271" s="238" t="b">
        <v>0</v>
      </c>
    </row>
    <row r="272" ht="13.5" customHeight="1">
      <c r="A272" s="230" t="s">
        <v>43</v>
      </c>
      <c r="B272" s="245" t="str">
        <f>IFS(P272=0,"",B272&lt;&gt;"",B272,TRUE,NOW())</f>
        <v/>
      </c>
      <c r="C272" s="232" t="s">
        <v>37</v>
      </c>
      <c r="D272" s="108"/>
      <c r="E272" s="246"/>
      <c r="F272" s="246"/>
      <c r="G272" s="246"/>
      <c r="H272" s="246"/>
      <c r="I272" s="247"/>
      <c r="J272" s="350"/>
      <c r="K272" s="350"/>
      <c r="L272" s="350"/>
      <c r="M272" s="350"/>
      <c r="N272" s="253"/>
      <c r="O272" s="248" t="s">
        <v>38</v>
      </c>
      <c r="P272" s="249">
        <f>P271-P270</f>
        <v>0</v>
      </c>
      <c r="Q272" s="250" t="s">
        <v>39</v>
      </c>
      <c r="R272" s="238" t="b">
        <v>0</v>
      </c>
    </row>
    <row r="273" ht="18.0" customHeight="1">
      <c r="A273" s="230"/>
      <c r="B273" s="222" t="s">
        <v>96</v>
      </c>
      <c r="C273" s="223" t="s">
        <v>27</v>
      </c>
      <c r="D273" s="224"/>
      <c r="E273" s="254">
        <f t="shared" ref="E273:N273" si="74">E271-E274</f>
        <v>0</v>
      </c>
      <c r="F273" s="254">
        <f t="shared" si="74"/>
        <v>0</v>
      </c>
      <c r="G273" s="254">
        <f t="shared" si="74"/>
        <v>0</v>
      </c>
      <c r="H273" s="254">
        <f t="shared" si="74"/>
        <v>0</v>
      </c>
      <c r="I273" s="254">
        <f t="shared" si="74"/>
        <v>0</v>
      </c>
      <c r="J273" s="254">
        <f t="shared" si="74"/>
        <v>0</v>
      </c>
      <c r="K273" s="254">
        <f t="shared" si="74"/>
        <v>0</v>
      </c>
      <c r="L273" s="254">
        <f t="shared" si="74"/>
        <v>0</v>
      </c>
      <c r="M273" s="254">
        <f t="shared" si="74"/>
        <v>0</v>
      </c>
      <c r="N273" s="254">
        <f t="shared" si="74"/>
        <v>0</v>
      </c>
      <c r="O273" s="227"/>
      <c r="P273" s="30"/>
      <c r="Q273" s="228" t="s">
        <v>28</v>
      </c>
      <c r="R273" s="229" t="b">
        <v>0</v>
      </c>
    </row>
    <row r="274" ht="13.5" customHeight="1">
      <c r="A274" s="230" t="s">
        <v>45</v>
      </c>
      <c r="B274" s="231"/>
      <c r="C274" s="232" t="s">
        <v>30</v>
      </c>
      <c r="D274" s="108"/>
      <c r="E274" s="255"/>
      <c r="F274" s="255"/>
      <c r="G274" s="255"/>
      <c r="H274" s="255"/>
      <c r="I274" s="255"/>
      <c r="J274" s="255"/>
      <c r="K274" s="255"/>
      <c r="L274" s="255"/>
      <c r="M274" s="255"/>
      <c r="N274" s="255"/>
      <c r="O274" s="235" t="s">
        <v>30</v>
      </c>
      <c r="P274" s="236">
        <f>(E274*E263)+(F274*F263)+(G274*G263)+(H274*H263)+(I274*I263)+(J274*J263)+(K274*K263)+(L274*L263)+(M274*M263)+(N274*N263)</f>
        <v>0</v>
      </c>
      <c r="Q274" s="237" t="s">
        <v>31</v>
      </c>
      <c r="R274" s="238" t="b">
        <v>0</v>
      </c>
    </row>
    <row r="275" ht="13.5" customHeight="1">
      <c r="A275" s="221"/>
      <c r="B275" s="239" t="s">
        <v>47</v>
      </c>
      <c r="C275" s="232" t="s">
        <v>34</v>
      </c>
      <c r="D275" s="108"/>
      <c r="E275" s="256"/>
      <c r="F275" s="257"/>
      <c r="G275" s="257"/>
      <c r="H275" s="257"/>
      <c r="I275" s="257"/>
      <c r="J275" s="257"/>
      <c r="K275" s="257"/>
      <c r="L275" s="257"/>
      <c r="M275" s="257"/>
      <c r="N275" s="257"/>
      <c r="O275" s="243" t="s">
        <v>35</v>
      </c>
      <c r="P275" s="236">
        <f>(E275*E263)+(F275*F263)+(G275*G263)+(H275*H263)+(I275*I263)+(J275*J263)+(K275*K263)+(L275*L263)+(M275*M263)+(N275*N263)</f>
        <v>0</v>
      </c>
      <c r="Q275" s="237" t="s">
        <v>36</v>
      </c>
      <c r="R275" s="238" t="b">
        <v>0</v>
      </c>
    </row>
    <row r="276" ht="13.5" customHeight="1">
      <c r="A276" s="68"/>
      <c r="B276" s="245" t="str">
        <f>IFS(P276=0,"",B276&lt;&gt;"",B276,TRUE,NOW())</f>
        <v/>
      </c>
      <c r="C276" s="232" t="s">
        <v>37</v>
      </c>
      <c r="D276" s="108"/>
      <c r="E276" s="258"/>
      <c r="F276" s="258"/>
      <c r="G276" s="258"/>
      <c r="H276" s="258"/>
      <c r="I276" s="258"/>
      <c r="J276" s="258"/>
      <c r="K276" s="258"/>
      <c r="L276" s="258"/>
      <c r="M276" s="258"/>
      <c r="N276" s="258"/>
      <c r="O276" s="248" t="s">
        <v>38</v>
      </c>
      <c r="P276" s="249">
        <f>P275-P274</f>
        <v>0</v>
      </c>
      <c r="Q276" s="250" t="s">
        <v>39</v>
      </c>
      <c r="R276" s="238" t="b">
        <v>0</v>
      </c>
    </row>
    <row r="277" ht="13.5" customHeight="1">
      <c r="A277" s="259" t="s">
        <v>48</v>
      </c>
      <c r="B277" s="222" t="s">
        <v>96</v>
      </c>
      <c r="C277" s="223" t="s">
        <v>27</v>
      </c>
      <c r="D277" s="224"/>
      <c r="E277" s="254">
        <f t="shared" ref="E277:N277" si="75">E275-E278</f>
        <v>0</v>
      </c>
      <c r="F277" s="254">
        <f t="shared" si="75"/>
        <v>0</v>
      </c>
      <c r="G277" s="254">
        <f t="shared" si="75"/>
        <v>0</v>
      </c>
      <c r="H277" s="254">
        <f t="shared" si="75"/>
        <v>0</v>
      </c>
      <c r="I277" s="254">
        <f t="shared" si="75"/>
        <v>0</v>
      </c>
      <c r="J277" s="254">
        <f t="shared" si="75"/>
        <v>0</v>
      </c>
      <c r="K277" s="254">
        <f t="shared" si="75"/>
        <v>0</v>
      </c>
      <c r="L277" s="254">
        <f t="shared" si="75"/>
        <v>0</v>
      </c>
      <c r="M277" s="254">
        <f t="shared" si="75"/>
        <v>0</v>
      </c>
      <c r="N277" s="254">
        <f t="shared" si="75"/>
        <v>0</v>
      </c>
      <c r="O277" s="227"/>
      <c r="P277" s="30"/>
      <c r="Q277" s="228" t="s">
        <v>28</v>
      </c>
      <c r="R277" s="229" t="b">
        <v>0</v>
      </c>
    </row>
    <row r="278" ht="15.0" customHeight="1">
      <c r="A278" s="87"/>
      <c r="B278" s="231"/>
      <c r="C278" s="232" t="s">
        <v>30</v>
      </c>
      <c r="D278" s="108"/>
      <c r="E278" s="255"/>
      <c r="F278" s="255"/>
      <c r="G278" s="255"/>
      <c r="H278" s="255"/>
      <c r="I278" s="255"/>
      <c r="J278" s="255"/>
      <c r="K278" s="255"/>
      <c r="L278" s="255"/>
      <c r="M278" s="255"/>
      <c r="N278" s="255"/>
      <c r="O278" s="235" t="s">
        <v>30</v>
      </c>
      <c r="P278" s="236">
        <f>(E278*E263)+(F278*F263)+(G278*G263)+(H278*H263)+(I278*I263)+(J278*J263)+(K278*K263)+(L278*L263)+(M278*M263)+(N278*N263)</f>
        <v>0</v>
      </c>
      <c r="Q278" s="237" t="s">
        <v>31</v>
      </c>
      <c r="R278" s="238" t="b">
        <v>0</v>
      </c>
    </row>
    <row r="279" ht="13.5" customHeight="1">
      <c r="A279" s="68"/>
      <c r="B279" s="239" t="s">
        <v>49</v>
      </c>
      <c r="C279" s="232" t="s">
        <v>34</v>
      </c>
      <c r="D279" s="108"/>
      <c r="E279" s="256"/>
      <c r="F279" s="257"/>
      <c r="G279" s="257"/>
      <c r="H279" s="257"/>
      <c r="I279" s="257"/>
      <c r="J279" s="257"/>
      <c r="K279" s="257"/>
      <c r="L279" s="257"/>
      <c r="M279" s="257"/>
      <c r="N279" s="257"/>
      <c r="O279" s="243" t="s">
        <v>35</v>
      </c>
      <c r="P279" s="236">
        <f>(E279*E263)+(F279*F263)+(G279*G263)+(H279*H263)+(I279*I263)+(J279*J263)+(K279*K263)+(L279*L263)+(M279*M263)+(N279*N263)</f>
        <v>0</v>
      </c>
      <c r="Q279" s="237" t="s">
        <v>36</v>
      </c>
      <c r="R279" s="238" t="b">
        <v>0</v>
      </c>
    </row>
    <row r="280" ht="13.5" customHeight="1">
      <c r="A280" s="80"/>
      <c r="B280" s="245" t="str">
        <f>IFS(P280=0,"",B280&lt;&gt;"",B280,TRUE,NOW())</f>
        <v/>
      </c>
      <c r="C280" s="232" t="s">
        <v>37</v>
      </c>
      <c r="D280" s="108"/>
      <c r="E280" s="258"/>
      <c r="F280" s="258"/>
      <c r="G280" s="258"/>
      <c r="H280" s="258"/>
      <c r="I280" s="258"/>
      <c r="J280" s="258"/>
      <c r="K280" s="258"/>
      <c r="L280" s="258"/>
      <c r="M280" s="258"/>
      <c r="N280" s="258"/>
      <c r="O280" s="248" t="s">
        <v>38</v>
      </c>
      <c r="P280" s="249">
        <f>P279-P278</f>
        <v>0</v>
      </c>
      <c r="Q280" s="250" t="s">
        <v>39</v>
      </c>
      <c r="R280" s="260" t="b">
        <v>0</v>
      </c>
    </row>
    <row r="281" ht="13.5" customHeight="1">
      <c r="A281" s="261" t="s">
        <v>97</v>
      </c>
      <c r="B281" s="209" t="s">
        <v>20</v>
      </c>
      <c r="C281" s="24"/>
      <c r="D281" s="33"/>
      <c r="E281" s="262">
        <f t="shared" ref="E281:N281" si="76">E6</f>
        <v>16</v>
      </c>
      <c r="F281" s="262">
        <f t="shared" si="76"/>
        <v>26</v>
      </c>
      <c r="G281" s="263">
        <f t="shared" si="76"/>
        <v>26</v>
      </c>
      <c r="H281" s="264">
        <f t="shared" si="76"/>
        <v>26</v>
      </c>
      <c r="I281" s="213">
        <f t="shared" si="76"/>
        <v>31</v>
      </c>
      <c r="J281" s="346">
        <f t="shared" si="76"/>
        <v>36</v>
      </c>
      <c r="K281" s="346">
        <f t="shared" si="76"/>
        <v>30</v>
      </c>
      <c r="L281" s="346">
        <f t="shared" si="76"/>
        <v>35</v>
      </c>
      <c r="M281" s="346">
        <f t="shared" si="76"/>
        <v>40</v>
      </c>
      <c r="N281" s="263">
        <f t="shared" si="76"/>
        <v>15</v>
      </c>
      <c r="O281" s="214" t="s">
        <v>21</v>
      </c>
      <c r="P281" s="25"/>
      <c r="Q281" s="215" t="s">
        <v>22</v>
      </c>
      <c r="R281" s="10"/>
    </row>
    <row r="282" ht="13.5" customHeight="1">
      <c r="A282" s="216" t="s">
        <v>23</v>
      </c>
      <c r="B282" s="217" t="s">
        <v>24</v>
      </c>
      <c r="C282" s="218" t="s">
        <v>25</v>
      </c>
      <c r="D282" s="117"/>
      <c r="E282" s="219"/>
      <c r="F282" s="219"/>
      <c r="G282" s="219"/>
      <c r="H282" s="219"/>
      <c r="I282" s="220"/>
      <c r="J282" s="347"/>
      <c r="K282" s="347"/>
      <c r="L282" s="347"/>
      <c r="M282" s="347"/>
      <c r="N282" s="219"/>
      <c r="O282" s="49"/>
      <c r="P282" s="25"/>
      <c r="Q282" s="50"/>
      <c r="R282" s="10"/>
    </row>
    <row r="283" ht="15.0" customHeight="1">
      <c r="A283" s="221"/>
      <c r="B283" s="222" t="s">
        <v>98</v>
      </c>
      <c r="C283" s="223" t="s">
        <v>27</v>
      </c>
      <c r="D283" s="224"/>
      <c r="E283" s="225">
        <f t="shared" ref="E283:N283" si="77">E282-E284</f>
        <v>0</v>
      </c>
      <c r="F283" s="225">
        <f t="shared" si="77"/>
        <v>0</v>
      </c>
      <c r="G283" s="225">
        <f t="shared" si="77"/>
        <v>0</v>
      </c>
      <c r="H283" s="225">
        <f t="shared" si="77"/>
        <v>0</v>
      </c>
      <c r="I283" s="225">
        <f t="shared" si="77"/>
        <v>0</v>
      </c>
      <c r="J283" s="226">
        <f t="shared" si="77"/>
        <v>0</v>
      </c>
      <c r="K283" s="226">
        <f t="shared" si="77"/>
        <v>0</v>
      </c>
      <c r="L283" s="226">
        <f t="shared" si="77"/>
        <v>0</v>
      </c>
      <c r="M283" s="226">
        <f t="shared" si="77"/>
        <v>0</v>
      </c>
      <c r="N283" s="226">
        <f t="shared" si="77"/>
        <v>0</v>
      </c>
      <c r="O283" s="227"/>
      <c r="P283" s="30"/>
      <c r="Q283" s="228" t="s">
        <v>28</v>
      </c>
      <c r="R283" s="229" t="b">
        <v>0</v>
      </c>
    </row>
    <row r="284" ht="13.5" customHeight="1">
      <c r="A284" s="230" t="s">
        <v>29</v>
      </c>
      <c r="B284" s="231"/>
      <c r="C284" s="232" t="s">
        <v>30</v>
      </c>
      <c r="D284" s="108"/>
      <c r="E284" s="233"/>
      <c r="F284" s="233"/>
      <c r="G284" s="233"/>
      <c r="H284" s="233"/>
      <c r="I284" s="234"/>
      <c r="J284" s="234"/>
      <c r="K284" s="234"/>
      <c r="L284" s="234"/>
      <c r="M284" s="234"/>
      <c r="N284" s="233"/>
      <c r="O284" s="235" t="s">
        <v>30</v>
      </c>
      <c r="P284" s="236">
        <f>(E284*E281)+(F284*F281)+(G284*G281)+(H284*H281)+(I284*I281)+(J284*J281)+(K284*K281)+(L284*L281)+(M284*M281)+(N284*N281)</f>
        <v>0</v>
      </c>
      <c r="Q284" s="237" t="s">
        <v>31</v>
      </c>
      <c r="R284" s="238" t="b">
        <v>0</v>
      </c>
    </row>
    <row r="285" ht="13.5" customHeight="1">
      <c r="A285" s="221"/>
      <c r="B285" s="239" t="s">
        <v>33</v>
      </c>
      <c r="C285" s="232" t="s">
        <v>34</v>
      </c>
      <c r="D285" s="108"/>
      <c r="E285" s="240"/>
      <c r="F285" s="241"/>
      <c r="G285" s="241"/>
      <c r="H285" s="241"/>
      <c r="I285" s="242"/>
      <c r="J285" s="242"/>
      <c r="K285" s="242"/>
      <c r="L285" s="242"/>
      <c r="M285" s="242"/>
      <c r="N285" s="241"/>
      <c r="O285" s="243" t="s">
        <v>35</v>
      </c>
      <c r="P285" s="236">
        <f>(E285*E281)+(F285*F281)+(G285*G281)+(H285*H281)+(I285*I281)+(J285*J281)+(K285*K281)+(L285*L281)+(M285*M281)+(N285*N281)</f>
        <v>0</v>
      </c>
      <c r="Q285" s="244" t="s">
        <v>36</v>
      </c>
      <c r="R285" s="238" t="b">
        <v>0</v>
      </c>
    </row>
    <row r="286" ht="13.5" customHeight="1">
      <c r="A286" s="68"/>
      <c r="B286" s="245" t="str">
        <f>IFS(P286=0,"",B286&lt;&gt;"",B286,TRUE,NOW())</f>
        <v/>
      </c>
      <c r="C286" s="232" t="s">
        <v>37</v>
      </c>
      <c r="D286" s="108"/>
      <c r="E286" s="246"/>
      <c r="F286" s="246"/>
      <c r="G286" s="246"/>
      <c r="H286" s="246"/>
      <c r="I286" s="247"/>
      <c r="J286" s="247"/>
      <c r="K286" s="247"/>
      <c r="L286" s="247"/>
      <c r="M286" s="247"/>
      <c r="N286" s="246"/>
      <c r="O286" s="248" t="s">
        <v>38</v>
      </c>
      <c r="P286" s="249">
        <f>P285-P284</f>
        <v>0</v>
      </c>
      <c r="Q286" s="250" t="s">
        <v>39</v>
      </c>
      <c r="R286" s="238" t="b">
        <v>0</v>
      </c>
    </row>
    <row r="287" ht="13.5" customHeight="1">
      <c r="A287" s="230" t="s">
        <v>40</v>
      </c>
      <c r="B287" s="222" t="s">
        <v>98</v>
      </c>
      <c r="C287" s="223" t="s">
        <v>27</v>
      </c>
      <c r="D287" s="224"/>
      <c r="E287" s="225">
        <f t="shared" ref="E287:N287" si="78">E285-E288</f>
        <v>0</v>
      </c>
      <c r="F287" s="225">
        <f t="shared" si="78"/>
        <v>0</v>
      </c>
      <c r="G287" s="225">
        <f t="shared" si="78"/>
        <v>0</v>
      </c>
      <c r="H287" s="225">
        <f t="shared" si="78"/>
        <v>0</v>
      </c>
      <c r="I287" s="225">
        <f t="shared" si="78"/>
        <v>0</v>
      </c>
      <c r="J287" s="226">
        <f t="shared" si="78"/>
        <v>0</v>
      </c>
      <c r="K287" s="226">
        <f t="shared" si="78"/>
        <v>0</v>
      </c>
      <c r="L287" s="226">
        <f t="shared" si="78"/>
        <v>0</v>
      </c>
      <c r="M287" s="226">
        <f t="shared" si="78"/>
        <v>0</v>
      </c>
      <c r="N287" s="226">
        <f t="shared" si="78"/>
        <v>0</v>
      </c>
      <c r="O287" s="227"/>
      <c r="P287" s="30"/>
      <c r="Q287" s="228" t="s">
        <v>28</v>
      </c>
      <c r="R287" s="229" t="b">
        <v>0</v>
      </c>
    </row>
    <row r="288" ht="15.0" customHeight="1">
      <c r="A288" s="221"/>
      <c r="B288" s="231"/>
      <c r="C288" s="232" t="s">
        <v>30</v>
      </c>
      <c r="D288" s="108"/>
      <c r="E288" s="233"/>
      <c r="F288" s="233"/>
      <c r="G288" s="233"/>
      <c r="H288" s="233"/>
      <c r="I288" s="234"/>
      <c r="J288" s="348"/>
      <c r="K288" s="348"/>
      <c r="L288" s="348"/>
      <c r="M288" s="348"/>
      <c r="N288" s="251"/>
      <c r="O288" s="235" t="s">
        <v>30</v>
      </c>
      <c r="P288" s="236">
        <f>(E288*E281)+(F288*F281)+(G288*G281)+(H288*H281)+(I288*I281)+(J288*J281)+(K288*K281)+(L288*L281)+(M288*M281)+(N288*N281)</f>
        <v>0</v>
      </c>
      <c r="Q288" s="237" t="s">
        <v>31</v>
      </c>
      <c r="R288" s="238" t="b">
        <v>0</v>
      </c>
    </row>
    <row r="289" ht="13.5" customHeight="1">
      <c r="A289" s="68"/>
      <c r="B289" s="239" t="s">
        <v>42</v>
      </c>
      <c r="C289" s="232" t="s">
        <v>34</v>
      </c>
      <c r="D289" s="108"/>
      <c r="E289" s="240"/>
      <c r="F289" s="241"/>
      <c r="G289" s="241"/>
      <c r="H289" s="241"/>
      <c r="I289" s="242"/>
      <c r="J289" s="349"/>
      <c r="K289" s="349"/>
      <c r="L289" s="349"/>
      <c r="M289" s="349"/>
      <c r="N289" s="252"/>
      <c r="O289" s="243" t="s">
        <v>35</v>
      </c>
      <c r="P289" s="236">
        <f>(E289*E281)+(F289*F281)+(G289*G281)+(H289*H281)+(I289*I281)+(J289*J281)+(K289*K281)+(L289*L281)+(M289*M281)+(N289*N281)</f>
        <v>0</v>
      </c>
      <c r="Q289" s="237" t="s">
        <v>36</v>
      </c>
      <c r="R289" s="238" t="b">
        <v>0</v>
      </c>
    </row>
    <row r="290" ht="13.5" customHeight="1">
      <c r="A290" s="230" t="s">
        <v>43</v>
      </c>
      <c r="B290" s="245" t="str">
        <f>IFS(P290=0,"",B290&lt;&gt;"",B290,TRUE,NOW())</f>
        <v/>
      </c>
      <c r="C290" s="232" t="s">
        <v>37</v>
      </c>
      <c r="D290" s="108"/>
      <c r="E290" s="246"/>
      <c r="F290" s="246"/>
      <c r="G290" s="246"/>
      <c r="H290" s="246"/>
      <c r="I290" s="247"/>
      <c r="J290" s="350"/>
      <c r="K290" s="350"/>
      <c r="L290" s="350"/>
      <c r="M290" s="350"/>
      <c r="N290" s="253"/>
      <c r="O290" s="248" t="s">
        <v>38</v>
      </c>
      <c r="P290" s="249">
        <f>P289-P288</f>
        <v>0</v>
      </c>
      <c r="Q290" s="250" t="s">
        <v>39</v>
      </c>
      <c r="R290" s="238" t="b">
        <v>0</v>
      </c>
    </row>
    <row r="291" ht="13.5" customHeight="1">
      <c r="A291" s="230"/>
      <c r="B291" s="222" t="s">
        <v>98</v>
      </c>
      <c r="C291" s="223" t="s">
        <v>27</v>
      </c>
      <c r="D291" s="224"/>
      <c r="E291" s="254">
        <f t="shared" ref="E291:N291" si="79">E289-E292</f>
        <v>0</v>
      </c>
      <c r="F291" s="254">
        <f t="shared" si="79"/>
        <v>0</v>
      </c>
      <c r="G291" s="254">
        <f t="shared" si="79"/>
        <v>0</v>
      </c>
      <c r="H291" s="254">
        <f t="shared" si="79"/>
        <v>0</v>
      </c>
      <c r="I291" s="254">
        <f t="shared" si="79"/>
        <v>0</v>
      </c>
      <c r="J291" s="254">
        <f t="shared" si="79"/>
        <v>0</v>
      </c>
      <c r="K291" s="254">
        <f t="shared" si="79"/>
        <v>0</v>
      </c>
      <c r="L291" s="254">
        <f t="shared" si="79"/>
        <v>0</v>
      </c>
      <c r="M291" s="254">
        <f t="shared" si="79"/>
        <v>0</v>
      </c>
      <c r="N291" s="254">
        <f t="shared" si="79"/>
        <v>0</v>
      </c>
      <c r="O291" s="227"/>
      <c r="P291" s="30"/>
      <c r="Q291" s="228" t="s">
        <v>28</v>
      </c>
      <c r="R291" s="229" t="b">
        <v>0</v>
      </c>
    </row>
    <row r="292" ht="13.5" customHeight="1">
      <c r="A292" s="230" t="s">
        <v>45</v>
      </c>
      <c r="B292" s="231"/>
      <c r="C292" s="232" t="s">
        <v>30</v>
      </c>
      <c r="D292" s="108"/>
      <c r="E292" s="255"/>
      <c r="F292" s="255"/>
      <c r="G292" s="255"/>
      <c r="H292" s="255"/>
      <c r="I292" s="255"/>
      <c r="J292" s="255"/>
      <c r="K292" s="255"/>
      <c r="L292" s="255"/>
      <c r="M292" s="255"/>
      <c r="N292" s="255"/>
      <c r="O292" s="235" t="s">
        <v>30</v>
      </c>
      <c r="P292" s="236">
        <f>(E292*E281)+(F292*F281)+(G292*G281)+(H292*H281)+(I292*I281)+(J292*J281)+(K292*K281)+(L292*L281)+(M292*M281)+(N292*N281)</f>
        <v>0</v>
      </c>
      <c r="Q292" s="237" t="s">
        <v>31</v>
      </c>
      <c r="R292" s="238" t="b">
        <v>0</v>
      </c>
    </row>
    <row r="293" ht="13.5" customHeight="1">
      <c r="A293" s="221"/>
      <c r="B293" s="239" t="s">
        <v>47</v>
      </c>
      <c r="C293" s="232" t="s">
        <v>34</v>
      </c>
      <c r="D293" s="108"/>
      <c r="E293" s="256"/>
      <c r="F293" s="257"/>
      <c r="G293" s="257"/>
      <c r="H293" s="257"/>
      <c r="I293" s="257"/>
      <c r="J293" s="257"/>
      <c r="K293" s="257"/>
      <c r="L293" s="257"/>
      <c r="M293" s="257"/>
      <c r="N293" s="257"/>
      <c r="O293" s="243" t="s">
        <v>35</v>
      </c>
      <c r="P293" s="236">
        <f>(E293*E281)+(F293*F281)+(G293*G281)+(H293*H281)+(I293*I281)+(J293*J281)+(K293*K281)+(L293*L281)+(M293*M281)+(N293*N281)</f>
        <v>0</v>
      </c>
      <c r="Q293" s="237" t="s">
        <v>36</v>
      </c>
      <c r="R293" s="238" t="b">
        <v>0</v>
      </c>
    </row>
    <row r="294" ht="13.5" customHeight="1">
      <c r="A294" s="68"/>
      <c r="B294" s="245" t="str">
        <f>IFS(P294=0,"",B294&lt;&gt;"",B294,TRUE,NOW())</f>
        <v/>
      </c>
      <c r="C294" s="232" t="s">
        <v>37</v>
      </c>
      <c r="D294" s="108"/>
      <c r="E294" s="258"/>
      <c r="F294" s="258"/>
      <c r="G294" s="258"/>
      <c r="H294" s="258"/>
      <c r="I294" s="258"/>
      <c r="J294" s="258"/>
      <c r="K294" s="258"/>
      <c r="L294" s="258"/>
      <c r="M294" s="258"/>
      <c r="N294" s="258"/>
      <c r="O294" s="248" t="s">
        <v>38</v>
      </c>
      <c r="P294" s="249">
        <f>P293-P292</f>
        <v>0</v>
      </c>
      <c r="Q294" s="250" t="s">
        <v>39</v>
      </c>
      <c r="R294" s="238" t="b">
        <v>0</v>
      </c>
    </row>
    <row r="295" ht="15.0" customHeight="1">
      <c r="A295" s="259" t="s">
        <v>48</v>
      </c>
      <c r="B295" s="222" t="s">
        <v>98</v>
      </c>
      <c r="C295" s="223" t="s">
        <v>27</v>
      </c>
      <c r="D295" s="224"/>
      <c r="E295" s="254">
        <f t="shared" ref="E295:N295" si="80">E293-E296</f>
        <v>0</v>
      </c>
      <c r="F295" s="254">
        <f t="shared" si="80"/>
        <v>0</v>
      </c>
      <c r="G295" s="254">
        <f t="shared" si="80"/>
        <v>0</v>
      </c>
      <c r="H295" s="254">
        <f t="shared" si="80"/>
        <v>0</v>
      </c>
      <c r="I295" s="254">
        <f t="shared" si="80"/>
        <v>0</v>
      </c>
      <c r="J295" s="254">
        <f t="shared" si="80"/>
        <v>0</v>
      </c>
      <c r="K295" s="254">
        <f t="shared" si="80"/>
        <v>0</v>
      </c>
      <c r="L295" s="254">
        <f t="shared" si="80"/>
        <v>0</v>
      </c>
      <c r="M295" s="254">
        <f t="shared" si="80"/>
        <v>0</v>
      </c>
      <c r="N295" s="254">
        <f t="shared" si="80"/>
        <v>0</v>
      </c>
      <c r="O295" s="227"/>
      <c r="P295" s="30"/>
      <c r="Q295" s="228" t="s">
        <v>28</v>
      </c>
      <c r="R295" s="229" t="b">
        <v>0</v>
      </c>
    </row>
    <row r="296" ht="13.5" customHeight="1">
      <c r="A296" s="87"/>
      <c r="B296" s="231"/>
      <c r="C296" s="232" t="s">
        <v>30</v>
      </c>
      <c r="D296" s="108"/>
      <c r="E296" s="255"/>
      <c r="F296" s="255"/>
      <c r="G296" s="255"/>
      <c r="H296" s="255"/>
      <c r="I296" s="255"/>
      <c r="J296" s="255"/>
      <c r="K296" s="255"/>
      <c r="L296" s="255"/>
      <c r="M296" s="255"/>
      <c r="N296" s="255"/>
      <c r="O296" s="235" t="s">
        <v>30</v>
      </c>
      <c r="P296" s="236">
        <f>(E296*E281)+(F296*F281)+(G296*G281)+(H296*H281)+(I296*I281)+(J296*J281)+(K296*K281)+(L296*L281)+(M296*M281)+(N296*N281)</f>
        <v>0</v>
      </c>
      <c r="Q296" s="237" t="s">
        <v>31</v>
      </c>
      <c r="R296" s="238" t="b">
        <v>0</v>
      </c>
    </row>
    <row r="297" ht="13.5" customHeight="1">
      <c r="A297" s="68"/>
      <c r="B297" s="239" t="s">
        <v>49</v>
      </c>
      <c r="C297" s="232" t="s">
        <v>34</v>
      </c>
      <c r="D297" s="108"/>
      <c r="E297" s="256"/>
      <c r="F297" s="257"/>
      <c r="G297" s="257"/>
      <c r="H297" s="257"/>
      <c r="I297" s="257"/>
      <c r="J297" s="257"/>
      <c r="K297" s="257"/>
      <c r="L297" s="257"/>
      <c r="M297" s="257"/>
      <c r="N297" s="257"/>
      <c r="O297" s="243" t="s">
        <v>35</v>
      </c>
      <c r="P297" s="236">
        <f>(E297*E281)+(F297*F281)+(G297*G281)+(H297*H281)+(I297*I281)+(J297*J281)+(K297*K281)+(L297*L281)+(M297*M281)+(N297*N281)</f>
        <v>0</v>
      </c>
      <c r="Q297" s="237" t="s">
        <v>36</v>
      </c>
      <c r="R297" s="238" t="b">
        <v>0</v>
      </c>
    </row>
    <row r="298" ht="13.5" customHeight="1">
      <c r="A298" s="80"/>
      <c r="B298" s="245" t="str">
        <f>IFS(P298=0,"",B298&lt;&gt;"",B298,TRUE,NOW())</f>
        <v/>
      </c>
      <c r="C298" s="232" t="s">
        <v>37</v>
      </c>
      <c r="D298" s="108"/>
      <c r="E298" s="258"/>
      <c r="F298" s="258"/>
      <c r="G298" s="258"/>
      <c r="H298" s="258"/>
      <c r="I298" s="258"/>
      <c r="J298" s="258"/>
      <c r="K298" s="258"/>
      <c r="L298" s="258"/>
      <c r="M298" s="258"/>
      <c r="N298" s="258"/>
      <c r="O298" s="248" t="s">
        <v>38</v>
      </c>
      <c r="P298" s="249">
        <f>P297-P296</f>
        <v>0</v>
      </c>
      <c r="Q298" s="250" t="s">
        <v>39</v>
      </c>
      <c r="R298" s="260" t="b">
        <v>0</v>
      </c>
    </row>
    <row r="299" ht="13.5" customHeight="1">
      <c r="A299" s="261" t="s">
        <v>99</v>
      </c>
      <c r="B299" s="209" t="s">
        <v>20</v>
      </c>
      <c r="C299" s="24"/>
      <c r="D299" s="33"/>
      <c r="E299" s="262">
        <f t="shared" ref="E299:N299" si="81">E6</f>
        <v>16</v>
      </c>
      <c r="F299" s="262">
        <f t="shared" si="81"/>
        <v>26</v>
      </c>
      <c r="G299" s="263">
        <f t="shared" si="81"/>
        <v>26</v>
      </c>
      <c r="H299" s="264">
        <f t="shared" si="81"/>
        <v>26</v>
      </c>
      <c r="I299" s="213">
        <f t="shared" si="81"/>
        <v>31</v>
      </c>
      <c r="J299" s="346">
        <f t="shared" si="81"/>
        <v>36</v>
      </c>
      <c r="K299" s="346">
        <f t="shared" si="81"/>
        <v>30</v>
      </c>
      <c r="L299" s="346">
        <f t="shared" si="81"/>
        <v>35</v>
      </c>
      <c r="M299" s="346">
        <f t="shared" si="81"/>
        <v>40</v>
      </c>
      <c r="N299" s="263">
        <f t="shared" si="81"/>
        <v>15</v>
      </c>
      <c r="O299" s="214" t="s">
        <v>21</v>
      </c>
      <c r="P299" s="25"/>
      <c r="Q299" s="215" t="s">
        <v>22</v>
      </c>
      <c r="R299" s="10"/>
    </row>
    <row r="300" ht="17.25" customHeight="1">
      <c r="A300" s="216" t="s">
        <v>23</v>
      </c>
      <c r="B300" s="217" t="s">
        <v>24</v>
      </c>
      <c r="C300" s="218" t="s">
        <v>25</v>
      </c>
      <c r="D300" s="117"/>
      <c r="E300" s="219"/>
      <c r="F300" s="219"/>
      <c r="G300" s="219"/>
      <c r="H300" s="219"/>
      <c r="I300" s="220"/>
      <c r="J300" s="347"/>
      <c r="K300" s="347"/>
      <c r="L300" s="347"/>
      <c r="M300" s="347"/>
      <c r="N300" s="219"/>
      <c r="O300" s="49"/>
      <c r="P300" s="25"/>
      <c r="Q300" s="50"/>
      <c r="R300" s="10"/>
    </row>
    <row r="301" ht="13.5" customHeight="1">
      <c r="A301" s="221"/>
      <c r="B301" s="222" t="s">
        <v>100</v>
      </c>
      <c r="C301" s="223" t="s">
        <v>27</v>
      </c>
      <c r="D301" s="224"/>
      <c r="E301" s="225">
        <f t="shared" ref="E301:N301" si="82">E300-E302</f>
        <v>0</v>
      </c>
      <c r="F301" s="225">
        <f t="shared" si="82"/>
        <v>0</v>
      </c>
      <c r="G301" s="225">
        <f t="shared" si="82"/>
        <v>0</v>
      </c>
      <c r="H301" s="225">
        <f t="shared" si="82"/>
        <v>0</v>
      </c>
      <c r="I301" s="225">
        <f t="shared" si="82"/>
        <v>0</v>
      </c>
      <c r="J301" s="226">
        <f t="shared" si="82"/>
        <v>0</v>
      </c>
      <c r="K301" s="226">
        <f t="shared" si="82"/>
        <v>0</v>
      </c>
      <c r="L301" s="226">
        <f t="shared" si="82"/>
        <v>0</v>
      </c>
      <c r="M301" s="226">
        <f t="shared" si="82"/>
        <v>0</v>
      </c>
      <c r="N301" s="226">
        <f t="shared" si="82"/>
        <v>0</v>
      </c>
      <c r="O301" s="227"/>
      <c r="P301" s="30"/>
      <c r="Q301" s="228" t="s">
        <v>28</v>
      </c>
      <c r="R301" s="229" t="b">
        <v>0</v>
      </c>
    </row>
    <row r="302" ht="13.5" customHeight="1">
      <c r="A302" s="230" t="s">
        <v>29</v>
      </c>
      <c r="B302" s="231"/>
      <c r="C302" s="232" t="s">
        <v>30</v>
      </c>
      <c r="D302" s="108"/>
      <c r="E302" s="233"/>
      <c r="F302" s="233"/>
      <c r="G302" s="233"/>
      <c r="H302" s="233"/>
      <c r="I302" s="234"/>
      <c r="J302" s="234"/>
      <c r="K302" s="234"/>
      <c r="L302" s="234"/>
      <c r="M302" s="234"/>
      <c r="N302" s="233"/>
      <c r="O302" s="235" t="s">
        <v>30</v>
      </c>
      <c r="P302" s="236">
        <f>(E302*E299)+(F302*F299)+(G302*G299)+(H302*H299)+(I302*I299)+(J302*J299)+(K302*K299)+(L302*L299)+(M302*M299)+(N302*N299)</f>
        <v>0</v>
      </c>
      <c r="Q302" s="237" t="s">
        <v>31</v>
      </c>
      <c r="R302" s="238" t="b">
        <v>0</v>
      </c>
    </row>
    <row r="303" ht="13.5" customHeight="1">
      <c r="A303" s="221"/>
      <c r="B303" s="239" t="s">
        <v>33</v>
      </c>
      <c r="C303" s="232" t="s">
        <v>34</v>
      </c>
      <c r="D303" s="108"/>
      <c r="E303" s="240"/>
      <c r="F303" s="241"/>
      <c r="G303" s="241"/>
      <c r="H303" s="241"/>
      <c r="I303" s="242"/>
      <c r="J303" s="242"/>
      <c r="K303" s="242"/>
      <c r="L303" s="242"/>
      <c r="M303" s="242"/>
      <c r="N303" s="241"/>
      <c r="O303" s="243" t="s">
        <v>35</v>
      </c>
      <c r="P303" s="236">
        <f>(E303*E299)+(F303*F299)+(G303*G299)+(H303*H299)+(I303*I299)+(J303*J299)+(K303*K299)+(L303*L299)+(M303*M299)+(N303*N299)</f>
        <v>0</v>
      </c>
      <c r="Q303" s="244" t="s">
        <v>36</v>
      </c>
      <c r="R303" s="238" t="b">
        <v>0</v>
      </c>
    </row>
    <row r="304" ht="13.5" customHeight="1">
      <c r="A304" s="68"/>
      <c r="B304" s="245" t="str">
        <f>IFS(P304=0,"",B304&lt;&gt;"",B304,TRUE,NOW())</f>
        <v/>
      </c>
      <c r="C304" s="232" t="s">
        <v>37</v>
      </c>
      <c r="D304" s="108"/>
      <c r="E304" s="246"/>
      <c r="F304" s="246"/>
      <c r="G304" s="246"/>
      <c r="H304" s="246"/>
      <c r="I304" s="247"/>
      <c r="J304" s="247"/>
      <c r="K304" s="247"/>
      <c r="L304" s="247"/>
      <c r="M304" s="247"/>
      <c r="N304" s="246"/>
      <c r="O304" s="248" t="s">
        <v>38</v>
      </c>
      <c r="P304" s="249">
        <f>P303-P302</f>
        <v>0</v>
      </c>
      <c r="Q304" s="250" t="s">
        <v>39</v>
      </c>
      <c r="R304" s="238" t="b">
        <v>0</v>
      </c>
    </row>
    <row r="305" ht="18.75" customHeight="1">
      <c r="A305" s="230" t="s">
        <v>40</v>
      </c>
      <c r="B305" s="222" t="s">
        <v>100</v>
      </c>
      <c r="C305" s="223" t="s">
        <v>27</v>
      </c>
      <c r="D305" s="224"/>
      <c r="E305" s="225">
        <f t="shared" ref="E305:N305" si="83">E303-E306</f>
        <v>0</v>
      </c>
      <c r="F305" s="225">
        <f t="shared" si="83"/>
        <v>0</v>
      </c>
      <c r="G305" s="225">
        <f t="shared" si="83"/>
        <v>0</v>
      </c>
      <c r="H305" s="225">
        <f t="shared" si="83"/>
        <v>0</v>
      </c>
      <c r="I305" s="225">
        <f t="shared" si="83"/>
        <v>0</v>
      </c>
      <c r="J305" s="226">
        <f t="shared" si="83"/>
        <v>0</v>
      </c>
      <c r="K305" s="226">
        <f t="shared" si="83"/>
        <v>0</v>
      </c>
      <c r="L305" s="226">
        <f t="shared" si="83"/>
        <v>0</v>
      </c>
      <c r="M305" s="226">
        <f t="shared" si="83"/>
        <v>0</v>
      </c>
      <c r="N305" s="226">
        <f t="shared" si="83"/>
        <v>0</v>
      </c>
      <c r="O305" s="227"/>
      <c r="P305" s="30"/>
      <c r="Q305" s="228" t="s">
        <v>28</v>
      </c>
      <c r="R305" s="229" t="b">
        <v>0</v>
      </c>
    </row>
    <row r="306" ht="13.5" customHeight="1">
      <c r="A306" s="221"/>
      <c r="B306" s="231"/>
      <c r="C306" s="232" t="s">
        <v>30</v>
      </c>
      <c r="D306" s="108"/>
      <c r="E306" s="233"/>
      <c r="F306" s="233"/>
      <c r="G306" s="233"/>
      <c r="H306" s="233"/>
      <c r="I306" s="234"/>
      <c r="J306" s="348"/>
      <c r="K306" s="348"/>
      <c r="L306" s="348"/>
      <c r="M306" s="348"/>
      <c r="N306" s="251"/>
      <c r="O306" s="235" t="s">
        <v>30</v>
      </c>
      <c r="P306" s="236">
        <f>(E306*E299)+(F306*F299)+(G306*G299)+(H306*H299)+(I306*I299)+(J306*J299)+(K306*K299)+(L306*L299)+(M306*M299)+(N306*N299)</f>
        <v>0</v>
      </c>
      <c r="Q306" s="237" t="s">
        <v>31</v>
      </c>
      <c r="R306" s="238" t="b">
        <v>0</v>
      </c>
    </row>
    <row r="307" ht="13.5" customHeight="1">
      <c r="A307" s="68"/>
      <c r="B307" s="239" t="s">
        <v>42</v>
      </c>
      <c r="C307" s="232" t="s">
        <v>34</v>
      </c>
      <c r="D307" s="108"/>
      <c r="E307" s="240"/>
      <c r="F307" s="241"/>
      <c r="G307" s="241"/>
      <c r="H307" s="241"/>
      <c r="I307" s="242"/>
      <c r="J307" s="349"/>
      <c r="K307" s="349"/>
      <c r="L307" s="349"/>
      <c r="M307" s="349"/>
      <c r="N307" s="252"/>
      <c r="O307" s="243" t="s">
        <v>35</v>
      </c>
      <c r="P307" s="236">
        <f>(E307*E299)+(F307*F299)+(G307*G299)+(H307*H299)+(I307*I299)+(J307*J299)+(K307*K299)+(L307*L299)+(M307*M299)+(N307*N299)</f>
        <v>0</v>
      </c>
      <c r="Q307" s="237" t="s">
        <v>36</v>
      </c>
      <c r="R307" s="238" t="b">
        <v>0</v>
      </c>
    </row>
    <row r="308" ht="13.5" customHeight="1">
      <c r="A308" s="230" t="s">
        <v>43</v>
      </c>
      <c r="B308" s="245" t="str">
        <f>IFS(P308=0,"",B308&lt;&gt;"",B308,TRUE,NOW())</f>
        <v/>
      </c>
      <c r="C308" s="232" t="s">
        <v>37</v>
      </c>
      <c r="D308" s="108"/>
      <c r="E308" s="246"/>
      <c r="F308" s="246"/>
      <c r="G308" s="246"/>
      <c r="H308" s="246"/>
      <c r="I308" s="247"/>
      <c r="J308" s="350"/>
      <c r="K308" s="350"/>
      <c r="L308" s="350"/>
      <c r="M308" s="350"/>
      <c r="N308" s="253"/>
      <c r="O308" s="248" t="s">
        <v>38</v>
      </c>
      <c r="P308" s="249">
        <f>P307-P306</f>
        <v>0</v>
      </c>
      <c r="Q308" s="250" t="s">
        <v>39</v>
      </c>
      <c r="R308" s="238" t="b">
        <v>0</v>
      </c>
    </row>
    <row r="309" ht="13.5" customHeight="1">
      <c r="A309" s="230"/>
      <c r="B309" s="222" t="s">
        <v>100</v>
      </c>
      <c r="C309" s="223" t="s">
        <v>27</v>
      </c>
      <c r="D309" s="224"/>
      <c r="E309" s="254">
        <f t="shared" ref="E309:N309" si="84">E307-E310</f>
        <v>0</v>
      </c>
      <c r="F309" s="254">
        <f t="shared" si="84"/>
        <v>0</v>
      </c>
      <c r="G309" s="254">
        <f t="shared" si="84"/>
        <v>0</v>
      </c>
      <c r="H309" s="254">
        <f t="shared" si="84"/>
        <v>0</v>
      </c>
      <c r="I309" s="254">
        <f t="shared" si="84"/>
        <v>0</v>
      </c>
      <c r="J309" s="254">
        <f t="shared" si="84"/>
        <v>0</v>
      </c>
      <c r="K309" s="254">
        <f t="shared" si="84"/>
        <v>0</v>
      </c>
      <c r="L309" s="254">
        <f t="shared" si="84"/>
        <v>0</v>
      </c>
      <c r="M309" s="254">
        <f t="shared" si="84"/>
        <v>0</v>
      </c>
      <c r="N309" s="254">
        <f t="shared" si="84"/>
        <v>0</v>
      </c>
      <c r="O309" s="227"/>
      <c r="P309" s="30"/>
      <c r="Q309" s="228" t="s">
        <v>28</v>
      </c>
      <c r="R309" s="229" t="b">
        <v>0</v>
      </c>
    </row>
    <row r="310" ht="15.0" customHeight="1">
      <c r="A310" s="230" t="s">
        <v>45</v>
      </c>
      <c r="B310" s="231"/>
      <c r="C310" s="232" t="s">
        <v>30</v>
      </c>
      <c r="D310" s="108"/>
      <c r="E310" s="255"/>
      <c r="F310" s="255"/>
      <c r="G310" s="255"/>
      <c r="H310" s="255"/>
      <c r="I310" s="255"/>
      <c r="J310" s="255"/>
      <c r="K310" s="255"/>
      <c r="L310" s="255"/>
      <c r="M310" s="255"/>
      <c r="N310" s="255"/>
      <c r="O310" s="235" t="s">
        <v>30</v>
      </c>
      <c r="P310" s="236">
        <f>(E310*E299)+(F310*F299)+(G310*G299)+(H310*H299)+(I310*I299)+(J310*J299)+(K310*K299)+(L310*L299)+(M310*M299)+(N310*N299)</f>
        <v>0</v>
      </c>
      <c r="Q310" s="237" t="s">
        <v>31</v>
      </c>
      <c r="R310" s="238" t="b">
        <v>0</v>
      </c>
    </row>
    <row r="311" ht="13.5" customHeight="1">
      <c r="A311" s="221"/>
      <c r="B311" s="239" t="s">
        <v>47</v>
      </c>
      <c r="C311" s="232" t="s">
        <v>34</v>
      </c>
      <c r="D311" s="108"/>
      <c r="E311" s="256"/>
      <c r="F311" s="257"/>
      <c r="G311" s="257"/>
      <c r="H311" s="257"/>
      <c r="I311" s="257"/>
      <c r="J311" s="257"/>
      <c r="K311" s="257"/>
      <c r="L311" s="257"/>
      <c r="M311" s="257"/>
      <c r="N311" s="257"/>
      <c r="O311" s="243" t="s">
        <v>35</v>
      </c>
      <c r="P311" s="236">
        <f>(E311*E299)+(F311*F299)+(G311*G299)+(H311*H299)+(I311*I299)+(J311*J299)+(K311*K299)+(L311*L299)+(M311*M299)+(N311*N299)</f>
        <v>0</v>
      </c>
      <c r="Q311" s="237" t="s">
        <v>36</v>
      </c>
      <c r="R311" s="238" t="b">
        <v>0</v>
      </c>
    </row>
    <row r="312" ht="13.5" customHeight="1">
      <c r="A312" s="68"/>
      <c r="B312" s="245" t="str">
        <f>IFS(P312=0,"",B312&lt;&gt;"",B312,TRUE,NOW())</f>
        <v/>
      </c>
      <c r="C312" s="232" t="s">
        <v>37</v>
      </c>
      <c r="D312" s="108"/>
      <c r="E312" s="258"/>
      <c r="F312" s="258"/>
      <c r="G312" s="258"/>
      <c r="H312" s="258"/>
      <c r="I312" s="258"/>
      <c r="J312" s="258"/>
      <c r="K312" s="258"/>
      <c r="L312" s="258"/>
      <c r="M312" s="258"/>
      <c r="N312" s="258"/>
      <c r="O312" s="248" t="s">
        <v>38</v>
      </c>
      <c r="P312" s="249">
        <f>P311-P310</f>
        <v>0</v>
      </c>
      <c r="Q312" s="250" t="s">
        <v>39</v>
      </c>
      <c r="R312" s="238" t="b">
        <v>0</v>
      </c>
    </row>
    <row r="313" ht="13.5" customHeight="1">
      <c r="A313" s="259" t="s">
        <v>48</v>
      </c>
      <c r="B313" s="222" t="s">
        <v>100</v>
      </c>
      <c r="C313" s="223" t="s">
        <v>27</v>
      </c>
      <c r="D313" s="224"/>
      <c r="E313" s="254">
        <f t="shared" ref="E313:N313" si="85">E311-E314</f>
        <v>0</v>
      </c>
      <c r="F313" s="254">
        <f t="shared" si="85"/>
        <v>0</v>
      </c>
      <c r="G313" s="254">
        <f t="shared" si="85"/>
        <v>0</v>
      </c>
      <c r="H313" s="254">
        <f t="shared" si="85"/>
        <v>0</v>
      </c>
      <c r="I313" s="254">
        <f t="shared" si="85"/>
        <v>0</v>
      </c>
      <c r="J313" s="254">
        <f t="shared" si="85"/>
        <v>0</v>
      </c>
      <c r="K313" s="254">
        <f t="shared" si="85"/>
        <v>0</v>
      </c>
      <c r="L313" s="254">
        <f t="shared" si="85"/>
        <v>0</v>
      </c>
      <c r="M313" s="254">
        <f t="shared" si="85"/>
        <v>0</v>
      </c>
      <c r="N313" s="254">
        <f t="shared" si="85"/>
        <v>0</v>
      </c>
      <c r="O313" s="227"/>
      <c r="P313" s="30"/>
      <c r="Q313" s="228" t="s">
        <v>28</v>
      </c>
      <c r="R313" s="229" t="b">
        <v>0</v>
      </c>
    </row>
    <row r="314" ht="13.5" customHeight="1">
      <c r="A314" s="87"/>
      <c r="B314" s="231"/>
      <c r="C314" s="232" t="s">
        <v>30</v>
      </c>
      <c r="D314" s="108"/>
      <c r="E314" s="255"/>
      <c r="F314" s="255"/>
      <c r="G314" s="255"/>
      <c r="H314" s="255"/>
      <c r="I314" s="255"/>
      <c r="J314" s="255"/>
      <c r="K314" s="255"/>
      <c r="L314" s="255"/>
      <c r="M314" s="255"/>
      <c r="N314" s="255"/>
      <c r="O314" s="235" t="s">
        <v>30</v>
      </c>
      <c r="P314" s="236">
        <f>(E314*E299)+(F314*F299)+(G314*G299)+(H314*H299)+(I314*I299)+(J314*J299)+(K314*K299)+(L314*L299)+(M314*M299)+(N314*N299)</f>
        <v>0</v>
      </c>
      <c r="Q314" s="237" t="s">
        <v>31</v>
      </c>
      <c r="R314" s="238" t="b">
        <v>0</v>
      </c>
    </row>
    <row r="315" ht="13.5" customHeight="1">
      <c r="A315" s="68"/>
      <c r="B315" s="239" t="s">
        <v>49</v>
      </c>
      <c r="C315" s="232" t="s">
        <v>34</v>
      </c>
      <c r="D315" s="108"/>
      <c r="E315" s="256"/>
      <c r="F315" s="257"/>
      <c r="G315" s="257"/>
      <c r="H315" s="257"/>
      <c r="I315" s="257"/>
      <c r="J315" s="257"/>
      <c r="K315" s="257"/>
      <c r="L315" s="257"/>
      <c r="M315" s="257"/>
      <c r="N315" s="257"/>
      <c r="O315" s="243" t="s">
        <v>35</v>
      </c>
      <c r="P315" s="236">
        <f>(E315*E299)+(F315*F299)+(G315*G299)+(H315*H299)+(I315*I299)+(J315*J299)+(K315*K299)+(L315*L299)+(M315*M299)+(N315*N299)</f>
        <v>0</v>
      </c>
      <c r="Q315" s="237" t="s">
        <v>36</v>
      </c>
      <c r="R315" s="238" t="b">
        <v>0</v>
      </c>
    </row>
    <row r="316" ht="13.5" customHeight="1">
      <c r="A316" s="80"/>
      <c r="B316" s="245" t="str">
        <f>IFS(P316=0,"",B316&lt;&gt;"",B316,TRUE,NOW())</f>
        <v/>
      </c>
      <c r="C316" s="265" t="s">
        <v>37</v>
      </c>
      <c r="D316" s="117"/>
      <c r="E316" s="258"/>
      <c r="F316" s="258"/>
      <c r="G316" s="258"/>
      <c r="H316" s="258"/>
      <c r="I316" s="258"/>
      <c r="J316" s="258"/>
      <c r="K316" s="258"/>
      <c r="L316" s="258"/>
      <c r="M316" s="258"/>
      <c r="N316" s="258"/>
      <c r="O316" s="248" t="s">
        <v>38</v>
      </c>
      <c r="P316" s="249">
        <f>P315-P314</f>
        <v>0</v>
      </c>
      <c r="Q316" s="250" t="s">
        <v>39</v>
      </c>
      <c r="R316" s="260" t="b">
        <v>0</v>
      </c>
    </row>
    <row r="317" ht="15.0" customHeight="1">
      <c r="A317" s="261" t="s">
        <v>101</v>
      </c>
      <c r="B317" s="209" t="s">
        <v>20</v>
      </c>
      <c r="C317" s="24"/>
      <c r="D317" s="33"/>
      <c r="E317" s="262">
        <f t="shared" ref="E317:N317" si="86">E6</f>
        <v>16</v>
      </c>
      <c r="F317" s="262">
        <f t="shared" si="86"/>
        <v>26</v>
      </c>
      <c r="G317" s="263">
        <f t="shared" si="86"/>
        <v>26</v>
      </c>
      <c r="H317" s="264">
        <f t="shared" si="86"/>
        <v>26</v>
      </c>
      <c r="I317" s="213">
        <f t="shared" si="86"/>
        <v>31</v>
      </c>
      <c r="J317" s="346">
        <f t="shared" si="86"/>
        <v>36</v>
      </c>
      <c r="K317" s="346">
        <f t="shared" si="86"/>
        <v>30</v>
      </c>
      <c r="L317" s="346">
        <f t="shared" si="86"/>
        <v>35</v>
      </c>
      <c r="M317" s="346">
        <f t="shared" si="86"/>
        <v>40</v>
      </c>
      <c r="N317" s="263">
        <f t="shared" si="86"/>
        <v>15</v>
      </c>
      <c r="O317" s="214" t="s">
        <v>21</v>
      </c>
      <c r="P317" s="25"/>
      <c r="Q317" s="215" t="s">
        <v>22</v>
      </c>
      <c r="R317" s="10"/>
    </row>
    <row r="318" ht="13.5" customHeight="1">
      <c r="A318" s="216" t="s">
        <v>23</v>
      </c>
      <c r="B318" s="217" t="s">
        <v>24</v>
      </c>
      <c r="C318" s="218" t="s">
        <v>25</v>
      </c>
      <c r="D318" s="117"/>
      <c r="E318" s="219"/>
      <c r="F318" s="219"/>
      <c r="G318" s="219"/>
      <c r="H318" s="219"/>
      <c r="I318" s="220"/>
      <c r="J318" s="347"/>
      <c r="K318" s="347"/>
      <c r="L318" s="347"/>
      <c r="M318" s="347"/>
      <c r="N318" s="219"/>
      <c r="O318" s="49"/>
      <c r="P318" s="25"/>
      <c r="Q318" s="50"/>
      <c r="R318" s="10"/>
    </row>
    <row r="319" ht="13.5" customHeight="1">
      <c r="A319" s="221"/>
      <c r="B319" s="222" t="s">
        <v>102</v>
      </c>
      <c r="C319" s="223" t="s">
        <v>27</v>
      </c>
      <c r="D319" s="224"/>
      <c r="E319" s="225">
        <f t="shared" ref="E319:N319" si="87">E318-E320</f>
        <v>0</v>
      </c>
      <c r="F319" s="225">
        <f t="shared" si="87"/>
        <v>0</v>
      </c>
      <c r="G319" s="225">
        <f t="shared" si="87"/>
        <v>0</v>
      </c>
      <c r="H319" s="225">
        <f t="shared" si="87"/>
        <v>0</v>
      </c>
      <c r="I319" s="225">
        <f t="shared" si="87"/>
        <v>0</v>
      </c>
      <c r="J319" s="226">
        <f t="shared" si="87"/>
        <v>0</v>
      </c>
      <c r="K319" s="226">
        <f t="shared" si="87"/>
        <v>0</v>
      </c>
      <c r="L319" s="226">
        <f t="shared" si="87"/>
        <v>0</v>
      </c>
      <c r="M319" s="226">
        <f t="shared" si="87"/>
        <v>0</v>
      </c>
      <c r="N319" s="226">
        <f t="shared" si="87"/>
        <v>0</v>
      </c>
      <c r="O319" s="227"/>
      <c r="P319" s="30"/>
      <c r="Q319" s="228" t="s">
        <v>28</v>
      </c>
      <c r="R319" s="229" t="b">
        <v>0</v>
      </c>
    </row>
    <row r="320" ht="13.5" customHeight="1">
      <c r="A320" s="230" t="s">
        <v>29</v>
      </c>
      <c r="B320" s="231"/>
      <c r="C320" s="232" t="s">
        <v>30</v>
      </c>
      <c r="D320" s="108"/>
      <c r="E320" s="233"/>
      <c r="F320" s="233"/>
      <c r="G320" s="233"/>
      <c r="H320" s="233"/>
      <c r="I320" s="234"/>
      <c r="J320" s="234"/>
      <c r="K320" s="234"/>
      <c r="L320" s="234"/>
      <c r="M320" s="234"/>
      <c r="N320" s="233"/>
      <c r="O320" s="235" t="s">
        <v>30</v>
      </c>
      <c r="P320" s="236">
        <f>(E320*E317)+(F320*F317)+(G320*G317)+(H320*H317)+(I320*I317)+(J320*J317)+(K320*K317)+(L320*L317)+(M320*M317)+(N320*N317)</f>
        <v>0</v>
      </c>
      <c r="Q320" s="237" t="s">
        <v>31</v>
      </c>
      <c r="R320" s="238" t="b">
        <v>0</v>
      </c>
    </row>
    <row r="321" ht="13.5" customHeight="1">
      <c r="A321" s="221"/>
      <c r="B321" s="239" t="s">
        <v>33</v>
      </c>
      <c r="C321" s="232" t="s">
        <v>34</v>
      </c>
      <c r="D321" s="108"/>
      <c r="E321" s="240"/>
      <c r="F321" s="241"/>
      <c r="G321" s="241"/>
      <c r="H321" s="241"/>
      <c r="I321" s="242"/>
      <c r="J321" s="242"/>
      <c r="K321" s="242"/>
      <c r="L321" s="242"/>
      <c r="M321" s="242"/>
      <c r="N321" s="241"/>
      <c r="O321" s="243" t="s">
        <v>35</v>
      </c>
      <c r="P321" s="236">
        <f>(E321*E317)+(F321*F317)+(G321*G317)+(H321*H317)+(I321*I317)+(J321*J317)+(K321*K317)+(L321*L317)+(M321*M317)+(N321*N317)</f>
        <v>0</v>
      </c>
      <c r="Q321" s="244" t="s">
        <v>36</v>
      </c>
      <c r="R321" s="238" t="b">
        <v>0</v>
      </c>
    </row>
    <row r="322" ht="15.0" customHeight="1">
      <c r="A322" s="68"/>
      <c r="B322" s="245" t="str">
        <f>IFS(P322=0,"",B322&lt;&gt;"",B322,TRUE,NOW())</f>
        <v/>
      </c>
      <c r="C322" s="232" t="s">
        <v>37</v>
      </c>
      <c r="D322" s="108"/>
      <c r="E322" s="246"/>
      <c r="F322" s="246"/>
      <c r="G322" s="246"/>
      <c r="H322" s="246"/>
      <c r="I322" s="247"/>
      <c r="J322" s="247"/>
      <c r="K322" s="247"/>
      <c r="L322" s="247"/>
      <c r="M322" s="247"/>
      <c r="N322" s="246"/>
      <c r="O322" s="248" t="s">
        <v>38</v>
      </c>
      <c r="P322" s="249">
        <f>P321-P320</f>
        <v>0</v>
      </c>
      <c r="Q322" s="250" t="s">
        <v>39</v>
      </c>
      <c r="R322" s="238" t="b">
        <v>0</v>
      </c>
    </row>
    <row r="323" ht="13.5" customHeight="1">
      <c r="A323" s="230" t="s">
        <v>40</v>
      </c>
      <c r="B323" s="222" t="s">
        <v>102</v>
      </c>
      <c r="C323" s="223" t="s">
        <v>27</v>
      </c>
      <c r="D323" s="224"/>
      <c r="E323" s="225">
        <f t="shared" ref="E323:N323" si="88">E321-E324</f>
        <v>0</v>
      </c>
      <c r="F323" s="225">
        <f t="shared" si="88"/>
        <v>0</v>
      </c>
      <c r="G323" s="225">
        <f t="shared" si="88"/>
        <v>0</v>
      </c>
      <c r="H323" s="225">
        <f t="shared" si="88"/>
        <v>0</v>
      </c>
      <c r="I323" s="225">
        <f t="shared" si="88"/>
        <v>0</v>
      </c>
      <c r="J323" s="226">
        <f t="shared" si="88"/>
        <v>0</v>
      </c>
      <c r="K323" s="226">
        <f t="shared" si="88"/>
        <v>0</v>
      </c>
      <c r="L323" s="226">
        <f t="shared" si="88"/>
        <v>0</v>
      </c>
      <c r="M323" s="226">
        <f t="shared" si="88"/>
        <v>0</v>
      </c>
      <c r="N323" s="226">
        <f t="shared" si="88"/>
        <v>0</v>
      </c>
      <c r="O323" s="227"/>
      <c r="P323" s="30"/>
      <c r="Q323" s="228" t="s">
        <v>28</v>
      </c>
      <c r="R323" s="229" t="b">
        <v>0</v>
      </c>
    </row>
    <row r="324" ht="13.5" customHeight="1">
      <c r="A324" s="221"/>
      <c r="B324" s="231"/>
      <c r="C324" s="232" t="s">
        <v>30</v>
      </c>
      <c r="D324" s="108"/>
      <c r="E324" s="233"/>
      <c r="F324" s="233"/>
      <c r="G324" s="233"/>
      <c r="H324" s="233"/>
      <c r="I324" s="234"/>
      <c r="J324" s="348"/>
      <c r="K324" s="348"/>
      <c r="L324" s="348"/>
      <c r="M324" s="348"/>
      <c r="N324" s="251"/>
      <c r="O324" s="235" t="s">
        <v>30</v>
      </c>
      <c r="P324" s="236">
        <f>(E324*E317)+(F324*F317)+(G324*G317)+(H324*H317)+(I324*I317)+(J324*J317)+(K324*K317)+(L324*L317)+(M324*M317)+(N324*N317)</f>
        <v>0</v>
      </c>
      <c r="Q324" s="237" t="s">
        <v>31</v>
      </c>
      <c r="R324" s="238" t="b">
        <v>0</v>
      </c>
    </row>
    <row r="325" ht="13.5" customHeight="1">
      <c r="A325" s="68"/>
      <c r="B325" s="239" t="s">
        <v>42</v>
      </c>
      <c r="C325" s="232" t="s">
        <v>34</v>
      </c>
      <c r="D325" s="108"/>
      <c r="E325" s="240"/>
      <c r="F325" s="241"/>
      <c r="G325" s="241"/>
      <c r="H325" s="241"/>
      <c r="I325" s="242"/>
      <c r="J325" s="349"/>
      <c r="K325" s="349"/>
      <c r="L325" s="349"/>
      <c r="M325" s="349"/>
      <c r="N325" s="252"/>
      <c r="O325" s="243" t="s">
        <v>35</v>
      </c>
      <c r="P325" s="236">
        <f>(E325*E317)+(F325*F317)+(G325*G317)+(H325*H317)+(I325*I317)+(J325*J317)+(K325*K317)+(L325*L317)+(M325*M317)+(N325*N317)</f>
        <v>0</v>
      </c>
      <c r="Q325" s="237" t="s">
        <v>36</v>
      </c>
      <c r="R325" s="238" t="b">
        <v>0</v>
      </c>
    </row>
    <row r="326" ht="13.5" customHeight="1">
      <c r="A326" s="230" t="s">
        <v>43</v>
      </c>
      <c r="B326" s="245" t="str">
        <f>IFS(P326=0,"",B326&lt;&gt;"",B326,TRUE,NOW())</f>
        <v/>
      </c>
      <c r="C326" s="232" t="s">
        <v>37</v>
      </c>
      <c r="D326" s="108"/>
      <c r="E326" s="246"/>
      <c r="F326" s="246"/>
      <c r="G326" s="246"/>
      <c r="H326" s="246"/>
      <c r="I326" s="247"/>
      <c r="J326" s="350"/>
      <c r="K326" s="350"/>
      <c r="L326" s="350"/>
      <c r="M326" s="350"/>
      <c r="N326" s="253"/>
      <c r="O326" s="248" t="s">
        <v>38</v>
      </c>
      <c r="P326" s="249">
        <f>P325-P324</f>
        <v>0</v>
      </c>
      <c r="Q326" s="250" t="s">
        <v>39</v>
      </c>
      <c r="R326" s="238" t="b">
        <v>0</v>
      </c>
    </row>
    <row r="327" ht="15.0" customHeight="1">
      <c r="A327" s="230"/>
      <c r="B327" s="222" t="s">
        <v>102</v>
      </c>
      <c r="C327" s="223" t="s">
        <v>27</v>
      </c>
      <c r="D327" s="224"/>
      <c r="E327" s="254">
        <f t="shared" ref="E327:N327" si="89">E325-E328</f>
        <v>0</v>
      </c>
      <c r="F327" s="254">
        <f t="shared" si="89"/>
        <v>0</v>
      </c>
      <c r="G327" s="254">
        <f t="shared" si="89"/>
        <v>0</v>
      </c>
      <c r="H327" s="254">
        <f t="shared" si="89"/>
        <v>0</v>
      </c>
      <c r="I327" s="254">
        <f t="shared" si="89"/>
        <v>0</v>
      </c>
      <c r="J327" s="254">
        <f t="shared" si="89"/>
        <v>0</v>
      </c>
      <c r="K327" s="254">
        <f t="shared" si="89"/>
        <v>0</v>
      </c>
      <c r="L327" s="254">
        <f t="shared" si="89"/>
        <v>0</v>
      </c>
      <c r="M327" s="254">
        <f t="shared" si="89"/>
        <v>0</v>
      </c>
      <c r="N327" s="254">
        <f t="shared" si="89"/>
        <v>0</v>
      </c>
      <c r="O327" s="227"/>
      <c r="P327" s="30"/>
      <c r="Q327" s="228" t="s">
        <v>28</v>
      </c>
      <c r="R327" s="229" t="b">
        <v>0</v>
      </c>
    </row>
    <row r="328" ht="13.5" customHeight="1">
      <c r="A328" s="230" t="s">
        <v>45</v>
      </c>
      <c r="B328" s="231"/>
      <c r="C328" s="232" t="s">
        <v>30</v>
      </c>
      <c r="D328" s="108"/>
      <c r="E328" s="255"/>
      <c r="F328" s="255"/>
      <c r="G328" s="255"/>
      <c r="H328" s="255"/>
      <c r="I328" s="255"/>
      <c r="J328" s="255"/>
      <c r="K328" s="255"/>
      <c r="L328" s="255"/>
      <c r="M328" s="255"/>
      <c r="N328" s="255"/>
      <c r="O328" s="235" t="s">
        <v>30</v>
      </c>
      <c r="P328" s="236">
        <f>(E328*E317)+(F328*F317)+(G328*G317)+(H328*H317)+(I328*I317)+(J328*J317)+(K328*K317)+(L328*L317)+(M328*M317)+(N328*N317)</f>
        <v>0</v>
      </c>
      <c r="Q328" s="237" t="s">
        <v>31</v>
      </c>
      <c r="R328" s="238" t="b">
        <v>0</v>
      </c>
    </row>
    <row r="329" ht="13.5" customHeight="1">
      <c r="A329" s="221"/>
      <c r="B329" s="239" t="s">
        <v>47</v>
      </c>
      <c r="C329" s="232" t="s">
        <v>34</v>
      </c>
      <c r="D329" s="108"/>
      <c r="E329" s="256"/>
      <c r="F329" s="257"/>
      <c r="G329" s="257"/>
      <c r="H329" s="257"/>
      <c r="I329" s="257"/>
      <c r="J329" s="257"/>
      <c r="K329" s="257"/>
      <c r="L329" s="257"/>
      <c r="M329" s="257"/>
      <c r="N329" s="257"/>
      <c r="O329" s="243" t="s">
        <v>35</v>
      </c>
      <c r="P329" s="236">
        <f>(E329*E317)+(F329*F317)+(G329*G317)+(H329*H317)+(I329*I317)+(J329*J317)+(K329*K317)+(L329*L317)+(M329*M317)+(N329*N317)</f>
        <v>0</v>
      </c>
      <c r="Q329" s="237" t="s">
        <v>36</v>
      </c>
      <c r="R329" s="238" t="b">
        <v>0</v>
      </c>
    </row>
    <row r="330" ht="13.5" customHeight="1">
      <c r="A330" s="68"/>
      <c r="B330" s="245" t="str">
        <f>IFS(P330=0,"",B330&lt;&gt;"",B330,TRUE,NOW())</f>
        <v/>
      </c>
      <c r="C330" s="232" t="s">
        <v>37</v>
      </c>
      <c r="D330" s="108"/>
      <c r="E330" s="258"/>
      <c r="F330" s="258"/>
      <c r="G330" s="258"/>
      <c r="H330" s="258"/>
      <c r="I330" s="258"/>
      <c r="J330" s="258"/>
      <c r="K330" s="258"/>
      <c r="L330" s="258"/>
      <c r="M330" s="258"/>
      <c r="N330" s="258"/>
      <c r="O330" s="248" t="s">
        <v>38</v>
      </c>
      <c r="P330" s="249">
        <f>P329-P328</f>
        <v>0</v>
      </c>
      <c r="Q330" s="250" t="s">
        <v>39</v>
      </c>
      <c r="R330" s="238" t="b">
        <v>0</v>
      </c>
    </row>
    <row r="331" ht="13.5" customHeight="1">
      <c r="A331" s="259" t="s">
        <v>48</v>
      </c>
      <c r="B331" s="222" t="s">
        <v>102</v>
      </c>
      <c r="C331" s="223" t="s">
        <v>27</v>
      </c>
      <c r="D331" s="224"/>
      <c r="E331" s="254">
        <f t="shared" ref="E331:N331" si="90">E329-E332</f>
        <v>0</v>
      </c>
      <c r="F331" s="254">
        <f t="shared" si="90"/>
        <v>0</v>
      </c>
      <c r="G331" s="254">
        <f t="shared" si="90"/>
        <v>0</v>
      </c>
      <c r="H331" s="254">
        <f t="shared" si="90"/>
        <v>0</v>
      </c>
      <c r="I331" s="254">
        <f t="shared" si="90"/>
        <v>0</v>
      </c>
      <c r="J331" s="254">
        <f t="shared" si="90"/>
        <v>0</v>
      </c>
      <c r="K331" s="254">
        <f t="shared" si="90"/>
        <v>0</v>
      </c>
      <c r="L331" s="254">
        <f t="shared" si="90"/>
        <v>0</v>
      </c>
      <c r="M331" s="254">
        <f t="shared" si="90"/>
        <v>0</v>
      </c>
      <c r="N331" s="254">
        <f t="shared" si="90"/>
        <v>0</v>
      </c>
      <c r="O331" s="227"/>
      <c r="P331" s="30"/>
      <c r="Q331" s="228" t="s">
        <v>28</v>
      </c>
      <c r="R331" s="229" t="b">
        <v>0</v>
      </c>
    </row>
    <row r="332" ht="15.0" customHeight="1">
      <c r="A332" s="87"/>
      <c r="B332" s="231"/>
      <c r="C332" s="232" t="s">
        <v>30</v>
      </c>
      <c r="D332" s="108"/>
      <c r="E332" s="255"/>
      <c r="F332" s="255"/>
      <c r="G332" s="255"/>
      <c r="H332" s="255"/>
      <c r="I332" s="255"/>
      <c r="J332" s="255"/>
      <c r="K332" s="255"/>
      <c r="L332" s="255"/>
      <c r="M332" s="255"/>
      <c r="N332" s="255"/>
      <c r="O332" s="235" t="s">
        <v>30</v>
      </c>
      <c r="P332" s="236">
        <f>(E332*E317)+(F332*F317)+(G332*G317)+(H332*H317)+(I332*I317)+(J332*J317)+(K332*K317)+(L332*L317)+(M332*M317)+(N332*N317)</f>
        <v>0</v>
      </c>
      <c r="Q332" s="237" t="s">
        <v>31</v>
      </c>
      <c r="R332" s="238" t="b">
        <v>0</v>
      </c>
    </row>
    <row r="333" ht="13.5" customHeight="1">
      <c r="A333" s="68"/>
      <c r="B333" s="239" t="s">
        <v>49</v>
      </c>
      <c r="C333" s="232" t="s">
        <v>34</v>
      </c>
      <c r="D333" s="108"/>
      <c r="E333" s="256"/>
      <c r="F333" s="257"/>
      <c r="G333" s="257"/>
      <c r="H333" s="257"/>
      <c r="I333" s="257"/>
      <c r="J333" s="257"/>
      <c r="K333" s="257"/>
      <c r="L333" s="257"/>
      <c r="M333" s="257"/>
      <c r="N333" s="257"/>
      <c r="O333" s="243" t="s">
        <v>35</v>
      </c>
      <c r="P333" s="236">
        <f>(E333*E317)+(F333*F317)+(G333*G317)+(H333*H317)+(I333*I317)+(J333*J317)+(K333*K317)+(L333*L317)+(M333*M317)+(N333*N317)</f>
        <v>0</v>
      </c>
      <c r="Q333" s="237" t="s">
        <v>36</v>
      </c>
      <c r="R333" s="238" t="b">
        <v>0</v>
      </c>
    </row>
    <row r="334" ht="13.5" customHeight="1">
      <c r="A334" s="80"/>
      <c r="B334" s="245" t="str">
        <f>IFS(P334=0,"",B334&lt;&gt;"",B334,TRUE,NOW())</f>
        <v/>
      </c>
      <c r="C334" s="265" t="s">
        <v>37</v>
      </c>
      <c r="D334" s="117"/>
      <c r="E334" s="258"/>
      <c r="F334" s="258"/>
      <c r="G334" s="258"/>
      <c r="H334" s="258"/>
      <c r="I334" s="258"/>
      <c r="J334" s="258"/>
      <c r="K334" s="258"/>
      <c r="L334" s="258"/>
      <c r="M334" s="258"/>
      <c r="N334" s="258"/>
      <c r="O334" s="248" t="s">
        <v>38</v>
      </c>
      <c r="P334" s="249">
        <f>P333-P332</f>
        <v>0</v>
      </c>
      <c r="Q334" s="250" t="s">
        <v>39</v>
      </c>
      <c r="R334" s="260" t="b">
        <v>0</v>
      </c>
    </row>
    <row r="335" ht="13.5" customHeight="1">
      <c r="A335" s="261" t="s">
        <v>103</v>
      </c>
      <c r="B335" s="209" t="s">
        <v>20</v>
      </c>
      <c r="C335" s="24"/>
      <c r="D335" s="33"/>
      <c r="E335" s="262">
        <f t="shared" ref="E335:N335" si="91">E6</f>
        <v>16</v>
      </c>
      <c r="F335" s="262">
        <f t="shared" si="91"/>
        <v>26</v>
      </c>
      <c r="G335" s="263">
        <f t="shared" si="91"/>
        <v>26</v>
      </c>
      <c r="H335" s="264">
        <f t="shared" si="91"/>
        <v>26</v>
      </c>
      <c r="I335" s="213">
        <f t="shared" si="91"/>
        <v>31</v>
      </c>
      <c r="J335" s="346">
        <f t="shared" si="91"/>
        <v>36</v>
      </c>
      <c r="K335" s="346">
        <f t="shared" si="91"/>
        <v>30</v>
      </c>
      <c r="L335" s="346">
        <f t="shared" si="91"/>
        <v>35</v>
      </c>
      <c r="M335" s="346">
        <f t="shared" si="91"/>
        <v>40</v>
      </c>
      <c r="N335" s="263">
        <f t="shared" si="91"/>
        <v>15</v>
      </c>
      <c r="O335" s="214" t="s">
        <v>21</v>
      </c>
      <c r="P335" s="25"/>
      <c r="Q335" s="215" t="s">
        <v>22</v>
      </c>
      <c r="R335" s="10"/>
    </row>
    <row r="336" ht="13.5" customHeight="1">
      <c r="A336" s="216" t="s">
        <v>23</v>
      </c>
      <c r="B336" s="217" t="s">
        <v>24</v>
      </c>
      <c r="C336" s="218" t="s">
        <v>25</v>
      </c>
      <c r="D336" s="117"/>
      <c r="E336" s="219"/>
      <c r="F336" s="219"/>
      <c r="G336" s="219"/>
      <c r="H336" s="219"/>
      <c r="I336" s="220"/>
      <c r="J336" s="347"/>
      <c r="K336" s="347"/>
      <c r="L336" s="347"/>
      <c r="M336" s="347"/>
      <c r="N336" s="219"/>
      <c r="O336" s="49"/>
      <c r="P336" s="25"/>
      <c r="Q336" s="50"/>
      <c r="R336" s="10"/>
    </row>
    <row r="337" ht="13.5" customHeight="1">
      <c r="A337" s="221"/>
      <c r="B337" s="222" t="s">
        <v>104</v>
      </c>
      <c r="C337" s="223" t="s">
        <v>27</v>
      </c>
      <c r="D337" s="224"/>
      <c r="E337" s="225">
        <f t="shared" ref="E337:N337" si="92">E336-E338</f>
        <v>0</v>
      </c>
      <c r="F337" s="225">
        <f t="shared" si="92"/>
        <v>0</v>
      </c>
      <c r="G337" s="225">
        <f t="shared" si="92"/>
        <v>0</v>
      </c>
      <c r="H337" s="225">
        <f t="shared" si="92"/>
        <v>0</v>
      </c>
      <c r="I337" s="225">
        <f t="shared" si="92"/>
        <v>0</v>
      </c>
      <c r="J337" s="226">
        <f t="shared" si="92"/>
        <v>0</v>
      </c>
      <c r="K337" s="226">
        <f t="shared" si="92"/>
        <v>0</v>
      </c>
      <c r="L337" s="226">
        <f t="shared" si="92"/>
        <v>0</v>
      </c>
      <c r="M337" s="226">
        <f t="shared" si="92"/>
        <v>0</v>
      </c>
      <c r="N337" s="226">
        <f t="shared" si="92"/>
        <v>0</v>
      </c>
      <c r="O337" s="227"/>
      <c r="P337" s="30"/>
      <c r="Q337" s="228" t="s">
        <v>28</v>
      </c>
      <c r="R337" s="229" t="b">
        <v>0</v>
      </c>
    </row>
    <row r="338" ht="13.5" customHeight="1">
      <c r="A338" s="230" t="s">
        <v>29</v>
      </c>
      <c r="B338" s="231"/>
      <c r="C338" s="232" t="s">
        <v>30</v>
      </c>
      <c r="D338" s="108"/>
      <c r="E338" s="233"/>
      <c r="F338" s="233"/>
      <c r="G338" s="233"/>
      <c r="H338" s="233"/>
      <c r="I338" s="234"/>
      <c r="J338" s="234"/>
      <c r="K338" s="234"/>
      <c r="L338" s="234"/>
      <c r="M338" s="234"/>
      <c r="N338" s="233"/>
      <c r="O338" s="235" t="s">
        <v>30</v>
      </c>
      <c r="P338" s="236">
        <f>(E338*E335)+(F338*F335)+(G338*G335)+(H338*H335)+(I338*I335)+(J338*J335)+(K338*K335)+(L338*L335)+(M338*M335)+(N338*N335)</f>
        <v>0</v>
      </c>
      <c r="Q338" s="237" t="s">
        <v>31</v>
      </c>
      <c r="R338" s="238" t="b">
        <v>0</v>
      </c>
    </row>
    <row r="339" ht="15.0" customHeight="1">
      <c r="A339" s="221"/>
      <c r="B339" s="239" t="s">
        <v>33</v>
      </c>
      <c r="C339" s="232" t="s">
        <v>34</v>
      </c>
      <c r="D339" s="108"/>
      <c r="E339" s="240"/>
      <c r="F339" s="241"/>
      <c r="G339" s="241"/>
      <c r="H339" s="241"/>
      <c r="I339" s="242"/>
      <c r="J339" s="242"/>
      <c r="K339" s="242"/>
      <c r="L339" s="242"/>
      <c r="M339" s="242"/>
      <c r="N339" s="241"/>
      <c r="O339" s="243" t="s">
        <v>35</v>
      </c>
      <c r="P339" s="236">
        <f>(E339*E335)+(F339*F335)+(G339*G335)+(H339*H335)+(I339*I335)+(J339*J335)+(K339*K335)+(L339*L335)+(M339*M335)+(N339*N335)</f>
        <v>0</v>
      </c>
      <c r="Q339" s="244" t="s">
        <v>36</v>
      </c>
      <c r="R339" s="238" t="b">
        <v>0</v>
      </c>
    </row>
    <row r="340" ht="13.5" customHeight="1">
      <c r="A340" s="68"/>
      <c r="B340" s="245" t="str">
        <f>IFS(P340=0,"",B340&lt;&gt;"",B340,TRUE,NOW())</f>
        <v/>
      </c>
      <c r="C340" s="232" t="s">
        <v>37</v>
      </c>
      <c r="D340" s="108"/>
      <c r="E340" s="246"/>
      <c r="F340" s="246"/>
      <c r="G340" s="246"/>
      <c r="H340" s="246"/>
      <c r="I340" s="247"/>
      <c r="J340" s="247"/>
      <c r="K340" s="247"/>
      <c r="L340" s="247"/>
      <c r="M340" s="247"/>
      <c r="N340" s="246"/>
      <c r="O340" s="248" t="s">
        <v>38</v>
      </c>
      <c r="P340" s="249">
        <f>P339-P338</f>
        <v>0</v>
      </c>
      <c r="Q340" s="250" t="s">
        <v>39</v>
      </c>
      <c r="R340" s="238" t="b">
        <v>0</v>
      </c>
    </row>
    <row r="341" ht="13.5" customHeight="1">
      <c r="A341" s="230" t="s">
        <v>40</v>
      </c>
      <c r="B341" s="222" t="s">
        <v>104</v>
      </c>
      <c r="C341" s="223" t="s">
        <v>27</v>
      </c>
      <c r="D341" s="224"/>
      <c r="E341" s="225">
        <f t="shared" ref="E341:N341" si="93">E339-E342</f>
        <v>0</v>
      </c>
      <c r="F341" s="225">
        <f t="shared" si="93"/>
        <v>0</v>
      </c>
      <c r="G341" s="225">
        <f t="shared" si="93"/>
        <v>0</v>
      </c>
      <c r="H341" s="225">
        <f t="shared" si="93"/>
        <v>0</v>
      </c>
      <c r="I341" s="225">
        <f t="shared" si="93"/>
        <v>0</v>
      </c>
      <c r="J341" s="226">
        <f t="shared" si="93"/>
        <v>0</v>
      </c>
      <c r="K341" s="226">
        <f t="shared" si="93"/>
        <v>0</v>
      </c>
      <c r="L341" s="226">
        <f t="shared" si="93"/>
        <v>0</v>
      </c>
      <c r="M341" s="226">
        <f t="shared" si="93"/>
        <v>0</v>
      </c>
      <c r="N341" s="226">
        <f t="shared" si="93"/>
        <v>0</v>
      </c>
      <c r="O341" s="227"/>
      <c r="P341" s="30"/>
      <c r="Q341" s="228" t="s">
        <v>28</v>
      </c>
      <c r="R341" s="229" t="b">
        <v>0</v>
      </c>
    </row>
    <row r="342" ht="13.5" customHeight="1">
      <c r="A342" s="221"/>
      <c r="B342" s="231"/>
      <c r="C342" s="232" t="s">
        <v>30</v>
      </c>
      <c r="D342" s="108"/>
      <c r="E342" s="233"/>
      <c r="F342" s="233"/>
      <c r="G342" s="233"/>
      <c r="H342" s="233"/>
      <c r="I342" s="234"/>
      <c r="J342" s="348"/>
      <c r="K342" s="348"/>
      <c r="L342" s="348"/>
      <c r="M342" s="348"/>
      <c r="N342" s="251"/>
      <c r="O342" s="235" t="s">
        <v>30</v>
      </c>
      <c r="P342" s="236">
        <f>(E342*E335)+(F342*F335)+(G342*G335)+(H342*H335)+(I342*I335)+(J342*J335)+(K342*K335)+(L342*L335)+(M342*M335)+(N342*N335)</f>
        <v>0</v>
      </c>
      <c r="Q342" s="237" t="s">
        <v>31</v>
      </c>
      <c r="R342" s="238" t="b">
        <v>0</v>
      </c>
    </row>
    <row r="343" ht="13.5" customHeight="1">
      <c r="A343" s="68"/>
      <c r="B343" s="239" t="s">
        <v>42</v>
      </c>
      <c r="C343" s="232" t="s">
        <v>34</v>
      </c>
      <c r="D343" s="108"/>
      <c r="E343" s="240"/>
      <c r="F343" s="241"/>
      <c r="G343" s="241"/>
      <c r="H343" s="241"/>
      <c r="I343" s="242"/>
      <c r="J343" s="349"/>
      <c r="K343" s="349"/>
      <c r="L343" s="349"/>
      <c r="M343" s="349"/>
      <c r="N343" s="252"/>
      <c r="O343" s="243" t="s">
        <v>35</v>
      </c>
      <c r="P343" s="236">
        <f>(E343*E335)+(F343*F335)+(G343*G335)+(H343*H335)+(I343*I335)+(J343*J335)+(K343*K335)+(L343*L335)+(M343*M335)+(N343*N335)</f>
        <v>0</v>
      </c>
      <c r="Q343" s="237" t="s">
        <v>36</v>
      </c>
      <c r="R343" s="238" t="b">
        <v>0</v>
      </c>
    </row>
    <row r="344" ht="15.0" customHeight="1">
      <c r="A344" s="230" t="s">
        <v>43</v>
      </c>
      <c r="B344" s="245" t="str">
        <f>IFS(P344=0,"",B344&lt;&gt;"",B344,TRUE,NOW())</f>
        <v/>
      </c>
      <c r="C344" s="232" t="s">
        <v>37</v>
      </c>
      <c r="D344" s="108"/>
      <c r="E344" s="246"/>
      <c r="F344" s="246"/>
      <c r="G344" s="246"/>
      <c r="H344" s="246"/>
      <c r="I344" s="247"/>
      <c r="J344" s="350"/>
      <c r="K344" s="350"/>
      <c r="L344" s="350"/>
      <c r="M344" s="350"/>
      <c r="N344" s="253"/>
      <c r="O344" s="248" t="s">
        <v>38</v>
      </c>
      <c r="P344" s="249">
        <f>P343-P342</f>
        <v>0</v>
      </c>
      <c r="Q344" s="250" t="s">
        <v>39</v>
      </c>
      <c r="R344" s="238" t="b">
        <v>0</v>
      </c>
    </row>
    <row r="345" ht="13.5" customHeight="1">
      <c r="A345" s="230"/>
      <c r="B345" s="222" t="s">
        <v>104</v>
      </c>
      <c r="C345" s="223" t="s">
        <v>27</v>
      </c>
      <c r="D345" s="224"/>
      <c r="E345" s="254">
        <f t="shared" ref="E345:N345" si="94">E343-E346</f>
        <v>0</v>
      </c>
      <c r="F345" s="254">
        <f t="shared" si="94"/>
        <v>0</v>
      </c>
      <c r="G345" s="254">
        <f t="shared" si="94"/>
        <v>0</v>
      </c>
      <c r="H345" s="254">
        <f t="shared" si="94"/>
        <v>0</v>
      </c>
      <c r="I345" s="254">
        <f t="shared" si="94"/>
        <v>0</v>
      </c>
      <c r="J345" s="254">
        <f t="shared" si="94"/>
        <v>0</v>
      </c>
      <c r="K345" s="254">
        <f t="shared" si="94"/>
        <v>0</v>
      </c>
      <c r="L345" s="254">
        <f t="shared" si="94"/>
        <v>0</v>
      </c>
      <c r="M345" s="254">
        <f t="shared" si="94"/>
        <v>0</v>
      </c>
      <c r="N345" s="254">
        <f t="shared" si="94"/>
        <v>0</v>
      </c>
      <c r="O345" s="227"/>
      <c r="P345" s="30"/>
      <c r="Q345" s="228" t="s">
        <v>28</v>
      </c>
      <c r="R345" s="229" t="b">
        <v>0</v>
      </c>
    </row>
    <row r="346" ht="13.5" customHeight="1">
      <c r="A346" s="230" t="s">
        <v>45</v>
      </c>
      <c r="B346" s="231"/>
      <c r="C346" s="232" t="s">
        <v>30</v>
      </c>
      <c r="D346" s="108"/>
      <c r="E346" s="255"/>
      <c r="F346" s="255"/>
      <c r="G346" s="255"/>
      <c r="H346" s="255"/>
      <c r="I346" s="255"/>
      <c r="J346" s="255"/>
      <c r="K346" s="255"/>
      <c r="L346" s="255"/>
      <c r="M346" s="255"/>
      <c r="N346" s="255"/>
      <c r="O346" s="235" t="s">
        <v>30</v>
      </c>
      <c r="P346" s="236">
        <f>(E346*E335)+(F346*F335)+(G346*G335)+(H346*H335)+(I346*I335)+(J346*J335)+(K346*K335)+(L346*L335)+(M346*M335)+(N346*N335)</f>
        <v>0</v>
      </c>
      <c r="Q346" s="237" t="s">
        <v>31</v>
      </c>
      <c r="R346" s="238" t="b">
        <v>0</v>
      </c>
    </row>
    <row r="347" ht="13.5" customHeight="1">
      <c r="A347" s="221"/>
      <c r="B347" s="239" t="s">
        <v>47</v>
      </c>
      <c r="C347" s="232" t="s">
        <v>34</v>
      </c>
      <c r="D347" s="108"/>
      <c r="E347" s="256"/>
      <c r="F347" s="257"/>
      <c r="G347" s="257"/>
      <c r="H347" s="257"/>
      <c r="I347" s="257"/>
      <c r="J347" s="257"/>
      <c r="K347" s="257"/>
      <c r="L347" s="257"/>
      <c r="M347" s="257"/>
      <c r="N347" s="257"/>
      <c r="O347" s="243" t="s">
        <v>35</v>
      </c>
      <c r="P347" s="236">
        <f>(E347*E335)+(F347*F335)+(G347*G335)+(H347*H335)+(I347*I335)+(J347*J335)+(K347*K335)+(L347*L335)+(M347*M335)+(N347*N335)</f>
        <v>0</v>
      </c>
      <c r="Q347" s="237" t="s">
        <v>36</v>
      </c>
      <c r="R347" s="238" t="b">
        <v>0</v>
      </c>
    </row>
    <row r="348" ht="13.5" customHeight="1">
      <c r="A348" s="68"/>
      <c r="B348" s="245" t="str">
        <f>IFS(P348=0,"",B348&lt;&gt;"",B348,TRUE,NOW())</f>
        <v/>
      </c>
      <c r="C348" s="232" t="s">
        <v>37</v>
      </c>
      <c r="D348" s="108"/>
      <c r="E348" s="258"/>
      <c r="F348" s="258"/>
      <c r="G348" s="258"/>
      <c r="H348" s="258"/>
      <c r="I348" s="258"/>
      <c r="J348" s="258"/>
      <c r="K348" s="258"/>
      <c r="L348" s="258"/>
      <c r="M348" s="258"/>
      <c r="N348" s="258"/>
      <c r="O348" s="248" t="s">
        <v>38</v>
      </c>
      <c r="P348" s="249">
        <f>P347-P346</f>
        <v>0</v>
      </c>
      <c r="Q348" s="250" t="s">
        <v>39</v>
      </c>
      <c r="R348" s="238" t="b">
        <v>0</v>
      </c>
    </row>
    <row r="349" ht="15.0" customHeight="1">
      <c r="A349" s="259" t="s">
        <v>48</v>
      </c>
      <c r="B349" s="222" t="s">
        <v>104</v>
      </c>
      <c r="C349" s="223" t="s">
        <v>27</v>
      </c>
      <c r="D349" s="224"/>
      <c r="E349" s="254">
        <f t="shared" ref="E349:N349" si="95">E347-E350</f>
        <v>0</v>
      </c>
      <c r="F349" s="254">
        <f t="shared" si="95"/>
        <v>0</v>
      </c>
      <c r="G349" s="254">
        <f t="shared" si="95"/>
        <v>0</v>
      </c>
      <c r="H349" s="254">
        <f t="shared" si="95"/>
        <v>0</v>
      </c>
      <c r="I349" s="254">
        <f t="shared" si="95"/>
        <v>0</v>
      </c>
      <c r="J349" s="254">
        <f t="shared" si="95"/>
        <v>0</v>
      </c>
      <c r="K349" s="254">
        <f t="shared" si="95"/>
        <v>0</v>
      </c>
      <c r="L349" s="254">
        <f t="shared" si="95"/>
        <v>0</v>
      </c>
      <c r="M349" s="254">
        <f t="shared" si="95"/>
        <v>0</v>
      </c>
      <c r="N349" s="254">
        <f t="shared" si="95"/>
        <v>0</v>
      </c>
      <c r="O349" s="227"/>
      <c r="P349" s="30"/>
      <c r="Q349" s="228" t="s">
        <v>28</v>
      </c>
      <c r="R349" s="229" t="b">
        <v>0</v>
      </c>
    </row>
    <row r="350" ht="13.5" customHeight="1">
      <c r="A350" s="87"/>
      <c r="B350" s="231"/>
      <c r="C350" s="232" t="s">
        <v>30</v>
      </c>
      <c r="D350" s="108"/>
      <c r="E350" s="255"/>
      <c r="F350" s="255"/>
      <c r="G350" s="255"/>
      <c r="H350" s="255"/>
      <c r="I350" s="255"/>
      <c r="J350" s="255"/>
      <c r="K350" s="255"/>
      <c r="L350" s="255"/>
      <c r="M350" s="255"/>
      <c r="N350" s="255"/>
      <c r="O350" s="235" t="s">
        <v>30</v>
      </c>
      <c r="P350" s="236">
        <f>(E350*E335)+(F350*F335)+(G350*G335)+(H350*H335)+(I350*I335)+(J350*J335)+(K350*K335)+(L350*L335)+(M350*M335)+(N350*N335)</f>
        <v>0</v>
      </c>
      <c r="Q350" s="237" t="s">
        <v>31</v>
      </c>
      <c r="R350" s="238" t="b">
        <v>0</v>
      </c>
    </row>
    <row r="351" ht="13.5" customHeight="1">
      <c r="A351" s="68"/>
      <c r="B351" s="239" t="s">
        <v>49</v>
      </c>
      <c r="C351" s="232" t="s">
        <v>34</v>
      </c>
      <c r="D351" s="108"/>
      <c r="E351" s="256"/>
      <c r="F351" s="257"/>
      <c r="G351" s="257"/>
      <c r="H351" s="257"/>
      <c r="I351" s="257"/>
      <c r="J351" s="257"/>
      <c r="K351" s="257"/>
      <c r="L351" s="257"/>
      <c r="M351" s="257"/>
      <c r="N351" s="257"/>
      <c r="O351" s="243" t="s">
        <v>35</v>
      </c>
      <c r="P351" s="236">
        <f>(E351*E335)+(F351*F335)+(G351*G335)+(H351*H335)+(I351*I335)+(J351*J335)+(K351*K335)+(L351*L335)+(M351*M335)+(N351*N335)</f>
        <v>0</v>
      </c>
      <c r="Q351" s="237" t="s">
        <v>36</v>
      </c>
      <c r="R351" s="238" t="b">
        <v>0</v>
      </c>
    </row>
    <row r="352" ht="13.5" customHeight="1">
      <c r="A352" s="80"/>
      <c r="B352" s="245" t="str">
        <f>IFS(P352=0,"",B352&lt;&gt;"",B352,TRUE,NOW())</f>
        <v/>
      </c>
      <c r="C352" s="232" t="s">
        <v>37</v>
      </c>
      <c r="D352" s="108"/>
      <c r="E352" s="258"/>
      <c r="F352" s="258"/>
      <c r="G352" s="258"/>
      <c r="H352" s="258"/>
      <c r="I352" s="258"/>
      <c r="J352" s="258"/>
      <c r="K352" s="258"/>
      <c r="L352" s="258"/>
      <c r="M352" s="258"/>
      <c r="N352" s="258"/>
      <c r="O352" s="248" t="s">
        <v>38</v>
      </c>
      <c r="P352" s="249">
        <f>P351-P350</f>
        <v>0</v>
      </c>
      <c r="Q352" s="250" t="s">
        <v>39</v>
      </c>
      <c r="R352" s="260" t="b">
        <v>0</v>
      </c>
    </row>
    <row r="353" ht="13.5" customHeight="1">
      <c r="A353" s="261" t="s">
        <v>105</v>
      </c>
      <c r="B353" s="209" t="s">
        <v>20</v>
      </c>
      <c r="C353" s="24"/>
      <c r="D353" s="33"/>
      <c r="E353" s="262">
        <f t="shared" ref="E353:N353" si="96">E6</f>
        <v>16</v>
      </c>
      <c r="F353" s="262">
        <f t="shared" si="96"/>
        <v>26</v>
      </c>
      <c r="G353" s="263">
        <f t="shared" si="96"/>
        <v>26</v>
      </c>
      <c r="H353" s="264">
        <f t="shared" si="96"/>
        <v>26</v>
      </c>
      <c r="I353" s="213">
        <f t="shared" si="96"/>
        <v>31</v>
      </c>
      <c r="J353" s="346">
        <f t="shared" si="96"/>
        <v>36</v>
      </c>
      <c r="K353" s="346">
        <f t="shared" si="96"/>
        <v>30</v>
      </c>
      <c r="L353" s="346">
        <f t="shared" si="96"/>
        <v>35</v>
      </c>
      <c r="M353" s="346">
        <f t="shared" si="96"/>
        <v>40</v>
      </c>
      <c r="N353" s="263">
        <f t="shared" si="96"/>
        <v>15</v>
      </c>
      <c r="O353" s="214" t="s">
        <v>21</v>
      </c>
      <c r="P353" s="25"/>
      <c r="Q353" s="215" t="s">
        <v>22</v>
      </c>
      <c r="R353" s="10"/>
    </row>
    <row r="354" ht="18.0" customHeight="1">
      <c r="A354" s="216" t="s">
        <v>23</v>
      </c>
      <c r="B354" s="217" t="s">
        <v>24</v>
      </c>
      <c r="C354" s="218" t="s">
        <v>25</v>
      </c>
      <c r="D354" s="117"/>
      <c r="E354" s="219"/>
      <c r="F354" s="219"/>
      <c r="G354" s="219"/>
      <c r="H354" s="219"/>
      <c r="I354" s="220"/>
      <c r="J354" s="347"/>
      <c r="K354" s="347"/>
      <c r="L354" s="347"/>
      <c r="M354" s="347"/>
      <c r="N354" s="219"/>
      <c r="O354" s="49"/>
      <c r="P354" s="25"/>
      <c r="Q354" s="50"/>
      <c r="R354" s="10"/>
    </row>
    <row r="355" ht="13.5" customHeight="1">
      <c r="A355" s="221"/>
      <c r="B355" s="222" t="s">
        <v>106</v>
      </c>
      <c r="C355" s="223" t="s">
        <v>27</v>
      </c>
      <c r="D355" s="224"/>
      <c r="E355" s="225">
        <f t="shared" ref="E355:N355" si="97">E354-E356</f>
        <v>0</v>
      </c>
      <c r="F355" s="225">
        <f t="shared" si="97"/>
        <v>0</v>
      </c>
      <c r="G355" s="225">
        <f t="shared" si="97"/>
        <v>0</v>
      </c>
      <c r="H355" s="225">
        <f t="shared" si="97"/>
        <v>0</v>
      </c>
      <c r="I355" s="225">
        <f t="shared" si="97"/>
        <v>0</v>
      </c>
      <c r="J355" s="226">
        <f t="shared" si="97"/>
        <v>0</v>
      </c>
      <c r="K355" s="226">
        <f t="shared" si="97"/>
        <v>0</v>
      </c>
      <c r="L355" s="226">
        <f t="shared" si="97"/>
        <v>0</v>
      </c>
      <c r="M355" s="226">
        <f t="shared" si="97"/>
        <v>0</v>
      </c>
      <c r="N355" s="226">
        <f t="shared" si="97"/>
        <v>0</v>
      </c>
      <c r="O355" s="227"/>
      <c r="P355" s="30"/>
      <c r="Q355" s="228" t="s">
        <v>28</v>
      </c>
      <c r="R355" s="229" t="b">
        <v>0</v>
      </c>
    </row>
    <row r="356" ht="13.5" customHeight="1">
      <c r="A356" s="230" t="s">
        <v>29</v>
      </c>
      <c r="B356" s="231"/>
      <c r="C356" s="232" t="s">
        <v>30</v>
      </c>
      <c r="D356" s="108"/>
      <c r="E356" s="233"/>
      <c r="F356" s="233"/>
      <c r="G356" s="233"/>
      <c r="H356" s="233"/>
      <c r="I356" s="234"/>
      <c r="J356" s="234"/>
      <c r="K356" s="234"/>
      <c r="L356" s="234"/>
      <c r="M356" s="234"/>
      <c r="N356" s="233"/>
      <c r="O356" s="235" t="s">
        <v>30</v>
      </c>
      <c r="P356" s="236">
        <f>(E356*E353)+(F356*F353)+(G356*G353)+(H356*H353)+(I356*I353)+(J356*J353)+(K356*K353)+(L356*L353)+(M356*M353)+(N356*N353)</f>
        <v>0</v>
      </c>
      <c r="Q356" s="237" t="s">
        <v>31</v>
      </c>
      <c r="R356" s="238" t="b">
        <v>0</v>
      </c>
    </row>
    <row r="357" ht="13.5" customHeight="1">
      <c r="A357" s="221"/>
      <c r="B357" s="239" t="s">
        <v>33</v>
      </c>
      <c r="C357" s="232" t="s">
        <v>34</v>
      </c>
      <c r="D357" s="108"/>
      <c r="E357" s="240"/>
      <c r="F357" s="241"/>
      <c r="G357" s="241"/>
      <c r="H357" s="241"/>
      <c r="I357" s="242"/>
      <c r="J357" s="242"/>
      <c r="K357" s="242"/>
      <c r="L357" s="242"/>
      <c r="M357" s="242"/>
      <c r="N357" s="241"/>
      <c r="O357" s="243" t="s">
        <v>35</v>
      </c>
      <c r="P357" s="236">
        <f>(E357*E353)+(F357*F353)+(G357*G353)+(H357*H353)+(I357*I353)+(J357*J353)+(K357*K353)+(L357*L353)+(M357*M353)+(N357*N353)</f>
        <v>0</v>
      </c>
      <c r="Q357" s="244" t="s">
        <v>36</v>
      </c>
      <c r="R357" s="238" t="b">
        <v>0</v>
      </c>
    </row>
    <row r="358" ht="13.5" customHeight="1">
      <c r="A358" s="68"/>
      <c r="B358" s="245" t="str">
        <f>IFS(P358=0,"",B358&lt;&gt;"",B358,TRUE,NOW())</f>
        <v/>
      </c>
      <c r="C358" s="232" t="s">
        <v>37</v>
      </c>
      <c r="D358" s="108"/>
      <c r="E358" s="246"/>
      <c r="F358" s="246"/>
      <c r="G358" s="246"/>
      <c r="H358" s="246"/>
      <c r="I358" s="247"/>
      <c r="J358" s="247"/>
      <c r="K358" s="247"/>
      <c r="L358" s="247"/>
      <c r="M358" s="247"/>
      <c r="N358" s="246"/>
      <c r="O358" s="248" t="s">
        <v>38</v>
      </c>
      <c r="P358" s="249">
        <f>P357-P356</f>
        <v>0</v>
      </c>
      <c r="Q358" s="250" t="s">
        <v>39</v>
      </c>
      <c r="R358" s="238" t="b">
        <v>0</v>
      </c>
    </row>
    <row r="359" ht="13.5" customHeight="1">
      <c r="A359" s="230" t="s">
        <v>40</v>
      </c>
      <c r="B359" s="222" t="s">
        <v>106</v>
      </c>
      <c r="C359" s="223" t="s">
        <v>27</v>
      </c>
      <c r="D359" s="224"/>
      <c r="E359" s="225">
        <f t="shared" ref="E359:N359" si="98">E357-E360</f>
        <v>0</v>
      </c>
      <c r="F359" s="225">
        <f t="shared" si="98"/>
        <v>0</v>
      </c>
      <c r="G359" s="225">
        <f t="shared" si="98"/>
        <v>0</v>
      </c>
      <c r="H359" s="225">
        <f t="shared" si="98"/>
        <v>0</v>
      </c>
      <c r="I359" s="225">
        <f t="shared" si="98"/>
        <v>0</v>
      </c>
      <c r="J359" s="226">
        <f t="shared" si="98"/>
        <v>0</v>
      </c>
      <c r="K359" s="226">
        <f t="shared" si="98"/>
        <v>0</v>
      </c>
      <c r="L359" s="226">
        <f t="shared" si="98"/>
        <v>0</v>
      </c>
      <c r="M359" s="226">
        <f t="shared" si="98"/>
        <v>0</v>
      </c>
      <c r="N359" s="226">
        <f t="shared" si="98"/>
        <v>0</v>
      </c>
      <c r="O359" s="227"/>
      <c r="P359" s="30"/>
      <c r="Q359" s="228" t="s">
        <v>28</v>
      </c>
      <c r="R359" s="229" t="b">
        <v>0</v>
      </c>
    </row>
    <row r="360" ht="13.5" customHeight="1">
      <c r="A360" s="221"/>
      <c r="B360" s="231"/>
      <c r="C360" s="232" t="s">
        <v>30</v>
      </c>
      <c r="D360" s="108"/>
      <c r="E360" s="233"/>
      <c r="F360" s="233"/>
      <c r="G360" s="233"/>
      <c r="H360" s="233"/>
      <c r="I360" s="234"/>
      <c r="J360" s="348"/>
      <c r="K360" s="348"/>
      <c r="L360" s="348"/>
      <c r="M360" s="348"/>
      <c r="N360" s="251"/>
      <c r="O360" s="235" t="s">
        <v>30</v>
      </c>
      <c r="P360" s="236">
        <f>(E360*E353)+(F360*F353)+(G360*G353)+(H360*H353)+(I360*I353)+(J360*J353)+(K360*K353)+(L360*L353)+(M360*M353)+(N360*N353)</f>
        <v>0</v>
      </c>
      <c r="Q360" s="237" t="s">
        <v>31</v>
      </c>
      <c r="R360" s="238" t="b">
        <v>0</v>
      </c>
    </row>
    <row r="361" ht="15.0" customHeight="1">
      <c r="A361" s="68"/>
      <c r="B361" s="239" t="s">
        <v>42</v>
      </c>
      <c r="C361" s="232" t="s">
        <v>34</v>
      </c>
      <c r="D361" s="108"/>
      <c r="E361" s="240"/>
      <c r="F361" s="241"/>
      <c r="G361" s="241"/>
      <c r="H361" s="241"/>
      <c r="I361" s="242"/>
      <c r="J361" s="349"/>
      <c r="K361" s="349"/>
      <c r="L361" s="349"/>
      <c r="M361" s="349"/>
      <c r="N361" s="252"/>
      <c r="O361" s="243" t="s">
        <v>35</v>
      </c>
      <c r="P361" s="236">
        <f>(E361*E353)+(F361*F353)+(G361*G353)+(H361*H353)+(I361*I353)+(J361*J353)+(K361*K353)+(L361*L353)+(M361*M353)+(N361*N353)</f>
        <v>0</v>
      </c>
      <c r="Q361" s="237" t="s">
        <v>36</v>
      </c>
      <c r="R361" s="238" t="b">
        <v>0</v>
      </c>
    </row>
    <row r="362" ht="13.5" customHeight="1">
      <c r="A362" s="230" t="s">
        <v>43</v>
      </c>
      <c r="B362" s="245" t="str">
        <f>IFS(P362=0,"",B362&lt;&gt;"",B362,TRUE,NOW())</f>
        <v/>
      </c>
      <c r="C362" s="232" t="s">
        <v>37</v>
      </c>
      <c r="D362" s="108"/>
      <c r="E362" s="246"/>
      <c r="F362" s="246"/>
      <c r="G362" s="246"/>
      <c r="H362" s="246"/>
      <c r="I362" s="247"/>
      <c r="J362" s="350"/>
      <c r="K362" s="350"/>
      <c r="L362" s="350"/>
      <c r="M362" s="350"/>
      <c r="N362" s="253"/>
      <c r="O362" s="248" t="s">
        <v>38</v>
      </c>
      <c r="P362" s="249">
        <f>P361-P360</f>
        <v>0</v>
      </c>
      <c r="Q362" s="250" t="s">
        <v>39</v>
      </c>
      <c r="R362" s="238" t="b">
        <v>0</v>
      </c>
    </row>
    <row r="363" ht="13.5" customHeight="1">
      <c r="A363" s="230"/>
      <c r="B363" s="222" t="s">
        <v>106</v>
      </c>
      <c r="C363" s="223" t="s">
        <v>27</v>
      </c>
      <c r="D363" s="224"/>
      <c r="E363" s="254">
        <f t="shared" ref="E363:N363" si="99">E361-E364</f>
        <v>0</v>
      </c>
      <c r="F363" s="254">
        <f t="shared" si="99"/>
        <v>0</v>
      </c>
      <c r="G363" s="254">
        <f t="shared" si="99"/>
        <v>0</v>
      </c>
      <c r="H363" s="254">
        <f t="shared" si="99"/>
        <v>0</v>
      </c>
      <c r="I363" s="254">
        <f t="shared" si="99"/>
        <v>0</v>
      </c>
      <c r="J363" s="254">
        <f t="shared" si="99"/>
        <v>0</v>
      </c>
      <c r="K363" s="254">
        <f t="shared" si="99"/>
        <v>0</v>
      </c>
      <c r="L363" s="254">
        <f t="shared" si="99"/>
        <v>0</v>
      </c>
      <c r="M363" s="254">
        <f t="shared" si="99"/>
        <v>0</v>
      </c>
      <c r="N363" s="254">
        <f t="shared" si="99"/>
        <v>0</v>
      </c>
      <c r="O363" s="227"/>
      <c r="P363" s="30"/>
      <c r="Q363" s="228" t="s">
        <v>28</v>
      </c>
      <c r="R363" s="229" t="b">
        <v>0</v>
      </c>
    </row>
    <row r="364" ht="13.5" customHeight="1">
      <c r="A364" s="230" t="s">
        <v>45</v>
      </c>
      <c r="B364" s="231"/>
      <c r="C364" s="232" t="s">
        <v>30</v>
      </c>
      <c r="D364" s="108"/>
      <c r="E364" s="255"/>
      <c r="F364" s="255"/>
      <c r="G364" s="255"/>
      <c r="H364" s="255"/>
      <c r="I364" s="255"/>
      <c r="J364" s="255"/>
      <c r="K364" s="255"/>
      <c r="L364" s="255"/>
      <c r="M364" s="255"/>
      <c r="N364" s="255"/>
      <c r="O364" s="235" t="s">
        <v>30</v>
      </c>
      <c r="P364" s="236">
        <f>(E364*E353)+(F364*F353)+(G364*G353)+(H364*H353)+(I364*I353)+(J364*J353)+(K364*K353)+(L364*L353)+(M364*M353)+(N364*N353)</f>
        <v>0</v>
      </c>
      <c r="Q364" s="237" t="s">
        <v>31</v>
      </c>
      <c r="R364" s="238" t="b">
        <v>0</v>
      </c>
    </row>
    <row r="365" ht="13.5" customHeight="1">
      <c r="A365" s="221"/>
      <c r="B365" s="239" t="s">
        <v>47</v>
      </c>
      <c r="C365" s="232" t="s">
        <v>34</v>
      </c>
      <c r="D365" s="108"/>
      <c r="E365" s="256"/>
      <c r="F365" s="257"/>
      <c r="G365" s="257"/>
      <c r="H365" s="257"/>
      <c r="I365" s="257"/>
      <c r="J365" s="257"/>
      <c r="K365" s="257"/>
      <c r="L365" s="257"/>
      <c r="M365" s="257"/>
      <c r="N365" s="257"/>
      <c r="O365" s="243" t="s">
        <v>35</v>
      </c>
      <c r="P365" s="236">
        <f>(E365*E353)+(F365*F353)+(G365*G353)+(H365*H353)+(I365*I353)+(J365*J353)+(K365*K353)+(L365*L353)+(M365*M353)+(N365*N353)</f>
        <v>0</v>
      </c>
      <c r="Q365" s="237" t="s">
        <v>36</v>
      </c>
      <c r="R365" s="238" t="b">
        <v>0</v>
      </c>
    </row>
    <row r="366" ht="15.0" customHeight="1">
      <c r="A366" s="68"/>
      <c r="B366" s="245" t="str">
        <f>IFS(P366=0,"",B366&lt;&gt;"",B366,TRUE,NOW())</f>
        <v/>
      </c>
      <c r="C366" s="232" t="s">
        <v>37</v>
      </c>
      <c r="D366" s="108"/>
      <c r="E366" s="258"/>
      <c r="F366" s="258"/>
      <c r="G366" s="258"/>
      <c r="H366" s="258"/>
      <c r="I366" s="258"/>
      <c r="J366" s="258"/>
      <c r="K366" s="258"/>
      <c r="L366" s="258"/>
      <c r="M366" s="258"/>
      <c r="N366" s="258"/>
      <c r="O366" s="248" t="s">
        <v>38</v>
      </c>
      <c r="P366" s="249">
        <f>P365-P364</f>
        <v>0</v>
      </c>
      <c r="Q366" s="250" t="s">
        <v>39</v>
      </c>
      <c r="R366" s="238" t="b">
        <v>0</v>
      </c>
    </row>
    <row r="367" ht="13.5" customHeight="1">
      <c r="A367" s="259" t="s">
        <v>48</v>
      </c>
      <c r="B367" s="222" t="s">
        <v>106</v>
      </c>
      <c r="C367" s="223" t="s">
        <v>27</v>
      </c>
      <c r="D367" s="224"/>
      <c r="E367" s="254">
        <f t="shared" ref="E367:N367" si="100">E365-E368</f>
        <v>0</v>
      </c>
      <c r="F367" s="254">
        <f t="shared" si="100"/>
        <v>0</v>
      </c>
      <c r="G367" s="254">
        <f t="shared" si="100"/>
        <v>0</v>
      </c>
      <c r="H367" s="254">
        <f t="shared" si="100"/>
        <v>0</v>
      </c>
      <c r="I367" s="254">
        <f t="shared" si="100"/>
        <v>0</v>
      </c>
      <c r="J367" s="254">
        <f t="shared" si="100"/>
        <v>0</v>
      </c>
      <c r="K367" s="254">
        <f t="shared" si="100"/>
        <v>0</v>
      </c>
      <c r="L367" s="254">
        <f t="shared" si="100"/>
        <v>0</v>
      </c>
      <c r="M367" s="254">
        <f t="shared" si="100"/>
        <v>0</v>
      </c>
      <c r="N367" s="254">
        <f t="shared" si="100"/>
        <v>0</v>
      </c>
      <c r="O367" s="227"/>
      <c r="P367" s="30"/>
      <c r="Q367" s="228" t="s">
        <v>28</v>
      </c>
      <c r="R367" s="229" t="b">
        <v>0</v>
      </c>
    </row>
    <row r="368" ht="13.5" customHeight="1">
      <c r="A368" s="87"/>
      <c r="B368" s="231"/>
      <c r="C368" s="232" t="s">
        <v>30</v>
      </c>
      <c r="D368" s="108"/>
      <c r="E368" s="255"/>
      <c r="F368" s="255"/>
      <c r="G368" s="255"/>
      <c r="H368" s="255"/>
      <c r="I368" s="255"/>
      <c r="J368" s="255"/>
      <c r="K368" s="255"/>
      <c r="L368" s="255"/>
      <c r="M368" s="255"/>
      <c r="N368" s="255"/>
      <c r="O368" s="235" t="s">
        <v>30</v>
      </c>
      <c r="P368" s="236">
        <f>(E368*E353)+(F368*F353)+(G368*G353)+(H368*H353)+(I368*I353)+(J368*J353)+(K368*K353)+(L368*L353)+(M368*M353)+(N368*N353)</f>
        <v>0</v>
      </c>
      <c r="Q368" s="237" t="s">
        <v>31</v>
      </c>
      <c r="R368" s="238" t="b">
        <v>0</v>
      </c>
    </row>
    <row r="369" ht="13.5" customHeight="1">
      <c r="A369" s="68"/>
      <c r="B369" s="239" t="s">
        <v>49</v>
      </c>
      <c r="C369" s="232" t="s">
        <v>34</v>
      </c>
      <c r="D369" s="108"/>
      <c r="E369" s="256"/>
      <c r="F369" s="257"/>
      <c r="G369" s="257"/>
      <c r="H369" s="257"/>
      <c r="I369" s="257"/>
      <c r="J369" s="257"/>
      <c r="K369" s="257"/>
      <c r="L369" s="257"/>
      <c r="M369" s="257"/>
      <c r="N369" s="257"/>
      <c r="O369" s="243" t="s">
        <v>35</v>
      </c>
      <c r="P369" s="236">
        <f>(E369*E353)+(F369*F353)+(G369*G353)+(H369*H353)+(I369*I353)+(J369*J353)+(K369*K353)+(L369*L353)+(M369*M353)+(N369*N353)</f>
        <v>0</v>
      </c>
      <c r="Q369" s="237" t="s">
        <v>36</v>
      </c>
      <c r="R369" s="238" t="b">
        <v>0</v>
      </c>
    </row>
    <row r="370" ht="13.5" customHeight="1">
      <c r="A370" s="80"/>
      <c r="B370" s="245" t="str">
        <f>IFS(P370=0,"",B370&lt;&gt;"",B370,TRUE,NOW())</f>
        <v/>
      </c>
      <c r="C370" s="232" t="s">
        <v>37</v>
      </c>
      <c r="D370" s="108"/>
      <c r="E370" s="258"/>
      <c r="F370" s="258"/>
      <c r="G370" s="258"/>
      <c r="H370" s="258"/>
      <c r="I370" s="258"/>
      <c r="J370" s="258"/>
      <c r="K370" s="258"/>
      <c r="L370" s="258"/>
      <c r="M370" s="258"/>
      <c r="N370" s="258"/>
      <c r="O370" s="248" t="s">
        <v>38</v>
      </c>
      <c r="P370" s="249">
        <f>P369-P368</f>
        <v>0</v>
      </c>
      <c r="Q370" s="250" t="s">
        <v>39</v>
      </c>
      <c r="R370" s="260" t="b">
        <v>0</v>
      </c>
    </row>
    <row r="371" ht="18.75" customHeight="1">
      <c r="A371" s="261" t="s">
        <v>107</v>
      </c>
      <c r="B371" s="209" t="s">
        <v>20</v>
      </c>
      <c r="C371" s="24"/>
      <c r="D371" s="33"/>
      <c r="E371" s="262">
        <f t="shared" ref="E371:N371" si="101">E6</f>
        <v>16</v>
      </c>
      <c r="F371" s="262">
        <f t="shared" si="101"/>
        <v>26</v>
      </c>
      <c r="G371" s="263">
        <f t="shared" si="101"/>
        <v>26</v>
      </c>
      <c r="H371" s="264">
        <f t="shared" si="101"/>
        <v>26</v>
      </c>
      <c r="I371" s="213">
        <f t="shared" si="101"/>
        <v>31</v>
      </c>
      <c r="J371" s="346">
        <f t="shared" si="101"/>
        <v>36</v>
      </c>
      <c r="K371" s="346">
        <f t="shared" si="101"/>
        <v>30</v>
      </c>
      <c r="L371" s="346">
        <f t="shared" si="101"/>
        <v>35</v>
      </c>
      <c r="M371" s="346">
        <f t="shared" si="101"/>
        <v>40</v>
      </c>
      <c r="N371" s="263">
        <f t="shared" si="101"/>
        <v>15</v>
      </c>
      <c r="O371" s="214" t="s">
        <v>21</v>
      </c>
      <c r="P371" s="25"/>
      <c r="Q371" s="215" t="s">
        <v>22</v>
      </c>
      <c r="R371" s="10"/>
    </row>
    <row r="372" ht="13.5" customHeight="1">
      <c r="A372" s="216" t="s">
        <v>23</v>
      </c>
      <c r="B372" s="217" t="s">
        <v>24</v>
      </c>
      <c r="C372" s="218" t="s">
        <v>25</v>
      </c>
      <c r="D372" s="117"/>
      <c r="E372" s="219"/>
      <c r="F372" s="219"/>
      <c r="G372" s="219"/>
      <c r="H372" s="219"/>
      <c r="I372" s="220"/>
      <c r="J372" s="347"/>
      <c r="K372" s="347"/>
      <c r="L372" s="347"/>
      <c r="M372" s="347"/>
      <c r="N372" s="219"/>
      <c r="O372" s="49"/>
      <c r="P372" s="25"/>
      <c r="Q372" s="50"/>
      <c r="R372" s="10"/>
    </row>
    <row r="373" ht="13.5" customHeight="1">
      <c r="A373" s="221"/>
      <c r="B373" s="222" t="s">
        <v>108</v>
      </c>
      <c r="C373" s="223" t="s">
        <v>27</v>
      </c>
      <c r="D373" s="224"/>
      <c r="E373" s="225">
        <f t="shared" ref="E373:N373" si="102">E372-E374</f>
        <v>0</v>
      </c>
      <c r="F373" s="225">
        <f t="shared" si="102"/>
        <v>0</v>
      </c>
      <c r="G373" s="225">
        <f t="shared" si="102"/>
        <v>0</v>
      </c>
      <c r="H373" s="225">
        <f t="shared" si="102"/>
        <v>0</v>
      </c>
      <c r="I373" s="225">
        <f t="shared" si="102"/>
        <v>0</v>
      </c>
      <c r="J373" s="226">
        <f t="shared" si="102"/>
        <v>0</v>
      </c>
      <c r="K373" s="226">
        <f t="shared" si="102"/>
        <v>0</v>
      </c>
      <c r="L373" s="226">
        <f t="shared" si="102"/>
        <v>0</v>
      </c>
      <c r="M373" s="226">
        <f t="shared" si="102"/>
        <v>0</v>
      </c>
      <c r="N373" s="226">
        <f t="shared" si="102"/>
        <v>0</v>
      </c>
      <c r="O373" s="227"/>
      <c r="P373" s="30"/>
      <c r="Q373" s="228" t="s">
        <v>28</v>
      </c>
      <c r="R373" s="229" t="b">
        <v>0</v>
      </c>
    </row>
    <row r="374" ht="13.5" customHeight="1">
      <c r="A374" s="230" t="s">
        <v>29</v>
      </c>
      <c r="B374" s="231"/>
      <c r="C374" s="232" t="s">
        <v>30</v>
      </c>
      <c r="D374" s="108"/>
      <c r="E374" s="233"/>
      <c r="F374" s="233"/>
      <c r="G374" s="233"/>
      <c r="H374" s="233"/>
      <c r="I374" s="234"/>
      <c r="J374" s="234"/>
      <c r="K374" s="234"/>
      <c r="L374" s="234"/>
      <c r="M374" s="234"/>
      <c r="N374" s="233"/>
      <c r="O374" s="235" t="s">
        <v>30</v>
      </c>
      <c r="P374" s="236">
        <f>(E374*E371)+(F374*F371)+(G374*G371)+(H374*H371)+(I374*I371)+(J374*J371)+(K374*K371)+(L374*L371)+(M374*M371)+(N374*N371)</f>
        <v>0</v>
      </c>
      <c r="Q374" s="237" t="s">
        <v>31</v>
      </c>
      <c r="R374" s="238" t="b">
        <v>0</v>
      </c>
    </row>
    <row r="375" ht="13.5" customHeight="1">
      <c r="A375" s="221"/>
      <c r="B375" s="239" t="s">
        <v>33</v>
      </c>
      <c r="C375" s="232" t="s">
        <v>34</v>
      </c>
      <c r="D375" s="108"/>
      <c r="E375" s="240"/>
      <c r="F375" s="241"/>
      <c r="G375" s="241"/>
      <c r="H375" s="241"/>
      <c r="I375" s="242"/>
      <c r="J375" s="242"/>
      <c r="K375" s="242"/>
      <c r="L375" s="242"/>
      <c r="M375" s="242"/>
      <c r="N375" s="241"/>
      <c r="O375" s="243" t="s">
        <v>35</v>
      </c>
      <c r="P375" s="236">
        <f>(E375*E371)+(F375*F371)+(G375*G371)+(H375*H371)+(I375*I371)+(J375*J371)+(K375*K371)+(L375*L371)+(M375*M371)+(N375*N371)</f>
        <v>0</v>
      </c>
      <c r="Q375" s="244" t="s">
        <v>36</v>
      </c>
      <c r="R375" s="238" t="b">
        <v>0</v>
      </c>
    </row>
    <row r="376" ht="15.0" customHeight="1">
      <c r="A376" s="68"/>
      <c r="B376" s="245" t="str">
        <f>IFS(P376=0,"",B376&lt;&gt;"",B376,TRUE,NOW())</f>
        <v/>
      </c>
      <c r="C376" s="232" t="s">
        <v>37</v>
      </c>
      <c r="D376" s="108"/>
      <c r="E376" s="246"/>
      <c r="F376" s="246"/>
      <c r="G376" s="246"/>
      <c r="H376" s="246"/>
      <c r="I376" s="247"/>
      <c r="J376" s="247"/>
      <c r="K376" s="247"/>
      <c r="L376" s="247"/>
      <c r="M376" s="247"/>
      <c r="N376" s="246"/>
      <c r="O376" s="248" t="s">
        <v>38</v>
      </c>
      <c r="P376" s="249">
        <f>P375-P374</f>
        <v>0</v>
      </c>
      <c r="Q376" s="250" t="s">
        <v>39</v>
      </c>
      <c r="R376" s="238" t="b">
        <v>0</v>
      </c>
    </row>
    <row r="377" ht="13.5" customHeight="1">
      <c r="A377" s="230" t="s">
        <v>40</v>
      </c>
      <c r="B377" s="222" t="s">
        <v>108</v>
      </c>
      <c r="C377" s="223" t="s">
        <v>27</v>
      </c>
      <c r="D377" s="224"/>
      <c r="E377" s="225">
        <f t="shared" ref="E377:N377" si="103">E375-E378</f>
        <v>0</v>
      </c>
      <c r="F377" s="225">
        <f t="shared" si="103"/>
        <v>0</v>
      </c>
      <c r="G377" s="225">
        <f t="shared" si="103"/>
        <v>0</v>
      </c>
      <c r="H377" s="225">
        <f t="shared" si="103"/>
        <v>0</v>
      </c>
      <c r="I377" s="225">
        <f t="shared" si="103"/>
        <v>0</v>
      </c>
      <c r="J377" s="226">
        <f t="shared" si="103"/>
        <v>0</v>
      </c>
      <c r="K377" s="226">
        <f t="shared" si="103"/>
        <v>0</v>
      </c>
      <c r="L377" s="226">
        <f t="shared" si="103"/>
        <v>0</v>
      </c>
      <c r="M377" s="226">
        <f t="shared" si="103"/>
        <v>0</v>
      </c>
      <c r="N377" s="226">
        <f t="shared" si="103"/>
        <v>0</v>
      </c>
      <c r="O377" s="227"/>
      <c r="P377" s="30"/>
      <c r="Q377" s="228" t="s">
        <v>28</v>
      </c>
      <c r="R377" s="229" t="b">
        <v>0</v>
      </c>
    </row>
    <row r="378" ht="13.5" customHeight="1">
      <c r="A378" s="221"/>
      <c r="B378" s="231"/>
      <c r="C378" s="232" t="s">
        <v>30</v>
      </c>
      <c r="D378" s="108"/>
      <c r="E378" s="233"/>
      <c r="F378" s="233"/>
      <c r="G378" s="233"/>
      <c r="H378" s="233"/>
      <c r="I378" s="234"/>
      <c r="J378" s="348"/>
      <c r="K378" s="348"/>
      <c r="L378" s="348"/>
      <c r="M378" s="348"/>
      <c r="N378" s="251"/>
      <c r="O378" s="235" t="s">
        <v>30</v>
      </c>
      <c r="P378" s="236">
        <f>(E378*E371)+(F378*F371)+(G378*G371)+(H378*H371)+(I378*I371)+(J378*J371)+(K378*K371)+(L378*L371)+(M378*M371)+(N378*N371)</f>
        <v>0</v>
      </c>
      <c r="Q378" s="237" t="s">
        <v>31</v>
      </c>
      <c r="R378" s="238" t="b">
        <v>0</v>
      </c>
    </row>
    <row r="379" ht="13.5" customHeight="1">
      <c r="A379" s="68"/>
      <c r="B379" s="239" t="s">
        <v>42</v>
      </c>
      <c r="C379" s="232" t="s">
        <v>34</v>
      </c>
      <c r="D379" s="108"/>
      <c r="E379" s="240"/>
      <c r="F379" s="241"/>
      <c r="G379" s="241"/>
      <c r="H379" s="241"/>
      <c r="I379" s="242"/>
      <c r="J379" s="349"/>
      <c r="K379" s="349"/>
      <c r="L379" s="349"/>
      <c r="M379" s="349"/>
      <c r="N379" s="252"/>
      <c r="O379" s="243" t="s">
        <v>35</v>
      </c>
      <c r="P379" s="236">
        <f>(E379*E371)+(F379*F371)+(G379*G371)+(H379*H371)+(I379*I371)+(J379*J371)+(K379*K371)+(L379*L371)+(M379*M371)+(N379*N371)</f>
        <v>0</v>
      </c>
      <c r="Q379" s="237" t="s">
        <v>36</v>
      </c>
      <c r="R379" s="238" t="b">
        <v>0</v>
      </c>
    </row>
    <row r="380" ht="13.5" customHeight="1">
      <c r="A380" s="230" t="s">
        <v>43</v>
      </c>
      <c r="B380" s="245" t="str">
        <f>IFS(P380=0,"",B380&lt;&gt;"",B380,TRUE,NOW())</f>
        <v/>
      </c>
      <c r="C380" s="232" t="s">
        <v>37</v>
      </c>
      <c r="D380" s="108"/>
      <c r="E380" s="246"/>
      <c r="F380" s="246"/>
      <c r="G380" s="246"/>
      <c r="H380" s="246"/>
      <c r="I380" s="247"/>
      <c r="J380" s="350"/>
      <c r="K380" s="350"/>
      <c r="L380" s="350"/>
      <c r="M380" s="350"/>
      <c r="N380" s="253"/>
      <c r="O380" s="248" t="s">
        <v>38</v>
      </c>
      <c r="P380" s="249">
        <f>P379-P378</f>
        <v>0</v>
      </c>
      <c r="Q380" s="250" t="s">
        <v>39</v>
      </c>
      <c r="R380" s="238" t="b">
        <v>0</v>
      </c>
    </row>
    <row r="381" ht="13.5" customHeight="1">
      <c r="A381" s="230"/>
      <c r="B381" s="222" t="s">
        <v>108</v>
      </c>
      <c r="C381" s="223" t="s">
        <v>27</v>
      </c>
      <c r="D381" s="224"/>
      <c r="E381" s="254">
        <f t="shared" ref="E381:N381" si="104">E379-E382</f>
        <v>0</v>
      </c>
      <c r="F381" s="254">
        <f t="shared" si="104"/>
        <v>0</v>
      </c>
      <c r="G381" s="254">
        <f t="shared" si="104"/>
        <v>0</v>
      </c>
      <c r="H381" s="254">
        <f t="shared" si="104"/>
        <v>0</v>
      </c>
      <c r="I381" s="254">
        <f t="shared" si="104"/>
        <v>0</v>
      </c>
      <c r="J381" s="254">
        <f t="shared" si="104"/>
        <v>0</v>
      </c>
      <c r="K381" s="254">
        <f t="shared" si="104"/>
        <v>0</v>
      </c>
      <c r="L381" s="254">
        <f t="shared" si="104"/>
        <v>0</v>
      </c>
      <c r="M381" s="254">
        <f t="shared" si="104"/>
        <v>0</v>
      </c>
      <c r="N381" s="254">
        <f t="shared" si="104"/>
        <v>0</v>
      </c>
      <c r="O381" s="227"/>
      <c r="P381" s="30"/>
      <c r="Q381" s="228" t="s">
        <v>28</v>
      </c>
      <c r="R381" s="229" t="b">
        <v>0</v>
      </c>
    </row>
    <row r="382" ht="13.5" customHeight="1">
      <c r="A382" s="230" t="s">
        <v>45</v>
      </c>
      <c r="B382" s="231"/>
      <c r="C382" s="232" t="s">
        <v>30</v>
      </c>
      <c r="D382" s="108"/>
      <c r="E382" s="255"/>
      <c r="F382" s="255"/>
      <c r="G382" s="255"/>
      <c r="H382" s="255"/>
      <c r="I382" s="255"/>
      <c r="J382" s="255"/>
      <c r="K382" s="255"/>
      <c r="L382" s="255"/>
      <c r="M382" s="255"/>
      <c r="N382" s="255"/>
      <c r="O382" s="235" t="s">
        <v>30</v>
      </c>
      <c r="P382" s="236">
        <f>(E382*E371)+(F382*F371)+(G382*G371)+(H382*H371)+(I382*I371)+(J382*J371)+(K382*K371)+(L382*L371)+(M382*M371)+(N382*N371)</f>
        <v>0</v>
      </c>
      <c r="Q382" s="237" t="s">
        <v>31</v>
      </c>
      <c r="R382" s="238" t="b">
        <v>0</v>
      </c>
    </row>
    <row r="383" ht="17.25" customHeight="1">
      <c r="A383" s="221"/>
      <c r="B383" s="239" t="s">
        <v>47</v>
      </c>
      <c r="C383" s="232" t="s">
        <v>34</v>
      </c>
      <c r="D383" s="108"/>
      <c r="E383" s="256"/>
      <c r="F383" s="257"/>
      <c r="G383" s="257"/>
      <c r="H383" s="257"/>
      <c r="I383" s="257"/>
      <c r="J383" s="257"/>
      <c r="K383" s="257"/>
      <c r="L383" s="257"/>
      <c r="M383" s="257"/>
      <c r="N383" s="257"/>
      <c r="O383" s="243" t="s">
        <v>35</v>
      </c>
      <c r="P383" s="236">
        <f>(E383*E371)+(F383*F371)+(G383*G371)+(H383*H371)+(I383*I371)+(J383*J371)+(K383*K371)+(L383*L371)+(M383*M371)+(N383*N371)</f>
        <v>0</v>
      </c>
      <c r="Q383" s="237" t="s">
        <v>36</v>
      </c>
      <c r="R383" s="238" t="b">
        <v>0</v>
      </c>
    </row>
    <row r="384" ht="13.5" customHeight="1">
      <c r="A384" s="68"/>
      <c r="B384" s="245" t="str">
        <f>IFS(P384=0,"",B384&lt;&gt;"",B384,TRUE,NOW())</f>
        <v/>
      </c>
      <c r="C384" s="232" t="s">
        <v>37</v>
      </c>
      <c r="D384" s="108"/>
      <c r="E384" s="258"/>
      <c r="F384" s="258"/>
      <c r="G384" s="258"/>
      <c r="H384" s="258"/>
      <c r="I384" s="258"/>
      <c r="J384" s="258"/>
      <c r="K384" s="258"/>
      <c r="L384" s="258"/>
      <c r="M384" s="258"/>
      <c r="N384" s="258"/>
      <c r="O384" s="248" t="s">
        <v>38</v>
      </c>
      <c r="P384" s="249">
        <f>P383-P382</f>
        <v>0</v>
      </c>
      <c r="Q384" s="250" t="s">
        <v>39</v>
      </c>
      <c r="R384" s="238" t="b">
        <v>0</v>
      </c>
    </row>
    <row r="385" ht="13.5" customHeight="1">
      <c r="A385" s="259" t="s">
        <v>48</v>
      </c>
      <c r="B385" s="222" t="s">
        <v>108</v>
      </c>
      <c r="C385" s="223" t="s">
        <v>27</v>
      </c>
      <c r="D385" s="224"/>
      <c r="E385" s="254">
        <f t="shared" ref="E385:N385" si="105">E383-E386</f>
        <v>0</v>
      </c>
      <c r="F385" s="254">
        <f t="shared" si="105"/>
        <v>0</v>
      </c>
      <c r="G385" s="254">
        <f t="shared" si="105"/>
        <v>0</v>
      </c>
      <c r="H385" s="254">
        <f t="shared" si="105"/>
        <v>0</v>
      </c>
      <c r="I385" s="254">
        <f t="shared" si="105"/>
        <v>0</v>
      </c>
      <c r="J385" s="254">
        <f t="shared" si="105"/>
        <v>0</v>
      </c>
      <c r="K385" s="254">
        <f t="shared" si="105"/>
        <v>0</v>
      </c>
      <c r="L385" s="254">
        <f t="shared" si="105"/>
        <v>0</v>
      </c>
      <c r="M385" s="254">
        <f t="shared" si="105"/>
        <v>0</v>
      </c>
      <c r="N385" s="254">
        <f t="shared" si="105"/>
        <v>0</v>
      </c>
      <c r="O385" s="227"/>
      <c r="P385" s="30"/>
      <c r="Q385" s="228" t="s">
        <v>28</v>
      </c>
      <c r="R385" s="229" t="b">
        <v>0</v>
      </c>
    </row>
    <row r="386" ht="13.5" customHeight="1">
      <c r="A386" s="87"/>
      <c r="B386" s="231"/>
      <c r="C386" s="232" t="s">
        <v>30</v>
      </c>
      <c r="D386" s="108"/>
      <c r="E386" s="255"/>
      <c r="F386" s="255"/>
      <c r="G386" s="255"/>
      <c r="H386" s="255"/>
      <c r="I386" s="255"/>
      <c r="J386" s="255"/>
      <c r="K386" s="255"/>
      <c r="L386" s="255"/>
      <c r="M386" s="255"/>
      <c r="N386" s="255"/>
      <c r="O386" s="235" t="s">
        <v>30</v>
      </c>
      <c r="P386" s="236">
        <f>(E386*E371)+(F386*F371)+(G386*G371)+(H386*H371)+(I386*I371)+(J386*J371)+(K386*K371)+(L386*L371)+(M386*M371)+(N386*N371)</f>
        <v>0</v>
      </c>
      <c r="Q386" s="237" t="s">
        <v>31</v>
      </c>
      <c r="R386" s="238" t="b">
        <v>0</v>
      </c>
    </row>
    <row r="387" ht="13.5" customHeight="1">
      <c r="A387" s="68"/>
      <c r="B387" s="239" t="s">
        <v>49</v>
      </c>
      <c r="C387" s="232" t="s">
        <v>34</v>
      </c>
      <c r="D387" s="108"/>
      <c r="E387" s="256"/>
      <c r="F387" s="257"/>
      <c r="G387" s="257"/>
      <c r="H387" s="257"/>
      <c r="I387" s="257"/>
      <c r="J387" s="257"/>
      <c r="K387" s="257"/>
      <c r="L387" s="257"/>
      <c r="M387" s="257"/>
      <c r="N387" s="257"/>
      <c r="O387" s="243" t="s">
        <v>35</v>
      </c>
      <c r="P387" s="236">
        <f>(E387*E371)+(F387*F371)+(G387*G371)+(H387*H371)+(I387*I371)+(J387*J371)+(K387*K371)+(L387*L371)+(M387*M371)+(N387*N371)</f>
        <v>0</v>
      </c>
      <c r="Q387" s="237" t="s">
        <v>36</v>
      </c>
      <c r="R387" s="238" t="b">
        <v>0</v>
      </c>
    </row>
    <row r="388" ht="15.0" customHeight="1">
      <c r="A388" s="80"/>
      <c r="B388" s="245" t="str">
        <f>IFS(P388=0,"",B388&lt;&gt;"",B388,TRUE,NOW())</f>
        <v/>
      </c>
      <c r="C388" s="232" t="s">
        <v>37</v>
      </c>
      <c r="D388" s="108"/>
      <c r="E388" s="258"/>
      <c r="F388" s="258"/>
      <c r="G388" s="258"/>
      <c r="H388" s="258"/>
      <c r="I388" s="258"/>
      <c r="J388" s="258"/>
      <c r="K388" s="258"/>
      <c r="L388" s="258"/>
      <c r="M388" s="258"/>
      <c r="N388" s="258"/>
      <c r="O388" s="248" t="s">
        <v>38</v>
      </c>
      <c r="P388" s="249">
        <f>P387-P386</f>
        <v>0</v>
      </c>
      <c r="Q388" s="250" t="s">
        <v>39</v>
      </c>
      <c r="R388" s="260" t="b">
        <v>0</v>
      </c>
    </row>
    <row r="389" ht="13.5" customHeight="1">
      <c r="A389" s="261" t="s">
        <v>109</v>
      </c>
      <c r="B389" s="209" t="s">
        <v>20</v>
      </c>
      <c r="C389" s="24"/>
      <c r="D389" s="33"/>
      <c r="E389" s="262">
        <f t="shared" ref="E389:N389" si="106">E6</f>
        <v>16</v>
      </c>
      <c r="F389" s="262">
        <f t="shared" si="106"/>
        <v>26</v>
      </c>
      <c r="G389" s="263">
        <f t="shared" si="106"/>
        <v>26</v>
      </c>
      <c r="H389" s="264">
        <f t="shared" si="106"/>
        <v>26</v>
      </c>
      <c r="I389" s="213">
        <f t="shared" si="106"/>
        <v>31</v>
      </c>
      <c r="J389" s="346">
        <f t="shared" si="106"/>
        <v>36</v>
      </c>
      <c r="K389" s="346">
        <f t="shared" si="106"/>
        <v>30</v>
      </c>
      <c r="L389" s="346">
        <f t="shared" si="106"/>
        <v>35</v>
      </c>
      <c r="M389" s="346">
        <f t="shared" si="106"/>
        <v>40</v>
      </c>
      <c r="N389" s="263">
        <f t="shared" si="106"/>
        <v>15</v>
      </c>
      <c r="O389" s="214" t="s">
        <v>21</v>
      </c>
      <c r="P389" s="25"/>
      <c r="Q389" s="215" t="s">
        <v>22</v>
      </c>
      <c r="R389" s="10"/>
    </row>
    <row r="390" ht="13.5" customHeight="1">
      <c r="A390" s="216" t="s">
        <v>23</v>
      </c>
      <c r="B390" s="217" t="s">
        <v>24</v>
      </c>
      <c r="C390" s="218" t="s">
        <v>25</v>
      </c>
      <c r="D390" s="117"/>
      <c r="E390" s="219"/>
      <c r="F390" s="219"/>
      <c r="G390" s="219"/>
      <c r="H390" s="219"/>
      <c r="I390" s="220"/>
      <c r="J390" s="347"/>
      <c r="K390" s="347"/>
      <c r="L390" s="347"/>
      <c r="M390" s="347"/>
      <c r="N390" s="219"/>
      <c r="O390" s="49"/>
      <c r="P390" s="25"/>
      <c r="Q390" s="50"/>
      <c r="R390" s="10"/>
    </row>
    <row r="391" ht="13.5" customHeight="1">
      <c r="A391" s="221"/>
      <c r="B391" s="222" t="s">
        <v>110</v>
      </c>
      <c r="C391" s="223" t="s">
        <v>27</v>
      </c>
      <c r="D391" s="224"/>
      <c r="E391" s="225">
        <f t="shared" ref="E391:N391" si="107">E390-E392</f>
        <v>0</v>
      </c>
      <c r="F391" s="225">
        <f t="shared" si="107"/>
        <v>0</v>
      </c>
      <c r="G391" s="225">
        <f t="shared" si="107"/>
        <v>0</v>
      </c>
      <c r="H391" s="225">
        <f t="shared" si="107"/>
        <v>0</v>
      </c>
      <c r="I391" s="225">
        <f t="shared" si="107"/>
        <v>0</v>
      </c>
      <c r="J391" s="226">
        <f t="shared" si="107"/>
        <v>0</v>
      </c>
      <c r="K391" s="226">
        <f t="shared" si="107"/>
        <v>0</v>
      </c>
      <c r="L391" s="226">
        <f t="shared" si="107"/>
        <v>0</v>
      </c>
      <c r="M391" s="226">
        <f t="shared" si="107"/>
        <v>0</v>
      </c>
      <c r="N391" s="226">
        <f t="shared" si="107"/>
        <v>0</v>
      </c>
      <c r="O391" s="227"/>
      <c r="P391" s="30"/>
      <c r="Q391" s="228" t="s">
        <v>28</v>
      </c>
      <c r="R391" s="229" t="b">
        <v>0</v>
      </c>
    </row>
    <row r="392" ht="13.5" customHeight="1">
      <c r="A392" s="230" t="s">
        <v>29</v>
      </c>
      <c r="B392" s="231"/>
      <c r="C392" s="232" t="s">
        <v>30</v>
      </c>
      <c r="D392" s="108"/>
      <c r="E392" s="233"/>
      <c r="F392" s="233"/>
      <c r="G392" s="233"/>
      <c r="H392" s="233"/>
      <c r="I392" s="234"/>
      <c r="J392" s="234"/>
      <c r="K392" s="234"/>
      <c r="L392" s="234"/>
      <c r="M392" s="234"/>
      <c r="N392" s="233"/>
      <c r="O392" s="235" t="s">
        <v>30</v>
      </c>
      <c r="P392" s="236">
        <f>(E392*E389)+(F392*F389)+(G392*G389)+(H392*H389)+(I392*I389)+(J392*J389)+(K392*K389)+(L392*L389)+(M392*M389)+(N392*N389)</f>
        <v>0</v>
      </c>
      <c r="Q392" s="237" t="s">
        <v>31</v>
      </c>
      <c r="R392" s="238" t="b">
        <v>0</v>
      </c>
    </row>
    <row r="393" ht="16.5" customHeight="1">
      <c r="A393" s="221"/>
      <c r="B393" s="239" t="s">
        <v>33</v>
      </c>
      <c r="C393" s="232" t="s">
        <v>34</v>
      </c>
      <c r="D393" s="108"/>
      <c r="E393" s="240"/>
      <c r="F393" s="241"/>
      <c r="G393" s="241"/>
      <c r="H393" s="241"/>
      <c r="I393" s="242"/>
      <c r="J393" s="242"/>
      <c r="K393" s="242"/>
      <c r="L393" s="242"/>
      <c r="M393" s="242"/>
      <c r="N393" s="241"/>
      <c r="O393" s="243" t="s">
        <v>35</v>
      </c>
      <c r="P393" s="236">
        <f>(E393*E389)+(F393*F389)+(G393*G389)+(H393*H389)+(I393*I389)+(J393*J389)+(K393*K389)+(L393*L389)+(M393*M389)+(N393*N389)</f>
        <v>0</v>
      </c>
      <c r="Q393" s="244" t="s">
        <v>36</v>
      </c>
      <c r="R393" s="238" t="b">
        <v>0</v>
      </c>
    </row>
    <row r="394" ht="13.5" customHeight="1">
      <c r="A394" s="68"/>
      <c r="B394" s="245" t="str">
        <f>IFS(P394=0,"",B394&lt;&gt;"",B394,TRUE,NOW())</f>
        <v/>
      </c>
      <c r="C394" s="232" t="s">
        <v>37</v>
      </c>
      <c r="D394" s="108"/>
      <c r="E394" s="246"/>
      <c r="F394" s="246"/>
      <c r="G394" s="246"/>
      <c r="H394" s="246"/>
      <c r="I394" s="247"/>
      <c r="J394" s="247"/>
      <c r="K394" s="247"/>
      <c r="L394" s="247"/>
      <c r="M394" s="247"/>
      <c r="N394" s="246"/>
      <c r="O394" s="248" t="s">
        <v>38</v>
      </c>
      <c r="P394" s="249">
        <f>P393-P392</f>
        <v>0</v>
      </c>
      <c r="Q394" s="250" t="s">
        <v>39</v>
      </c>
      <c r="R394" s="238" t="b">
        <v>0</v>
      </c>
    </row>
    <row r="395" ht="13.5" customHeight="1">
      <c r="A395" s="230" t="s">
        <v>40</v>
      </c>
      <c r="B395" s="222" t="s">
        <v>110</v>
      </c>
      <c r="C395" s="223" t="s">
        <v>27</v>
      </c>
      <c r="D395" s="224"/>
      <c r="E395" s="225">
        <f t="shared" ref="E395:N395" si="108">E393-E396</f>
        <v>0</v>
      </c>
      <c r="F395" s="225">
        <f t="shared" si="108"/>
        <v>0</v>
      </c>
      <c r="G395" s="225">
        <f t="shared" si="108"/>
        <v>0</v>
      </c>
      <c r="H395" s="225">
        <f t="shared" si="108"/>
        <v>0</v>
      </c>
      <c r="I395" s="225">
        <f t="shared" si="108"/>
        <v>0</v>
      </c>
      <c r="J395" s="226">
        <f t="shared" si="108"/>
        <v>0</v>
      </c>
      <c r="K395" s="226">
        <f t="shared" si="108"/>
        <v>0</v>
      </c>
      <c r="L395" s="226">
        <f t="shared" si="108"/>
        <v>0</v>
      </c>
      <c r="M395" s="226">
        <f t="shared" si="108"/>
        <v>0</v>
      </c>
      <c r="N395" s="226">
        <f t="shared" si="108"/>
        <v>0</v>
      </c>
      <c r="O395" s="227"/>
      <c r="P395" s="30"/>
      <c r="Q395" s="228" t="s">
        <v>28</v>
      </c>
      <c r="R395" s="229" t="b">
        <v>0</v>
      </c>
    </row>
    <row r="396" ht="13.5" customHeight="1">
      <c r="A396" s="221"/>
      <c r="B396" s="231"/>
      <c r="C396" s="232" t="s">
        <v>30</v>
      </c>
      <c r="D396" s="108"/>
      <c r="E396" s="233"/>
      <c r="F396" s="233"/>
      <c r="G396" s="233"/>
      <c r="H396" s="233"/>
      <c r="I396" s="234"/>
      <c r="J396" s="348"/>
      <c r="K396" s="348"/>
      <c r="L396" s="348"/>
      <c r="M396" s="348"/>
      <c r="N396" s="251"/>
      <c r="O396" s="235" t="s">
        <v>30</v>
      </c>
      <c r="P396" s="236">
        <f>(E396*E389)+(F396*F389)+(G396*G389)+(H396*H389)+(I396*I389)+(J396*J389)+(K396*K389)+(L396*L389)+(M396*M389)+(N396*N389)</f>
        <v>0</v>
      </c>
      <c r="Q396" s="237" t="s">
        <v>31</v>
      </c>
      <c r="R396" s="238" t="b">
        <v>0</v>
      </c>
    </row>
    <row r="397" ht="13.5" customHeight="1">
      <c r="A397" s="68"/>
      <c r="B397" s="239" t="s">
        <v>42</v>
      </c>
      <c r="C397" s="232" t="s">
        <v>34</v>
      </c>
      <c r="D397" s="108"/>
      <c r="E397" s="240"/>
      <c r="F397" s="241"/>
      <c r="G397" s="241"/>
      <c r="H397" s="241"/>
      <c r="I397" s="242"/>
      <c r="J397" s="349"/>
      <c r="K397" s="349"/>
      <c r="L397" s="349"/>
      <c r="M397" s="349"/>
      <c r="N397" s="252"/>
      <c r="O397" s="243" t="s">
        <v>35</v>
      </c>
      <c r="P397" s="236">
        <f>(E397*E389)+(F397*F389)+(G397*G389)+(H397*H389)+(I397*I389)+(J397*J389)+(K397*K389)+(L397*L389)+(M397*M389)+(N397*N389)</f>
        <v>0</v>
      </c>
      <c r="Q397" s="237" t="s">
        <v>36</v>
      </c>
      <c r="R397" s="238" t="b">
        <v>0</v>
      </c>
    </row>
    <row r="398" ht="15.0" customHeight="1">
      <c r="A398" s="230" t="s">
        <v>43</v>
      </c>
      <c r="B398" s="245" t="str">
        <f>IFS(P398=0,"",B398&lt;&gt;"",B398,TRUE,NOW())</f>
        <v/>
      </c>
      <c r="C398" s="232" t="s">
        <v>37</v>
      </c>
      <c r="D398" s="108"/>
      <c r="E398" s="246"/>
      <c r="F398" s="246"/>
      <c r="G398" s="246"/>
      <c r="H398" s="246"/>
      <c r="I398" s="247"/>
      <c r="J398" s="350"/>
      <c r="K398" s="350"/>
      <c r="L398" s="350"/>
      <c r="M398" s="350"/>
      <c r="N398" s="253"/>
      <c r="O398" s="248" t="s">
        <v>38</v>
      </c>
      <c r="P398" s="249">
        <f>P397-P396</f>
        <v>0</v>
      </c>
      <c r="Q398" s="250" t="s">
        <v>39</v>
      </c>
      <c r="R398" s="238" t="b">
        <v>0</v>
      </c>
    </row>
    <row r="399" ht="13.5" customHeight="1">
      <c r="A399" s="230"/>
      <c r="B399" s="222" t="s">
        <v>110</v>
      </c>
      <c r="C399" s="223" t="s">
        <v>27</v>
      </c>
      <c r="D399" s="224"/>
      <c r="E399" s="254">
        <f t="shared" ref="E399:N399" si="109">E397-E400</f>
        <v>0</v>
      </c>
      <c r="F399" s="254">
        <f t="shared" si="109"/>
        <v>0</v>
      </c>
      <c r="G399" s="254">
        <f t="shared" si="109"/>
        <v>0</v>
      </c>
      <c r="H399" s="254">
        <f t="shared" si="109"/>
        <v>0</v>
      </c>
      <c r="I399" s="254">
        <f t="shared" si="109"/>
        <v>0</v>
      </c>
      <c r="J399" s="254">
        <f t="shared" si="109"/>
        <v>0</v>
      </c>
      <c r="K399" s="254">
        <f t="shared" si="109"/>
        <v>0</v>
      </c>
      <c r="L399" s="254">
        <f t="shared" si="109"/>
        <v>0</v>
      </c>
      <c r="M399" s="254">
        <f t="shared" si="109"/>
        <v>0</v>
      </c>
      <c r="N399" s="254">
        <f t="shared" si="109"/>
        <v>0</v>
      </c>
      <c r="O399" s="227"/>
      <c r="P399" s="30"/>
      <c r="Q399" s="228" t="s">
        <v>28</v>
      </c>
      <c r="R399" s="229" t="b">
        <v>0</v>
      </c>
    </row>
    <row r="400" ht="13.5" customHeight="1">
      <c r="A400" s="230" t="s">
        <v>45</v>
      </c>
      <c r="B400" s="231"/>
      <c r="C400" s="232" t="s">
        <v>30</v>
      </c>
      <c r="D400" s="108"/>
      <c r="E400" s="255"/>
      <c r="F400" s="255"/>
      <c r="G400" s="255"/>
      <c r="H400" s="255"/>
      <c r="I400" s="255"/>
      <c r="J400" s="255"/>
      <c r="K400" s="255"/>
      <c r="L400" s="255"/>
      <c r="M400" s="255"/>
      <c r="N400" s="255"/>
      <c r="O400" s="235" t="s">
        <v>30</v>
      </c>
      <c r="P400" s="236">
        <f>(E400*E389)+(F400*F389)+(G400*G389)+(H400*H389)+(I400*I389)+(J400*J389)+(K400*K389)+(L400*L389)+(M400*M389)+(N400*N389)</f>
        <v>0</v>
      </c>
      <c r="Q400" s="237" t="s">
        <v>31</v>
      </c>
      <c r="R400" s="238" t="b">
        <v>0</v>
      </c>
    </row>
    <row r="401" ht="13.5" customHeight="1">
      <c r="A401" s="221"/>
      <c r="B401" s="239" t="s">
        <v>47</v>
      </c>
      <c r="C401" s="232" t="s">
        <v>34</v>
      </c>
      <c r="D401" s="108"/>
      <c r="E401" s="256"/>
      <c r="F401" s="257"/>
      <c r="G401" s="257"/>
      <c r="H401" s="257"/>
      <c r="I401" s="257"/>
      <c r="J401" s="257"/>
      <c r="K401" s="257"/>
      <c r="L401" s="257"/>
      <c r="M401" s="257"/>
      <c r="N401" s="257"/>
      <c r="O401" s="243" t="s">
        <v>35</v>
      </c>
      <c r="P401" s="236">
        <f>(E401*E389)+(F401*F389)+(G401*G389)+(H401*H389)+(I401*I389)+(J401*J389)+(K401*K389)+(L401*L389)+(M401*M389)+(N401*N389)</f>
        <v>0</v>
      </c>
      <c r="Q401" s="237" t="s">
        <v>36</v>
      </c>
      <c r="R401" s="238" t="b">
        <v>0</v>
      </c>
    </row>
    <row r="402" ht="13.5" customHeight="1">
      <c r="A402" s="68"/>
      <c r="B402" s="245" t="str">
        <f>IFS(P402=0,"",B402&lt;&gt;"",B402,TRUE,NOW())</f>
        <v/>
      </c>
      <c r="C402" s="232" t="s">
        <v>37</v>
      </c>
      <c r="D402" s="108"/>
      <c r="E402" s="258"/>
      <c r="F402" s="258"/>
      <c r="G402" s="258"/>
      <c r="H402" s="258"/>
      <c r="I402" s="258"/>
      <c r="J402" s="258"/>
      <c r="K402" s="258"/>
      <c r="L402" s="258"/>
      <c r="M402" s="258"/>
      <c r="N402" s="258"/>
      <c r="O402" s="248" t="s">
        <v>38</v>
      </c>
      <c r="P402" s="249">
        <f>P401-P400</f>
        <v>0</v>
      </c>
      <c r="Q402" s="250" t="s">
        <v>39</v>
      </c>
      <c r="R402" s="238" t="b">
        <v>0</v>
      </c>
    </row>
    <row r="403" ht="13.5" customHeight="1">
      <c r="A403" s="259" t="s">
        <v>48</v>
      </c>
      <c r="B403" s="222" t="s">
        <v>110</v>
      </c>
      <c r="C403" s="223" t="s">
        <v>27</v>
      </c>
      <c r="D403" s="224"/>
      <c r="E403" s="254">
        <f t="shared" ref="E403:N403" si="110">E401-E404</f>
        <v>0</v>
      </c>
      <c r="F403" s="254">
        <f t="shared" si="110"/>
        <v>0</v>
      </c>
      <c r="G403" s="254">
        <f t="shared" si="110"/>
        <v>0</v>
      </c>
      <c r="H403" s="254">
        <f t="shared" si="110"/>
        <v>0</v>
      </c>
      <c r="I403" s="254">
        <f t="shared" si="110"/>
        <v>0</v>
      </c>
      <c r="J403" s="254">
        <f t="shared" si="110"/>
        <v>0</v>
      </c>
      <c r="K403" s="254">
        <f t="shared" si="110"/>
        <v>0</v>
      </c>
      <c r="L403" s="254">
        <f t="shared" si="110"/>
        <v>0</v>
      </c>
      <c r="M403" s="254">
        <f t="shared" si="110"/>
        <v>0</v>
      </c>
      <c r="N403" s="254">
        <f t="shared" si="110"/>
        <v>0</v>
      </c>
      <c r="O403" s="227"/>
      <c r="P403" s="30"/>
      <c r="Q403" s="228" t="s">
        <v>28</v>
      </c>
      <c r="R403" s="229" t="b">
        <v>0</v>
      </c>
    </row>
    <row r="404" ht="13.5" customHeight="1">
      <c r="A404" s="87"/>
      <c r="B404" s="231"/>
      <c r="C404" s="232" t="s">
        <v>30</v>
      </c>
      <c r="D404" s="108"/>
      <c r="E404" s="255"/>
      <c r="F404" s="255"/>
      <c r="G404" s="255"/>
      <c r="H404" s="255"/>
      <c r="I404" s="255"/>
      <c r="J404" s="255"/>
      <c r="K404" s="255"/>
      <c r="L404" s="255"/>
      <c r="M404" s="255"/>
      <c r="N404" s="255"/>
      <c r="O404" s="235" t="s">
        <v>30</v>
      </c>
      <c r="P404" s="236">
        <f>(E404*E389)+(F404*F389)+(G404*G389)+(H404*H389)+(I404*I389)+(J404*J389)+(K404*K389)+(L404*L389)+(M404*M389)+(N404*N389)</f>
        <v>0</v>
      </c>
      <c r="Q404" s="237" t="s">
        <v>31</v>
      </c>
      <c r="R404" s="238" t="b">
        <v>0</v>
      </c>
    </row>
    <row r="405" ht="15.0" customHeight="1">
      <c r="A405" s="68"/>
      <c r="B405" s="239" t="s">
        <v>49</v>
      </c>
      <c r="C405" s="232" t="s">
        <v>34</v>
      </c>
      <c r="D405" s="108"/>
      <c r="E405" s="256"/>
      <c r="F405" s="257"/>
      <c r="G405" s="257"/>
      <c r="H405" s="257"/>
      <c r="I405" s="257"/>
      <c r="J405" s="257"/>
      <c r="K405" s="257"/>
      <c r="L405" s="257"/>
      <c r="M405" s="257"/>
      <c r="N405" s="257"/>
      <c r="O405" s="243" t="s">
        <v>35</v>
      </c>
      <c r="P405" s="236">
        <f>(E405*E389)+(F405*F389)+(G405*G389)+(H405*H389)+(I405*I389)+(J405*J389)+(K405*K389)+(L405*L389)+(M405*M389)+(N405*N389)</f>
        <v>0</v>
      </c>
      <c r="Q405" s="237" t="s">
        <v>36</v>
      </c>
      <c r="R405" s="238" t="b">
        <v>0</v>
      </c>
    </row>
    <row r="406" ht="13.5" customHeight="1">
      <c r="A406" s="80"/>
      <c r="B406" s="245" t="str">
        <f>IFS(P406=0,"",B406&lt;&gt;"",B406,TRUE,NOW())</f>
        <v/>
      </c>
      <c r="C406" s="265" t="s">
        <v>37</v>
      </c>
      <c r="D406" s="117"/>
      <c r="E406" s="258"/>
      <c r="F406" s="258"/>
      <c r="G406" s="258"/>
      <c r="H406" s="258"/>
      <c r="I406" s="258"/>
      <c r="J406" s="258"/>
      <c r="K406" s="258"/>
      <c r="L406" s="258"/>
      <c r="M406" s="258"/>
      <c r="N406" s="258"/>
      <c r="O406" s="248" t="s">
        <v>38</v>
      </c>
      <c r="P406" s="249">
        <f>P405-P404</f>
        <v>0</v>
      </c>
      <c r="Q406" s="250" t="s">
        <v>39</v>
      </c>
      <c r="R406" s="260" t="b">
        <v>0</v>
      </c>
    </row>
    <row r="407" ht="13.5" customHeight="1">
      <c r="A407" s="261" t="s">
        <v>111</v>
      </c>
      <c r="B407" s="209" t="s">
        <v>20</v>
      </c>
      <c r="C407" s="24"/>
      <c r="D407" s="33"/>
      <c r="E407" s="262">
        <f t="shared" ref="E407:N407" si="111">E6</f>
        <v>16</v>
      </c>
      <c r="F407" s="262">
        <f t="shared" si="111"/>
        <v>26</v>
      </c>
      <c r="G407" s="263">
        <f t="shared" si="111"/>
        <v>26</v>
      </c>
      <c r="H407" s="264">
        <f t="shared" si="111"/>
        <v>26</v>
      </c>
      <c r="I407" s="213">
        <f t="shared" si="111"/>
        <v>31</v>
      </c>
      <c r="J407" s="346">
        <f t="shared" si="111"/>
        <v>36</v>
      </c>
      <c r="K407" s="346">
        <f t="shared" si="111"/>
        <v>30</v>
      </c>
      <c r="L407" s="346">
        <f t="shared" si="111"/>
        <v>35</v>
      </c>
      <c r="M407" s="346">
        <f t="shared" si="111"/>
        <v>40</v>
      </c>
      <c r="N407" s="263">
        <f t="shared" si="111"/>
        <v>15</v>
      </c>
      <c r="O407" s="214" t="s">
        <v>21</v>
      </c>
      <c r="P407" s="25"/>
      <c r="Q407" s="215" t="s">
        <v>22</v>
      </c>
      <c r="R407" s="10"/>
    </row>
    <row r="408" ht="13.5" customHeight="1">
      <c r="A408" s="216" t="s">
        <v>23</v>
      </c>
      <c r="B408" s="217" t="s">
        <v>24</v>
      </c>
      <c r="C408" s="218" t="s">
        <v>25</v>
      </c>
      <c r="D408" s="117"/>
      <c r="E408" s="219"/>
      <c r="F408" s="219"/>
      <c r="G408" s="219"/>
      <c r="H408" s="219"/>
      <c r="I408" s="220"/>
      <c r="J408" s="347"/>
      <c r="K408" s="347"/>
      <c r="L408" s="347"/>
      <c r="M408" s="347"/>
      <c r="N408" s="219"/>
      <c r="O408" s="49"/>
      <c r="P408" s="25"/>
      <c r="Q408" s="50"/>
      <c r="R408" s="10"/>
    </row>
    <row r="409" ht="13.5" customHeight="1">
      <c r="A409" s="221"/>
      <c r="B409" s="222" t="s">
        <v>112</v>
      </c>
      <c r="C409" s="223" t="s">
        <v>27</v>
      </c>
      <c r="D409" s="224"/>
      <c r="E409" s="225">
        <f t="shared" ref="E409:N409" si="112">E408-E410</f>
        <v>0</v>
      </c>
      <c r="F409" s="225">
        <f t="shared" si="112"/>
        <v>0</v>
      </c>
      <c r="G409" s="225">
        <f t="shared" si="112"/>
        <v>0</v>
      </c>
      <c r="H409" s="225">
        <f t="shared" si="112"/>
        <v>0</v>
      </c>
      <c r="I409" s="225">
        <f t="shared" si="112"/>
        <v>0</v>
      </c>
      <c r="J409" s="226">
        <f t="shared" si="112"/>
        <v>0</v>
      </c>
      <c r="K409" s="226">
        <f t="shared" si="112"/>
        <v>0</v>
      </c>
      <c r="L409" s="226">
        <f t="shared" si="112"/>
        <v>0</v>
      </c>
      <c r="M409" s="226">
        <f t="shared" si="112"/>
        <v>0</v>
      </c>
      <c r="N409" s="226">
        <f t="shared" si="112"/>
        <v>0</v>
      </c>
      <c r="O409" s="227"/>
      <c r="P409" s="30"/>
      <c r="Q409" s="228" t="s">
        <v>28</v>
      </c>
      <c r="R409" s="229" t="b">
        <v>0</v>
      </c>
    </row>
    <row r="410" ht="15.0" customHeight="1">
      <c r="A410" s="230" t="s">
        <v>29</v>
      </c>
      <c r="B410" s="231"/>
      <c r="C410" s="232" t="s">
        <v>30</v>
      </c>
      <c r="D410" s="108"/>
      <c r="E410" s="233"/>
      <c r="F410" s="233"/>
      <c r="G410" s="233"/>
      <c r="H410" s="233"/>
      <c r="I410" s="234"/>
      <c r="J410" s="234"/>
      <c r="K410" s="234"/>
      <c r="L410" s="234"/>
      <c r="M410" s="234"/>
      <c r="N410" s="233"/>
      <c r="O410" s="235" t="s">
        <v>30</v>
      </c>
      <c r="P410" s="236">
        <f>(E410*E407)+(F410*F407)+(G410*G407)+(H410*H407)+(I410*I407)+(J410*J407)+(K410*K407)+(L410*L407)+(M410*M407)+(N410*N407)</f>
        <v>0</v>
      </c>
      <c r="Q410" s="237" t="s">
        <v>31</v>
      </c>
      <c r="R410" s="238" t="b">
        <v>0</v>
      </c>
    </row>
    <row r="411" ht="13.5" customHeight="1">
      <c r="A411" s="221"/>
      <c r="B411" s="239" t="s">
        <v>33</v>
      </c>
      <c r="C411" s="232" t="s">
        <v>34</v>
      </c>
      <c r="D411" s="108"/>
      <c r="E411" s="240"/>
      <c r="F411" s="241"/>
      <c r="G411" s="241"/>
      <c r="H411" s="241"/>
      <c r="I411" s="242"/>
      <c r="J411" s="242"/>
      <c r="K411" s="242"/>
      <c r="L411" s="242"/>
      <c r="M411" s="242"/>
      <c r="N411" s="241"/>
      <c r="O411" s="243" t="s">
        <v>35</v>
      </c>
      <c r="P411" s="236">
        <f>(E411*E407)+(F411*F407)+(G411*G407)+(H411*H407)+(I411*I407)+(J411*J407)+(K411*K407)+(L411*L407)+(M411*M407)+(N411*N407)</f>
        <v>0</v>
      </c>
      <c r="Q411" s="244" t="s">
        <v>36</v>
      </c>
      <c r="R411" s="238" t="b">
        <v>0</v>
      </c>
    </row>
    <row r="412" ht="13.5" customHeight="1">
      <c r="A412" s="68"/>
      <c r="B412" s="245" t="str">
        <f>IFS(P412=0,"",B412&lt;&gt;"",B412,TRUE,NOW())</f>
        <v/>
      </c>
      <c r="C412" s="232" t="s">
        <v>37</v>
      </c>
      <c r="D412" s="108"/>
      <c r="E412" s="246"/>
      <c r="F412" s="246"/>
      <c r="G412" s="246"/>
      <c r="H412" s="246"/>
      <c r="I412" s="247"/>
      <c r="J412" s="247"/>
      <c r="K412" s="247"/>
      <c r="L412" s="247"/>
      <c r="M412" s="247"/>
      <c r="N412" s="246"/>
      <c r="O412" s="248" t="s">
        <v>38</v>
      </c>
      <c r="P412" s="249">
        <f>P411-P410</f>
        <v>0</v>
      </c>
      <c r="Q412" s="250" t="s">
        <v>39</v>
      </c>
      <c r="R412" s="238" t="b">
        <v>0</v>
      </c>
    </row>
    <row r="413" ht="13.5" customHeight="1">
      <c r="A413" s="230" t="s">
        <v>40</v>
      </c>
      <c r="B413" s="222" t="s">
        <v>112</v>
      </c>
      <c r="C413" s="223" t="s">
        <v>27</v>
      </c>
      <c r="D413" s="224"/>
      <c r="E413" s="225">
        <f t="shared" ref="E413:N413" si="113">E411-E414</f>
        <v>0</v>
      </c>
      <c r="F413" s="225">
        <f t="shared" si="113"/>
        <v>0</v>
      </c>
      <c r="G413" s="225">
        <f t="shared" si="113"/>
        <v>0</v>
      </c>
      <c r="H413" s="225">
        <f t="shared" si="113"/>
        <v>0</v>
      </c>
      <c r="I413" s="225">
        <f t="shared" si="113"/>
        <v>0</v>
      </c>
      <c r="J413" s="226">
        <f t="shared" si="113"/>
        <v>0</v>
      </c>
      <c r="K413" s="226">
        <f t="shared" si="113"/>
        <v>0</v>
      </c>
      <c r="L413" s="226">
        <f t="shared" si="113"/>
        <v>0</v>
      </c>
      <c r="M413" s="226">
        <f t="shared" si="113"/>
        <v>0</v>
      </c>
      <c r="N413" s="226">
        <f t="shared" si="113"/>
        <v>0</v>
      </c>
      <c r="O413" s="227"/>
      <c r="P413" s="30"/>
      <c r="Q413" s="228" t="s">
        <v>28</v>
      </c>
      <c r="R413" s="229" t="b">
        <v>0</v>
      </c>
    </row>
    <row r="414" ht="13.5" customHeight="1">
      <c r="A414" s="221"/>
      <c r="B414" s="231"/>
      <c r="C414" s="232" t="s">
        <v>30</v>
      </c>
      <c r="D414" s="108"/>
      <c r="E414" s="233"/>
      <c r="F414" s="233"/>
      <c r="G414" s="233"/>
      <c r="H414" s="233"/>
      <c r="I414" s="234"/>
      <c r="J414" s="348"/>
      <c r="K414" s="348"/>
      <c r="L414" s="348"/>
      <c r="M414" s="348"/>
      <c r="N414" s="251"/>
      <c r="O414" s="235" t="s">
        <v>30</v>
      </c>
      <c r="P414" s="236">
        <f>(E414*E407)+(F414*F407)+(G414*G407)+(H414*H407)+(I414*I407)+(J414*J407)+(K414*K407)+(L414*L407)+(M414*M407)+(N414*N407)</f>
        <v>0</v>
      </c>
      <c r="Q414" s="237" t="s">
        <v>31</v>
      </c>
      <c r="R414" s="238" t="b">
        <v>0</v>
      </c>
    </row>
    <row r="415" ht="18.75" customHeight="1">
      <c r="A415" s="68"/>
      <c r="B415" s="239" t="s">
        <v>42</v>
      </c>
      <c r="C415" s="232" t="s">
        <v>34</v>
      </c>
      <c r="D415" s="108"/>
      <c r="E415" s="240"/>
      <c r="F415" s="241"/>
      <c r="G415" s="241"/>
      <c r="H415" s="241"/>
      <c r="I415" s="242"/>
      <c r="J415" s="349"/>
      <c r="K415" s="349"/>
      <c r="L415" s="349"/>
      <c r="M415" s="349"/>
      <c r="N415" s="252"/>
      <c r="O415" s="243" t="s">
        <v>35</v>
      </c>
      <c r="P415" s="236">
        <f>(E415*E407)+(F415*F407)+(G415*G407)+(H415*H407)+(I415*I407)+(J415*J407)+(K415*K407)+(L415*L407)+(M415*M407)+(N415*N407)</f>
        <v>0</v>
      </c>
      <c r="Q415" s="237" t="s">
        <v>36</v>
      </c>
      <c r="R415" s="238" t="b">
        <v>0</v>
      </c>
    </row>
    <row r="416" ht="13.5" customHeight="1">
      <c r="A416" s="230" t="s">
        <v>43</v>
      </c>
      <c r="B416" s="245" t="str">
        <f>IFS(P416=0,"",B416&lt;&gt;"",B416,TRUE,NOW())</f>
        <v/>
      </c>
      <c r="C416" s="232" t="s">
        <v>37</v>
      </c>
      <c r="D416" s="108"/>
      <c r="E416" s="246"/>
      <c r="F416" s="246"/>
      <c r="G416" s="246"/>
      <c r="H416" s="246"/>
      <c r="I416" s="247"/>
      <c r="J416" s="350"/>
      <c r="K416" s="350"/>
      <c r="L416" s="350"/>
      <c r="M416" s="350"/>
      <c r="N416" s="253"/>
      <c r="O416" s="248" t="s">
        <v>38</v>
      </c>
      <c r="P416" s="249">
        <f>P415-P414</f>
        <v>0</v>
      </c>
      <c r="Q416" s="250" t="s">
        <v>39</v>
      </c>
      <c r="R416" s="238" t="b">
        <v>0</v>
      </c>
    </row>
    <row r="417" ht="13.5" customHeight="1">
      <c r="A417" s="230"/>
      <c r="B417" s="222" t="s">
        <v>112</v>
      </c>
      <c r="C417" s="223" t="s">
        <v>27</v>
      </c>
      <c r="D417" s="224"/>
      <c r="E417" s="254">
        <f t="shared" ref="E417:N417" si="114">E415-E418</f>
        <v>0</v>
      </c>
      <c r="F417" s="254">
        <f t="shared" si="114"/>
        <v>0</v>
      </c>
      <c r="G417" s="254">
        <f t="shared" si="114"/>
        <v>0</v>
      </c>
      <c r="H417" s="254">
        <f t="shared" si="114"/>
        <v>0</v>
      </c>
      <c r="I417" s="254">
        <f t="shared" si="114"/>
        <v>0</v>
      </c>
      <c r="J417" s="254">
        <f t="shared" si="114"/>
        <v>0</v>
      </c>
      <c r="K417" s="254">
        <f t="shared" si="114"/>
        <v>0</v>
      </c>
      <c r="L417" s="254">
        <f t="shared" si="114"/>
        <v>0</v>
      </c>
      <c r="M417" s="254">
        <f t="shared" si="114"/>
        <v>0</v>
      </c>
      <c r="N417" s="254">
        <f t="shared" si="114"/>
        <v>0</v>
      </c>
      <c r="O417" s="227"/>
      <c r="P417" s="30"/>
      <c r="Q417" s="228" t="s">
        <v>28</v>
      </c>
      <c r="R417" s="229" t="b">
        <v>0</v>
      </c>
    </row>
    <row r="418" ht="13.5" customHeight="1">
      <c r="A418" s="230" t="s">
        <v>45</v>
      </c>
      <c r="B418" s="231"/>
      <c r="C418" s="232" t="s">
        <v>30</v>
      </c>
      <c r="D418" s="108"/>
      <c r="E418" s="255"/>
      <c r="F418" s="255"/>
      <c r="G418" s="255"/>
      <c r="H418" s="255"/>
      <c r="I418" s="255"/>
      <c r="J418" s="255"/>
      <c r="K418" s="255"/>
      <c r="L418" s="255"/>
      <c r="M418" s="255"/>
      <c r="N418" s="255"/>
      <c r="O418" s="235" t="s">
        <v>30</v>
      </c>
      <c r="P418" s="236">
        <f>(E418*E407)+(F418*F407)+(G418*G407)+(H418*H407)+(I418*I407)+(J418*J407)+(K418*K407)+(L418*L407)+(M418*M407)+(N418*N407)</f>
        <v>0</v>
      </c>
      <c r="Q418" s="237" t="s">
        <v>31</v>
      </c>
      <c r="R418" s="238" t="b">
        <v>0</v>
      </c>
    </row>
    <row r="419" ht="13.5" customHeight="1">
      <c r="A419" s="221"/>
      <c r="B419" s="239" t="s">
        <v>47</v>
      </c>
      <c r="C419" s="232" t="s">
        <v>34</v>
      </c>
      <c r="D419" s="108"/>
      <c r="E419" s="256"/>
      <c r="F419" s="257"/>
      <c r="G419" s="257"/>
      <c r="H419" s="257"/>
      <c r="I419" s="257"/>
      <c r="J419" s="257"/>
      <c r="K419" s="257"/>
      <c r="L419" s="257"/>
      <c r="M419" s="257"/>
      <c r="N419" s="257"/>
      <c r="O419" s="243" t="s">
        <v>35</v>
      </c>
      <c r="P419" s="236">
        <f>(E419*E407)+(F419*F407)+(G419*G407)+(H419*H407)+(I419*I407)+(J419*J407)+(K419*K407)+(L419*L407)+(M419*M407)+(N419*N407)</f>
        <v>0</v>
      </c>
      <c r="Q419" s="237" t="s">
        <v>36</v>
      </c>
      <c r="R419" s="238" t="b">
        <v>0</v>
      </c>
    </row>
    <row r="420" ht="18.75" customHeight="1">
      <c r="A420" s="68"/>
      <c r="B420" s="245" t="str">
        <f>IFS(P420=0,"",B420&lt;&gt;"",B420,TRUE,NOW())</f>
        <v/>
      </c>
      <c r="C420" s="232" t="s">
        <v>37</v>
      </c>
      <c r="D420" s="108"/>
      <c r="E420" s="258"/>
      <c r="F420" s="258"/>
      <c r="G420" s="258"/>
      <c r="H420" s="258"/>
      <c r="I420" s="258"/>
      <c r="J420" s="258"/>
      <c r="K420" s="258"/>
      <c r="L420" s="258"/>
      <c r="M420" s="258"/>
      <c r="N420" s="258"/>
      <c r="O420" s="248" t="s">
        <v>38</v>
      </c>
      <c r="P420" s="249">
        <f>P419-P418</f>
        <v>0</v>
      </c>
      <c r="Q420" s="250" t="s">
        <v>39</v>
      </c>
      <c r="R420" s="238" t="b">
        <v>0</v>
      </c>
    </row>
    <row r="421" ht="13.5" customHeight="1">
      <c r="A421" s="259" t="s">
        <v>48</v>
      </c>
      <c r="B421" s="222" t="s">
        <v>112</v>
      </c>
      <c r="C421" s="223" t="s">
        <v>27</v>
      </c>
      <c r="D421" s="224"/>
      <c r="E421" s="254">
        <f t="shared" ref="E421:N421" si="115">E419-E422</f>
        <v>0</v>
      </c>
      <c r="F421" s="254">
        <f t="shared" si="115"/>
        <v>0</v>
      </c>
      <c r="G421" s="254">
        <f t="shared" si="115"/>
        <v>0</v>
      </c>
      <c r="H421" s="254">
        <f t="shared" si="115"/>
        <v>0</v>
      </c>
      <c r="I421" s="254">
        <f t="shared" si="115"/>
        <v>0</v>
      </c>
      <c r="J421" s="254">
        <f t="shared" si="115"/>
        <v>0</v>
      </c>
      <c r="K421" s="254">
        <f t="shared" si="115"/>
        <v>0</v>
      </c>
      <c r="L421" s="254">
        <f t="shared" si="115"/>
        <v>0</v>
      </c>
      <c r="M421" s="254">
        <f t="shared" si="115"/>
        <v>0</v>
      </c>
      <c r="N421" s="254">
        <f t="shared" si="115"/>
        <v>0</v>
      </c>
      <c r="O421" s="227"/>
      <c r="P421" s="30"/>
      <c r="Q421" s="228" t="s">
        <v>28</v>
      </c>
      <c r="R421" s="229" t="b">
        <v>0</v>
      </c>
    </row>
    <row r="422" ht="13.5" customHeight="1">
      <c r="A422" s="87"/>
      <c r="B422" s="231"/>
      <c r="C422" s="232" t="s">
        <v>30</v>
      </c>
      <c r="D422" s="108"/>
      <c r="E422" s="255"/>
      <c r="F422" s="255"/>
      <c r="G422" s="255"/>
      <c r="H422" s="255"/>
      <c r="I422" s="255"/>
      <c r="J422" s="255"/>
      <c r="K422" s="255"/>
      <c r="L422" s="255"/>
      <c r="M422" s="255"/>
      <c r="N422" s="255"/>
      <c r="O422" s="235" t="s">
        <v>30</v>
      </c>
      <c r="P422" s="236">
        <f>(E422*E407)+(F422*F407)+(G422*G407)+(H422*H407)+(I422*I407)+(J422*J407)+(K422*K407)+(L422*L407)+(M422*M407)+(N422*N407)</f>
        <v>0</v>
      </c>
      <c r="Q422" s="237" t="s">
        <v>31</v>
      </c>
      <c r="R422" s="238" t="b">
        <v>0</v>
      </c>
    </row>
    <row r="423" ht="13.5" customHeight="1">
      <c r="A423" s="68"/>
      <c r="B423" s="239" t="s">
        <v>49</v>
      </c>
      <c r="C423" s="232" t="s">
        <v>34</v>
      </c>
      <c r="D423" s="108"/>
      <c r="E423" s="256"/>
      <c r="F423" s="257"/>
      <c r="G423" s="257"/>
      <c r="H423" s="257"/>
      <c r="I423" s="257"/>
      <c r="J423" s="257"/>
      <c r="K423" s="257"/>
      <c r="L423" s="257"/>
      <c r="M423" s="257"/>
      <c r="N423" s="257"/>
      <c r="O423" s="243" t="s">
        <v>35</v>
      </c>
      <c r="P423" s="236">
        <f>(E423*E407)+(F423*F407)+(G423*G407)+(H423*H407)+(I423*I407)+(J423*J407)+(K423*K407)+(L423*L407)+(M423*M407)+(N423*N407)</f>
        <v>0</v>
      </c>
      <c r="Q423" s="237" t="s">
        <v>36</v>
      </c>
      <c r="R423" s="238" t="b">
        <v>0</v>
      </c>
    </row>
    <row r="424" ht="13.5" customHeight="1">
      <c r="A424" s="80"/>
      <c r="B424" s="245" t="str">
        <f>IFS(P424=0,"",B424&lt;&gt;"",B424,TRUE,NOW())</f>
        <v/>
      </c>
      <c r="C424" s="232" t="s">
        <v>37</v>
      </c>
      <c r="D424" s="108"/>
      <c r="E424" s="258"/>
      <c r="F424" s="258"/>
      <c r="G424" s="258"/>
      <c r="H424" s="258"/>
      <c r="I424" s="258"/>
      <c r="J424" s="258"/>
      <c r="K424" s="258"/>
      <c r="L424" s="258"/>
      <c r="M424" s="258"/>
      <c r="N424" s="258"/>
      <c r="O424" s="248" t="s">
        <v>38</v>
      </c>
      <c r="P424" s="249">
        <f>P423-P422</f>
        <v>0</v>
      </c>
      <c r="Q424" s="250" t="s">
        <v>39</v>
      </c>
      <c r="R424" s="260" t="b">
        <v>0</v>
      </c>
    </row>
    <row r="425" ht="13.5" customHeight="1">
      <c r="A425" s="261" t="s">
        <v>113</v>
      </c>
      <c r="B425" s="209" t="s">
        <v>20</v>
      </c>
      <c r="C425" s="24"/>
      <c r="D425" s="33"/>
      <c r="E425" s="262">
        <f t="shared" ref="E425:N425" si="116">E6</f>
        <v>16</v>
      </c>
      <c r="F425" s="262">
        <f t="shared" si="116"/>
        <v>26</v>
      </c>
      <c r="G425" s="263">
        <f t="shared" si="116"/>
        <v>26</v>
      </c>
      <c r="H425" s="264">
        <f t="shared" si="116"/>
        <v>26</v>
      </c>
      <c r="I425" s="213">
        <f t="shared" si="116"/>
        <v>31</v>
      </c>
      <c r="J425" s="346">
        <f t="shared" si="116"/>
        <v>36</v>
      </c>
      <c r="K425" s="346">
        <f t="shared" si="116"/>
        <v>30</v>
      </c>
      <c r="L425" s="346">
        <f t="shared" si="116"/>
        <v>35</v>
      </c>
      <c r="M425" s="346">
        <f t="shared" si="116"/>
        <v>40</v>
      </c>
      <c r="N425" s="263">
        <f t="shared" si="116"/>
        <v>15</v>
      </c>
      <c r="O425" s="214" t="s">
        <v>21</v>
      </c>
      <c r="P425" s="25"/>
      <c r="Q425" s="215" t="s">
        <v>22</v>
      </c>
      <c r="R425" s="10"/>
    </row>
    <row r="426" ht="13.5" customHeight="1">
      <c r="A426" s="216" t="s">
        <v>23</v>
      </c>
      <c r="B426" s="217" t="s">
        <v>24</v>
      </c>
      <c r="C426" s="218" t="s">
        <v>25</v>
      </c>
      <c r="D426" s="117"/>
      <c r="E426" s="219"/>
      <c r="F426" s="219"/>
      <c r="G426" s="219"/>
      <c r="H426" s="219"/>
      <c r="I426" s="220"/>
      <c r="J426" s="347"/>
      <c r="K426" s="347"/>
      <c r="L426" s="347"/>
      <c r="M426" s="347"/>
      <c r="N426" s="219"/>
      <c r="O426" s="49"/>
      <c r="P426" s="25"/>
      <c r="Q426" s="50"/>
      <c r="R426" s="10"/>
    </row>
    <row r="427" ht="15.0" customHeight="1">
      <c r="A427" s="221"/>
      <c r="B427" s="222" t="s">
        <v>114</v>
      </c>
      <c r="C427" s="223" t="s">
        <v>27</v>
      </c>
      <c r="D427" s="224"/>
      <c r="E427" s="225">
        <f t="shared" ref="E427:N427" si="117">E426-E428</f>
        <v>0</v>
      </c>
      <c r="F427" s="225">
        <f t="shared" si="117"/>
        <v>0</v>
      </c>
      <c r="G427" s="225">
        <f t="shared" si="117"/>
        <v>0</v>
      </c>
      <c r="H427" s="225">
        <f t="shared" si="117"/>
        <v>0</v>
      </c>
      <c r="I427" s="225">
        <f t="shared" si="117"/>
        <v>0</v>
      </c>
      <c r="J427" s="226">
        <f t="shared" si="117"/>
        <v>0</v>
      </c>
      <c r="K427" s="226">
        <f t="shared" si="117"/>
        <v>0</v>
      </c>
      <c r="L427" s="226">
        <f t="shared" si="117"/>
        <v>0</v>
      </c>
      <c r="M427" s="226">
        <f t="shared" si="117"/>
        <v>0</v>
      </c>
      <c r="N427" s="226">
        <f t="shared" si="117"/>
        <v>0</v>
      </c>
      <c r="O427" s="227"/>
      <c r="P427" s="30"/>
      <c r="Q427" s="228" t="s">
        <v>28</v>
      </c>
      <c r="R427" s="229" t="b">
        <v>0</v>
      </c>
    </row>
    <row r="428" ht="13.5" customHeight="1">
      <c r="A428" s="230" t="s">
        <v>29</v>
      </c>
      <c r="B428" s="231"/>
      <c r="C428" s="232" t="s">
        <v>30</v>
      </c>
      <c r="D428" s="108"/>
      <c r="E428" s="233"/>
      <c r="F428" s="233"/>
      <c r="G428" s="233"/>
      <c r="H428" s="233"/>
      <c r="I428" s="234"/>
      <c r="J428" s="234"/>
      <c r="K428" s="234"/>
      <c r="L428" s="234"/>
      <c r="M428" s="234"/>
      <c r="N428" s="233"/>
      <c r="O428" s="235" t="s">
        <v>30</v>
      </c>
      <c r="P428" s="236">
        <f>(E428*E425)+(F428*F425)+(G428*G425)+(H428*H425)+(I428*I425)+(J428*J425)+(K428*K425)+(L428*L425)+(M428*M425)+(N428*N425)</f>
        <v>0</v>
      </c>
      <c r="Q428" s="237" t="s">
        <v>31</v>
      </c>
      <c r="R428" s="238" t="b">
        <v>0</v>
      </c>
    </row>
    <row r="429" ht="13.5" customHeight="1">
      <c r="A429" s="221"/>
      <c r="B429" s="239" t="s">
        <v>33</v>
      </c>
      <c r="C429" s="232" t="s">
        <v>34</v>
      </c>
      <c r="D429" s="108"/>
      <c r="E429" s="240"/>
      <c r="F429" s="241"/>
      <c r="G429" s="241"/>
      <c r="H429" s="241"/>
      <c r="I429" s="242"/>
      <c r="J429" s="242"/>
      <c r="K429" s="242"/>
      <c r="L429" s="242"/>
      <c r="M429" s="242"/>
      <c r="N429" s="241"/>
      <c r="O429" s="243" t="s">
        <v>35</v>
      </c>
      <c r="P429" s="236">
        <f>(E429*E425)+(F429*F425)+(G429*G425)+(H429*H425)+(I429*I425)+(J429*J425)+(K429*K425)+(L429*L425)+(M429*M425)+(N429*N425)</f>
        <v>0</v>
      </c>
      <c r="Q429" s="244" t="s">
        <v>36</v>
      </c>
      <c r="R429" s="238" t="b">
        <v>0</v>
      </c>
    </row>
    <row r="430" ht="13.5" customHeight="1">
      <c r="A430" s="68"/>
      <c r="B430" s="245" t="str">
        <f>IFS(P430=0,"",B430&lt;&gt;"",B430,TRUE,NOW())</f>
        <v/>
      </c>
      <c r="C430" s="232" t="s">
        <v>37</v>
      </c>
      <c r="D430" s="108"/>
      <c r="E430" s="246"/>
      <c r="F430" s="246"/>
      <c r="G430" s="246"/>
      <c r="H430" s="246"/>
      <c r="I430" s="247"/>
      <c r="J430" s="247"/>
      <c r="K430" s="247"/>
      <c r="L430" s="247"/>
      <c r="M430" s="247"/>
      <c r="N430" s="246"/>
      <c r="O430" s="248" t="s">
        <v>38</v>
      </c>
      <c r="P430" s="249">
        <f>P429-P428</f>
        <v>0</v>
      </c>
      <c r="Q430" s="250" t="s">
        <v>39</v>
      </c>
      <c r="R430" s="238" t="b">
        <v>0</v>
      </c>
    </row>
    <row r="431" ht="13.5" customHeight="1">
      <c r="A431" s="230" t="s">
        <v>40</v>
      </c>
      <c r="B431" s="222" t="s">
        <v>114</v>
      </c>
      <c r="C431" s="223" t="s">
        <v>27</v>
      </c>
      <c r="D431" s="224"/>
      <c r="E431" s="225">
        <f t="shared" ref="E431:N431" si="118">E429-E432</f>
        <v>0</v>
      </c>
      <c r="F431" s="225">
        <f t="shared" si="118"/>
        <v>0</v>
      </c>
      <c r="G431" s="225">
        <f t="shared" si="118"/>
        <v>0</v>
      </c>
      <c r="H431" s="225">
        <f t="shared" si="118"/>
        <v>0</v>
      </c>
      <c r="I431" s="225">
        <f t="shared" si="118"/>
        <v>0</v>
      </c>
      <c r="J431" s="226">
        <f t="shared" si="118"/>
        <v>0</v>
      </c>
      <c r="K431" s="226">
        <f t="shared" si="118"/>
        <v>0</v>
      </c>
      <c r="L431" s="226">
        <f t="shared" si="118"/>
        <v>0</v>
      </c>
      <c r="M431" s="226">
        <f t="shared" si="118"/>
        <v>0</v>
      </c>
      <c r="N431" s="226">
        <f t="shared" si="118"/>
        <v>0</v>
      </c>
      <c r="O431" s="227"/>
      <c r="P431" s="30"/>
      <c r="Q431" s="228" t="s">
        <v>28</v>
      </c>
      <c r="R431" s="229" t="b">
        <v>0</v>
      </c>
    </row>
    <row r="432" ht="15.0" customHeight="1">
      <c r="A432" s="221"/>
      <c r="B432" s="231"/>
      <c r="C432" s="232" t="s">
        <v>30</v>
      </c>
      <c r="D432" s="108"/>
      <c r="E432" s="233"/>
      <c r="F432" s="233"/>
      <c r="G432" s="233"/>
      <c r="H432" s="233"/>
      <c r="I432" s="234"/>
      <c r="J432" s="348"/>
      <c r="K432" s="348"/>
      <c r="L432" s="348"/>
      <c r="M432" s="348"/>
      <c r="N432" s="251"/>
      <c r="O432" s="235" t="s">
        <v>30</v>
      </c>
      <c r="P432" s="236">
        <f>(E432*E425)+(F432*F425)+(G432*G425)+(H432*H425)+(I432*I425)+(J432*J425)+(K432*K425)+(L432*L425)+(M432*M425)+(N432*N425)</f>
        <v>0</v>
      </c>
      <c r="Q432" s="237" t="s">
        <v>31</v>
      </c>
      <c r="R432" s="238" t="b">
        <v>0</v>
      </c>
    </row>
    <row r="433" ht="13.5" customHeight="1">
      <c r="A433" s="68"/>
      <c r="B433" s="239" t="s">
        <v>42</v>
      </c>
      <c r="C433" s="232" t="s">
        <v>34</v>
      </c>
      <c r="D433" s="108"/>
      <c r="E433" s="240"/>
      <c r="F433" s="241"/>
      <c r="G433" s="241"/>
      <c r="H433" s="241"/>
      <c r="I433" s="242"/>
      <c r="J433" s="349"/>
      <c r="K433" s="349"/>
      <c r="L433" s="349"/>
      <c r="M433" s="349"/>
      <c r="N433" s="252"/>
      <c r="O433" s="243" t="s">
        <v>35</v>
      </c>
      <c r="P433" s="236">
        <f>(E433*E425)+(F433*F425)+(G433*G425)+(H433*H425)+(I433*I425)+(J433*J425)+(K433*K425)+(L433*L425)+(M433*M425)+(N433*N425)</f>
        <v>0</v>
      </c>
      <c r="Q433" s="237" t="s">
        <v>36</v>
      </c>
      <c r="R433" s="238" t="b">
        <v>0</v>
      </c>
    </row>
    <row r="434" ht="13.5" customHeight="1">
      <c r="A434" s="230" t="s">
        <v>43</v>
      </c>
      <c r="B434" s="245" t="str">
        <f>IFS(P434=0,"",B434&lt;&gt;"",B434,TRUE,NOW())</f>
        <v/>
      </c>
      <c r="C434" s="232" t="s">
        <v>37</v>
      </c>
      <c r="D434" s="108"/>
      <c r="E434" s="246"/>
      <c r="F434" s="246"/>
      <c r="G434" s="246"/>
      <c r="H434" s="246"/>
      <c r="I434" s="247"/>
      <c r="J434" s="350"/>
      <c r="K434" s="350"/>
      <c r="L434" s="350"/>
      <c r="M434" s="350"/>
      <c r="N434" s="253"/>
      <c r="O434" s="248" t="s">
        <v>38</v>
      </c>
      <c r="P434" s="249">
        <f>P433-P432</f>
        <v>0</v>
      </c>
      <c r="Q434" s="250" t="s">
        <v>39</v>
      </c>
      <c r="R434" s="238" t="b">
        <v>0</v>
      </c>
    </row>
    <row r="435" ht="13.5" customHeight="1">
      <c r="A435" s="230"/>
      <c r="B435" s="222" t="s">
        <v>114</v>
      </c>
      <c r="C435" s="223" t="s">
        <v>27</v>
      </c>
      <c r="D435" s="224"/>
      <c r="E435" s="254">
        <f t="shared" ref="E435:N435" si="119">E433-E436</f>
        <v>0</v>
      </c>
      <c r="F435" s="254">
        <f t="shared" si="119"/>
        <v>0</v>
      </c>
      <c r="G435" s="254">
        <f t="shared" si="119"/>
        <v>0</v>
      </c>
      <c r="H435" s="254">
        <f t="shared" si="119"/>
        <v>0</v>
      </c>
      <c r="I435" s="254">
        <f t="shared" si="119"/>
        <v>0</v>
      </c>
      <c r="J435" s="254">
        <f t="shared" si="119"/>
        <v>0</v>
      </c>
      <c r="K435" s="254">
        <f t="shared" si="119"/>
        <v>0</v>
      </c>
      <c r="L435" s="254">
        <f t="shared" si="119"/>
        <v>0</v>
      </c>
      <c r="M435" s="254">
        <f t="shared" si="119"/>
        <v>0</v>
      </c>
      <c r="N435" s="254">
        <f t="shared" si="119"/>
        <v>0</v>
      </c>
      <c r="O435" s="227"/>
      <c r="P435" s="30"/>
      <c r="Q435" s="228" t="s">
        <v>28</v>
      </c>
      <c r="R435" s="229" t="b">
        <v>0</v>
      </c>
    </row>
    <row r="436" ht="13.5" customHeight="1">
      <c r="A436" s="230" t="s">
        <v>45</v>
      </c>
      <c r="B436" s="231"/>
      <c r="C436" s="232" t="s">
        <v>30</v>
      </c>
      <c r="D436" s="108"/>
      <c r="E436" s="255"/>
      <c r="F436" s="255"/>
      <c r="G436" s="255"/>
      <c r="H436" s="255"/>
      <c r="I436" s="255"/>
      <c r="J436" s="255"/>
      <c r="K436" s="255"/>
      <c r="L436" s="255"/>
      <c r="M436" s="255"/>
      <c r="N436" s="255"/>
      <c r="O436" s="235" t="s">
        <v>30</v>
      </c>
      <c r="P436" s="236">
        <f>(E436*E425)+(F436*F425)+(G436*G425)+(H436*H425)+(I436*I425)+(J436*J425)+(K436*K425)+(L436*L425)+(M436*M425)+(N436*N425)</f>
        <v>0</v>
      </c>
      <c r="Q436" s="237" t="s">
        <v>31</v>
      </c>
      <c r="R436" s="238" t="b">
        <v>0</v>
      </c>
    </row>
    <row r="437" ht="15.0" customHeight="1">
      <c r="A437" s="221"/>
      <c r="B437" s="239" t="s">
        <v>47</v>
      </c>
      <c r="C437" s="232" t="s">
        <v>34</v>
      </c>
      <c r="D437" s="108"/>
      <c r="E437" s="256"/>
      <c r="F437" s="257"/>
      <c r="G437" s="257"/>
      <c r="H437" s="257"/>
      <c r="I437" s="257"/>
      <c r="J437" s="257"/>
      <c r="K437" s="257"/>
      <c r="L437" s="257"/>
      <c r="M437" s="257"/>
      <c r="N437" s="257"/>
      <c r="O437" s="243" t="s">
        <v>35</v>
      </c>
      <c r="P437" s="236">
        <f>(E437*E425)+(F437*F425)+(G437*G425)+(H437*H425)+(I437*I425)+(J437*J425)+(K437*K425)+(L437*L425)+(M437*M425)+(N437*N425)</f>
        <v>0</v>
      </c>
      <c r="Q437" s="237" t="s">
        <v>36</v>
      </c>
      <c r="R437" s="238" t="b">
        <v>0</v>
      </c>
    </row>
    <row r="438" ht="13.5" customHeight="1">
      <c r="A438" s="68"/>
      <c r="B438" s="245" t="str">
        <f>IFS(P438=0,"",B438&lt;&gt;"",B438,TRUE,NOW())</f>
        <v/>
      </c>
      <c r="C438" s="232" t="s">
        <v>37</v>
      </c>
      <c r="D438" s="108"/>
      <c r="E438" s="258"/>
      <c r="F438" s="258"/>
      <c r="G438" s="258"/>
      <c r="H438" s="258"/>
      <c r="I438" s="258"/>
      <c r="J438" s="258"/>
      <c r="K438" s="258"/>
      <c r="L438" s="258"/>
      <c r="M438" s="258"/>
      <c r="N438" s="258"/>
      <c r="O438" s="248" t="s">
        <v>38</v>
      </c>
      <c r="P438" s="249">
        <f>P437-P436</f>
        <v>0</v>
      </c>
      <c r="Q438" s="250" t="s">
        <v>39</v>
      </c>
      <c r="R438" s="238" t="b">
        <v>0</v>
      </c>
    </row>
    <row r="439" ht="13.5" customHeight="1">
      <c r="A439" s="259" t="s">
        <v>48</v>
      </c>
      <c r="B439" s="222" t="s">
        <v>114</v>
      </c>
      <c r="C439" s="223" t="s">
        <v>27</v>
      </c>
      <c r="D439" s="224"/>
      <c r="E439" s="254">
        <f t="shared" ref="E439:N439" si="120">E437-E440</f>
        <v>0</v>
      </c>
      <c r="F439" s="254">
        <f t="shared" si="120"/>
        <v>0</v>
      </c>
      <c r="G439" s="254">
        <f t="shared" si="120"/>
        <v>0</v>
      </c>
      <c r="H439" s="254">
        <f t="shared" si="120"/>
        <v>0</v>
      </c>
      <c r="I439" s="254">
        <f t="shared" si="120"/>
        <v>0</v>
      </c>
      <c r="J439" s="254">
        <f t="shared" si="120"/>
        <v>0</v>
      </c>
      <c r="K439" s="254">
        <f t="shared" si="120"/>
        <v>0</v>
      </c>
      <c r="L439" s="254">
        <f t="shared" si="120"/>
        <v>0</v>
      </c>
      <c r="M439" s="254">
        <f t="shared" si="120"/>
        <v>0</v>
      </c>
      <c r="N439" s="254">
        <f t="shared" si="120"/>
        <v>0</v>
      </c>
      <c r="O439" s="227"/>
      <c r="P439" s="30"/>
      <c r="Q439" s="228" t="s">
        <v>28</v>
      </c>
      <c r="R439" s="229" t="b">
        <v>0</v>
      </c>
    </row>
    <row r="440" ht="13.5" customHeight="1">
      <c r="A440" s="87"/>
      <c r="B440" s="231"/>
      <c r="C440" s="232" t="s">
        <v>30</v>
      </c>
      <c r="D440" s="108"/>
      <c r="E440" s="255"/>
      <c r="F440" s="255"/>
      <c r="G440" s="255"/>
      <c r="H440" s="255"/>
      <c r="I440" s="255"/>
      <c r="J440" s="255"/>
      <c r="K440" s="255"/>
      <c r="L440" s="255"/>
      <c r="M440" s="255"/>
      <c r="N440" s="255"/>
      <c r="O440" s="235" t="s">
        <v>30</v>
      </c>
      <c r="P440" s="236">
        <f>(E440*E425)+(F440*F425)+(G440*G425)+(H440*H425)+(I440*I425)+(J440*J425)+(K440*K425)+(L440*L425)+(M440*M425)+(N440*N425)</f>
        <v>0</v>
      </c>
      <c r="Q440" s="237" t="s">
        <v>31</v>
      </c>
      <c r="R440" s="238" t="b">
        <v>0</v>
      </c>
    </row>
    <row r="441" ht="13.5" customHeight="1">
      <c r="A441" s="68"/>
      <c r="B441" s="239" t="s">
        <v>49</v>
      </c>
      <c r="C441" s="232" t="s">
        <v>34</v>
      </c>
      <c r="D441" s="108"/>
      <c r="E441" s="256"/>
      <c r="F441" s="257"/>
      <c r="G441" s="257"/>
      <c r="H441" s="257"/>
      <c r="I441" s="257"/>
      <c r="J441" s="257"/>
      <c r="K441" s="257"/>
      <c r="L441" s="257"/>
      <c r="M441" s="257"/>
      <c r="N441" s="257"/>
      <c r="O441" s="243" t="s">
        <v>35</v>
      </c>
      <c r="P441" s="236">
        <f>(E441*E425)+(F441*F425)+(G441*G425)+(H441*H425)+(I441*I425)+(J441*J425)+(K441*K425)+(L441*L425)+(M441*M425)+(N441*N425)</f>
        <v>0</v>
      </c>
      <c r="Q441" s="237" t="s">
        <v>36</v>
      </c>
      <c r="R441" s="238" t="b">
        <v>0</v>
      </c>
    </row>
    <row r="442" ht="15.0" customHeight="1">
      <c r="A442" s="80"/>
      <c r="B442" s="245" t="str">
        <f>IFS(P442=0,"",B442&lt;&gt;"",B442,TRUE,NOW())</f>
        <v/>
      </c>
      <c r="C442" s="232" t="s">
        <v>37</v>
      </c>
      <c r="D442" s="108"/>
      <c r="E442" s="258"/>
      <c r="F442" s="258"/>
      <c r="G442" s="258"/>
      <c r="H442" s="258"/>
      <c r="I442" s="258"/>
      <c r="J442" s="258"/>
      <c r="K442" s="258"/>
      <c r="L442" s="258"/>
      <c r="M442" s="258"/>
      <c r="N442" s="258"/>
      <c r="O442" s="248" t="s">
        <v>38</v>
      </c>
      <c r="P442" s="249">
        <f>P441-P440</f>
        <v>0</v>
      </c>
      <c r="Q442" s="250" t="s">
        <v>39</v>
      </c>
      <c r="R442" s="260" t="b">
        <v>0</v>
      </c>
    </row>
    <row r="443" ht="13.5" customHeight="1">
      <c r="A443" s="261" t="s">
        <v>115</v>
      </c>
      <c r="B443" s="209" t="s">
        <v>20</v>
      </c>
      <c r="C443" s="24"/>
      <c r="D443" s="33"/>
      <c r="E443" s="262">
        <f t="shared" ref="E443:N443" si="121">E6</f>
        <v>16</v>
      </c>
      <c r="F443" s="262">
        <f t="shared" si="121"/>
        <v>26</v>
      </c>
      <c r="G443" s="263">
        <f t="shared" si="121"/>
        <v>26</v>
      </c>
      <c r="H443" s="264">
        <f t="shared" si="121"/>
        <v>26</v>
      </c>
      <c r="I443" s="213">
        <f t="shared" si="121"/>
        <v>31</v>
      </c>
      <c r="J443" s="346">
        <f t="shared" si="121"/>
        <v>36</v>
      </c>
      <c r="K443" s="346">
        <f t="shared" si="121"/>
        <v>30</v>
      </c>
      <c r="L443" s="346">
        <f t="shared" si="121"/>
        <v>35</v>
      </c>
      <c r="M443" s="346">
        <f t="shared" si="121"/>
        <v>40</v>
      </c>
      <c r="N443" s="263">
        <f t="shared" si="121"/>
        <v>15</v>
      </c>
      <c r="O443" s="214" t="s">
        <v>21</v>
      </c>
      <c r="P443" s="25"/>
      <c r="Q443" s="215" t="s">
        <v>22</v>
      </c>
      <c r="R443" s="10"/>
    </row>
    <row r="444" ht="13.5" customHeight="1">
      <c r="A444" s="216" t="s">
        <v>23</v>
      </c>
      <c r="B444" s="217" t="s">
        <v>24</v>
      </c>
      <c r="C444" s="218" t="s">
        <v>25</v>
      </c>
      <c r="D444" s="117"/>
      <c r="E444" s="219"/>
      <c r="F444" s="219"/>
      <c r="G444" s="219"/>
      <c r="H444" s="219"/>
      <c r="I444" s="220"/>
      <c r="J444" s="347"/>
      <c r="K444" s="347"/>
      <c r="L444" s="347"/>
      <c r="M444" s="347"/>
      <c r="N444" s="219"/>
      <c r="O444" s="49"/>
      <c r="P444" s="25"/>
      <c r="Q444" s="50"/>
      <c r="R444" s="10"/>
    </row>
    <row r="445" ht="13.5" customHeight="1">
      <c r="A445" s="221"/>
      <c r="B445" s="222" t="s">
        <v>116</v>
      </c>
      <c r="C445" s="223" t="s">
        <v>27</v>
      </c>
      <c r="D445" s="224"/>
      <c r="E445" s="225">
        <f t="shared" ref="E445:N445" si="122">E444-E446</f>
        <v>0</v>
      </c>
      <c r="F445" s="225">
        <f t="shared" si="122"/>
        <v>0</v>
      </c>
      <c r="G445" s="225">
        <f t="shared" si="122"/>
        <v>0</v>
      </c>
      <c r="H445" s="225">
        <f t="shared" si="122"/>
        <v>0</v>
      </c>
      <c r="I445" s="225">
        <f t="shared" si="122"/>
        <v>0</v>
      </c>
      <c r="J445" s="226">
        <f t="shared" si="122"/>
        <v>0</v>
      </c>
      <c r="K445" s="226">
        <f t="shared" si="122"/>
        <v>0</v>
      </c>
      <c r="L445" s="226">
        <f t="shared" si="122"/>
        <v>0</v>
      </c>
      <c r="M445" s="226">
        <f t="shared" si="122"/>
        <v>0</v>
      </c>
      <c r="N445" s="226">
        <f t="shared" si="122"/>
        <v>0</v>
      </c>
      <c r="O445" s="227"/>
      <c r="P445" s="30"/>
      <c r="Q445" s="228" t="s">
        <v>28</v>
      </c>
      <c r="R445" s="229" t="b">
        <v>0</v>
      </c>
    </row>
    <row r="446" ht="13.5" customHeight="1">
      <c r="A446" s="230" t="s">
        <v>29</v>
      </c>
      <c r="B446" s="231"/>
      <c r="C446" s="232" t="s">
        <v>30</v>
      </c>
      <c r="D446" s="108"/>
      <c r="E446" s="233"/>
      <c r="F446" s="233"/>
      <c r="G446" s="233"/>
      <c r="H446" s="233"/>
      <c r="I446" s="234"/>
      <c r="J446" s="234"/>
      <c r="K446" s="234"/>
      <c r="L446" s="234"/>
      <c r="M446" s="234"/>
      <c r="N446" s="233"/>
      <c r="O446" s="235" t="s">
        <v>30</v>
      </c>
      <c r="P446" s="236">
        <f>(E446*E443)+(F446*F443)+(G446*G443)+(H446*H443)+(I446*I443)+(J446*J443)+(K446*K443)+(L446*L443)+(M446*M443)+(N446*N443)</f>
        <v>0</v>
      </c>
      <c r="Q446" s="237" t="s">
        <v>31</v>
      </c>
      <c r="R446" s="238" t="b">
        <v>0</v>
      </c>
    </row>
    <row r="447" ht="13.5" customHeight="1">
      <c r="A447" s="221"/>
      <c r="B447" s="239" t="s">
        <v>33</v>
      </c>
      <c r="C447" s="232" t="s">
        <v>34</v>
      </c>
      <c r="D447" s="108"/>
      <c r="E447" s="240"/>
      <c r="F447" s="241"/>
      <c r="G447" s="241"/>
      <c r="H447" s="241"/>
      <c r="I447" s="242"/>
      <c r="J447" s="242"/>
      <c r="K447" s="242"/>
      <c r="L447" s="242"/>
      <c r="M447" s="242"/>
      <c r="N447" s="241"/>
      <c r="O447" s="243" t="s">
        <v>35</v>
      </c>
      <c r="P447" s="236">
        <f>(E447*E443)+(F447*F443)+(G447*G443)+(H447*H443)+(I447*I443)+(J447*J443)+(K447*K443)+(L447*L443)+(M447*M443)+(N447*N443)</f>
        <v>0</v>
      </c>
      <c r="Q447" s="244" t="s">
        <v>36</v>
      </c>
      <c r="R447" s="238" t="b">
        <v>0</v>
      </c>
    </row>
    <row r="448" ht="13.5" customHeight="1">
      <c r="A448" s="68"/>
      <c r="B448" s="245" t="str">
        <f>IFS(P448=0,"",B448&lt;&gt;"",B448,TRUE,NOW())</f>
        <v/>
      </c>
      <c r="C448" s="232" t="s">
        <v>37</v>
      </c>
      <c r="D448" s="108"/>
      <c r="E448" s="246"/>
      <c r="F448" s="246"/>
      <c r="G448" s="246"/>
      <c r="H448" s="246"/>
      <c r="I448" s="247"/>
      <c r="J448" s="247"/>
      <c r="K448" s="247"/>
      <c r="L448" s="247"/>
      <c r="M448" s="247"/>
      <c r="N448" s="246"/>
      <c r="O448" s="248" t="s">
        <v>38</v>
      </c>
      <c r="P448" s="249">
        <f>P447-P446</f>
        <v>0</v>
      </c>
      <c r="Q448" s="250" t="s">
        <v>39</v>
      </c>
      <c r="R448" s="238" t="b">
        <v>0</v>
      </c>
    </row>
    <row r="449" ht="17.25" customHeight="1">
      <c r="A449" s="230" t="s">
        <v>40</v>
      </c>
      <c r="B449" s="222" t="s">
        <v>116</v>
      </c>
      <c r="C449" s="223" t="s">
        <v>27</v>
      </c>
      <c r="D449" s="224"/>
      <c r="E449" s="225">
        <f t="shared" ref="E449:N449" si="123">E447-E450</f>
        <v>0</v>
      </c>
      <c r="F449" s="225">
        <f t="shared" si="123"/>
        <v>0</v>
      </c>
      <c r="G449" s="225">
        <f t="shared" si="123"/>
        <v>0</v>
      </c>
      <c r="H449" s="225">
        <f t="shared" si="123"/>
        <v>0</v>
      </c>
      <c r="I449" s="225">
        <f t="shared" si="123"/>
        <v>0</v>
      </c>
      <c r="J449" s="226">
        <f t="shared" si="123"/>
        <v>0</v>
      </c>
      <c r="K449" s="226">
        <f t="shared" si="123"/>
        <v>0</v>
      </c>
      <c r="L449" s="226">
        <f t="shared" si="123"/>
        <v>0</v>
      </c>
      <c r="M449" s="226">
        <f t="shared" si="123"/>
        <v>0</v>
      </c>
      <c r="N449" s="226">
        <f t="shared" si="123"/>
        <v>0</v>
      </c>
      <c r="O449" s="227"/>
      <c r="P449" s="30"/>
      <c r="Q449" s="228" t="s">
        <v>28</v>
      </c>
      <c r="R449" s="229" t="b">
        <v>0</v>
      </c>
    </row>
    <row r="450" ht="13.5" customHeight="1">
      <c r="A450" s="221"/>
      <c r="B450" s="231"/>
      <c r="C450" s="232" t="s">
        <v>30</v>
      </c>
      <c r="D450" s="108"/>
      <c r="E450" s="233"/>
      <c r="F450" s="233"/>
      <c r="G450" s="233"/>
      <c r="H450" s="233"/>
      <c r="I450" s="234"/>
      <c r="J450" s="348"/>
      <c r="K450" s="348"/>
      <c r="L450" s="348"/>
      <c r="M450" s="348"/>
      <c r="N450" s="251"/>
      <c r="O450" s="235" t="s">
        <v>30</v>
      </c>
      <c r="P450" s="236">
        <f>(E450*E443)+(F450*F443)+(G450*G443)+(H450*H443)+(I450*I443)+(J450*J443)+(K450*K443)+(L450*L443)+(M450*M443)+(N450*N443)</f>
        <v>0</v>
      </c>
      <c r="Q450" s="237" t="s">
        <v>31</v>
      </c>
      <c r="R450" s="238" t="b">
        <v>0</v>
      </c>
    </row>
    <row r="451" ht="13.5" customHeight="1">
      <c r="A451" s="68"/>
      <c r="B451" s="239" t="s">
        <v>42</v>
      </c>
      <c r="C451" s="232" t="s">
        <v>34</v>
      </c>
      <c r="D451" s="108"/>
      <c r="E451" s="240"/>
      <c r="F451" s="241"/>
      <c r="G451" s="241"/>
      <c r="H451" s="241"/>
      <c r="I451" s="242"/>
      <c r="J451" s="349"/>
      <c r="K451" s="349"/>
      <c r="L451" s="349"/>
      <c r="M451" s="349"/>
      <c r="N451" s="252"/>
      <c r="O451" s="243" t="s">
        <v>35</v>
      </c>
      <c r="P451" s="236">
        <f>(E451*E443)+(F451*F443)+(G451*G443)+(H451*H443)+(I451*I443)+(J451*J443)+(K451*K443)+(L451*L443)+(M451*M443)+(N451*N443)</f>
        <v>0</v>
      </c>
      <c r="Q451" s="237" t="s">
        <v>36</v>
      </c>
      <c r="R451" s="238" t="b">
        <v>0</v>
      </c>
    </row>
    <row r="452" ht="13.5" customHeight="1">
      <c r="A452" s="230" t="s">
        <v>43</v>
      </c>
      <c r="B452" s="245" t="str">
        <f>IFS(P452=0,"",B452&lt;&gt;"",B452,TRUE,NOW())</f>
        <v/>
      </c>
      <c r="C452" s="232" t="s">
        <v>37</v>
      </c>
      <c r="D452" s="108"/>
      <c r="E452" s="246"/>
      <c r="F452" s="246"/>
      <c r="G452" s="246"/>
      <c r="H452" s="246"/>
      <c r="I452" s="247"/>
      <c r="J452" s="350"/>
      <c r="K452" s="350"/>
      <c r="L452" s="350"/>
      <c r="M452" s="350"/>
      <c r="N452" s="253"/>
      <c r="O452" s="248" t="s">
        <v>38</v>
      </c>
      <c r="P452" s="249">
        <f>P451-P450</f>
        <v>0</v>
      </c>
      <c r="Q452" s="250" t="s">
        <v>39</v>
      </c>
      <c r="R452" s="238" t="b">
        <v>0</v>
      </c>
    </row>
    <row r="453" ht="13.5" customHeight="1">
      <c r="A453" s="230"/>
      <c r="B453" s="222" t="s">
        <v>116</v>
      </c>
      <c r="C453" s="223" t="s">
        <v>27</v>
      </c>
      <c r="D453" s="224"/>
      <c r="E453" s="254">
        <f t="shared" ref="E453:N453" si="124">E451-E454</f>
        <v>0</v>
      </c>
      <c r="F453" s="254">
        <f t="shared" si="124"/>
        <v>0</v>
      </c>
      <c r="G453" s="254">
        <f t="shared" si="124"/>
        <v>0</v>
      </c>
      <c r="H453" s="254">
        <f t="shared" si="124"/>
        <v>0</v>
      </c>
      <c r="I453" s="254">
        <f t="shared" si="124"/>
        <v>0</v>
      </c>
      <c r="J453" s="254">
        <f t="shared" si="124"/>
        <v>0</v>
      </c>
      <c r="K453" s="254">
        <f t="shared" si="124"/>
        <v>0</v>
      </c>
      <c r="L453" s="254">
        <f t="shared" si="124"/>
        <v>0</v>
      </c>
      <c r="M453" s="254">
        <f t="shared" si="124"/>
        <v>0</v>
      </c>
      <c r="N453" s="254">
        <f t="shared" si="124"/>
        <v>0</v>
      </c>
      <c r="O453" s="227"/>
      <c r="P453" s="30"/>
      <c r="Q453" s="228" t="s">
        <v>28</v>
      </c>
      <c r="R453" s="229" t="b">
        <v>0</v>
      </c>
    </row>
    <row r="454" ht="15.0" customHeight="1">
      <c r="A454" s="230" t="s">
        <v>45</v>
      </c>
      <c r="B454" s="231"/>
      <c r="C454" s="232" t="s">
        <v>30</v>
      </c>
      <c r="D454" s="108"/>
      <c r="E454" s="255"/>
      <c r="F454" s="255"/>
      <c r="G454" s="255"/>
      <c r="H454" s="255"/>
      <c r="I454" s="255"/>
      <c r="J454" s="255"/>
      <c r="K454" s="255"/>
      <c r="L454" s="255"/>
      <c r="M454" s="255"/>
      <c r="N454" s="255"/>
      <c r="O454" s="235" t="s">
        <v>30</v>
      </c>
      <c r="P454" s="236">
        <f>(E454*E443)+(F454*F443)+(G454*G443)+(H454*H443)+(I454*I443)+(J454*J443)+(K454*K443)+(L454*L443)+(M454*M443)+(N454*N443)</f>
        <v>0</v>
      </c>
      <c r="Q454" s="237" t="s">
        <v>31</v>
      </c>
      <c r="R454" s="238" t="b">
        <v>0</v>
      </c>
    </row>
    <row r="455" ht="13.5" customHeight="1">
      <c r="A455" s="221"/>
      <c r="B455" s="239" t="s">
        <v>47</v>
      </c>
      <c r="C455" s="232" t="s">
        <v>34</v>
      </c>
      <c r="D455" s="108"/>
      <c r="E455" s="256"/>
      <c r="F455" s="257"/>
      <c r="G455" s="257"/>
      <c r="H455" s="257"/>
      <c r="I455" s="257"/>
      <c r="J455" s="257"/>
      <c r="K455" s="257"/>
      <c r="L455" s="257"/>
      <c r="M455" s="257"/>
      <c r="N455" s="257"/>
      <c r="O455" s="243" t="s">
        <v>35</v>
      </c>
      <c r="P455" s="236">
        <f>(E455*E443)+(F455*F443)+(G455*G443)+(H455*H443)+(I455*I443)+(J455*J443)+(K455*K443)+(L455*L443)+(M455*M443)+(N455*N443)</f>
        <v>0</v>
      </c>
      <c r="Q455" s="237" t="s">
        <v>36</v>
      </c>
      <c r="R455" s="238" t="b">
        <v>0</v>
      </c>
    </row>
    <row r="456" ht="13.5" customHeight="1">
      <c r="A456" s="68"/>
      <c r="B456" s="245" t="str">
        <f>IFS(P456=0,"",B456&lt;&gt;"",B456,TRUE,NOW())</f>
        <v/>
      </c>
      <c r="C456" s="232" t="s">
        <v>37</v>
      </c>
      <c r="D456" s="108"/>
      <c r="E456" s="258"/>
      <c r="F456" s="258"/>
      <c r="G456" s="258"/>
      <c r="H456" s="258"/>
      <c r="I456" s="258"/>
      <c r="J456" s="258"/>
      <c r="K456" s="258"/>
      <c r="L456" s="258"/>
      <c r="M456" s="258"/>
      <c r="N456" s="258"/>
      <c r="O456" s="248" t="s">
        <v>38</v>
      </c>
      <c r="P456" s="249">
        <f>P455-P454</f>
        <v>0</v>
      </c>
      <c r="Q456" s="250" t="s">
        <v>39</v>
      </c>
      <c r="R456" s="238" t="b">
        <v>0</v>
      </c>
    </row>
    <row r="457" ht="13.5" customHeight="1">
      <c r="A457" s="259" t="s">
        <v>48</v>
      </c>
      <c r="B457" s="222" t="s">
        <v>116</v>
      </c>
      <c r="C457" s="223" t="s">
        <v>27</v>
      </c>
      <c r="D457" s="224"/>
      <c r="E457" s="254">
        <f t="shared" ref="E457:N457" si="125">E455-E458</f>
        <v>0</v>
      </c>
      <c r="F457" s="254">
        <f t="shared" si="125"/>
        <v>0</v>
      </c>
      <c r="G457" s="254">
        <f t="shared" si="125"/>
        <v>0</v>
      </c>
      <c r="H457" s="254">
        <f t="shared" si="125"/>
        <v>0</v>
      </c>
      <c r="I457" s="254">
        <f t="shared" si="125"/>
        <v>0</v>
      </c>
      <c r="J457" s="254">
        <f t="shared" si="125"/>
        <v>0</v>
      </c>
      <c r="K457" s="254">
        <f t="shared" si="125"/>
        <v>0</v>
      </c>
      <c r="L457" s="254">
        <f t="shared" si="125"/>
        <v>0</v>
      </c>
      <c r="M457" s="254">
        <f t="shared" si="125"/>
        <v>0</v>
      </c>
      <c r="N457" s="254">
        <f t="shared" si="125"/>
        <v>0</v>
      </c>
      <c r="O457" s="227"/>
      <c r="P457" s="30"/>
      <c r="Q457" s="228" t="s">
        <v>28</v>
      </c>
      <c r="R457" s="229" t="b">
        <v>0</v>
      </c>
    </row>
    <row r="458" ht="13.5" customHeight="1">
      <c r="A458" s="87"/>
      <c r="B458" s="231"/>
      <c r="C458" s="232" t="s">
        <v>30</v>
      </c>
      <c r="D458" s="108"/>
      <c r="E458" s="255"/>
      <c r="F458" s="255"/>
      <c r="G458" s="255"/>
      <c r="H458" s="255"/>
      <c r="I458" s="255"/>
      <c r="J458" s="255"/>
      <c r="K458" s="255"/>
      <c r="L458" s="255"/>
      <c r="M458" s="255"/>
      <c r="N458" s="255"/>
      <c r="O458" s="235" t="s">
        <v>30</v>
      </c>
      <c r="P458" s="236">
        <f>(E458*E443)+(F458*F443)+(G458*G443)+(H458*H443)+(I458*I443)+(J458*J443)+(K458*K443)+(L458*L443)+(M458*M443)+(N458*N443)</f>
        <v>0</v>
      </c>
      <c r="Q458" s="237" t="s">
        <v>31</v>
      </c>
      <c r="R458" s="238" t="b">
        <v>0</v>
      </c>
    </row>
    <row r="459" ht="15.0" customHeight="1">
      <c r="A459" s="68"/>
      <c r="B459" s="239" t="s">
        <v>49</v>
      </c>
      <c r="C459" s="232" t="s">
        <v>34</v>
      </c>
      <c r="D459" s="108"/>
      <c r="E459" s="256"/>
      <c r="F459" s="257"/>
      <c r="G459" s="257"/>
      <c r="H459" s="257"/>
      <c r="I459" s="257"/>
      <c r="J459" s="257"/>
      <c r="K459" s="257"/>
      <c r="L459" s="257"/>
      <c r="M459" s="257"/>
      <c r="N459" s="257"/>
      <c r="O459" s="243" t="s">
        <v>35</v>
      </c>
      <c r="P459" s="236">
        <f>(E459*E443)+(F459*F443)+(G459*G443)+(H459*H443)+(I459*I443)+(J459*J443)+(K459*K443)+(L459*L443)+(M459*M443)+(N459*N443)</f>
        <v>0</v>
      </c>
      <c r="Q459" s="237" t="s">
        <v>36</v>
      </c>
      <c r="R459" s="238" t="b">
        <v>0</v>
      </c>
    </row>
    <row r="460" ht="13.5" customHeight="1">
      <c r="A460" s="80"/>
      <c r="B460" s="266" t="str">
        <f>IFS(P460=0,"",B460&lt;&gt;"",B460,TRUE,NOW())</f>
        <v/>
      </c>
      <c r="C460" s="265" t="s">
        <v>37</v>
      </c>
      <c r="D460" s="117"/>
      <c r="E460" s="267"/>
      <c r="F460" s="267"/>
      <c r="G460" s="267"/>
      <c r="H460" s="267"/>
      <c r="I460" s="267"/>
      <c r="J460" s="267"/>
      <c r="K460" s="267"/>
      <c r="L460" s="267"/>
      <c r="M460" s="267"/>
      <c r="N460" s="267"/>
      <c r="O460" s="248" t="s">
        <v>38</v>
      </c>
      <c r="P460" s="249">
        <f>P459-P458</f>
        <v>0</v>
      </c>
      <c r="Q460" s="250" t="s">
        <v>39</v>
      </c>
      <c r="R460" s="260" t="b">
        <v>0</v>
      </c>
    </row>
    <row r="461" ht="13.5" customHeight="1">
      <c r="A461" s="270" t="s">
        <v>117</v>
      </c>
      <c r="B461" s="271" t="s">
        <v>20</v>
      </c>
      <c r="C461" s="96"/>
      <c r="D461" s="10"/>
      <c r="E461" s="272">
        <f t="shared" ref="E461:N461" si="126">E6</f>
        <v>16</v>
      </c>
      <c r="F461" s="272">
        <f t="shared" si="126"/>
        <v>26</v>
      </c>
      <c r="G461" s="272">
        <f t="shared" si="126"/>
        <v>26</v>
      </c>
      <c r="H461" s="273">
        <f t="shared" si="126"/>
        <v>26</v>
      </c>
      <c r="I461" s="274">
        <f t="shared" si="126"/>
        <v>31</v>
      </c>
      <c r="J461" s="274">
        <f t="shared" si="126"/>
        <v>36</v>
      </c>
      <c r="K461" s="274">
        <f t="shared" si="126"/>
        <v>30</v>
      </c>
      <c r="L461" s="274">
        <f t="shared" si="126"/>
        <v>35</v>
      </c>
      <c r="M461" s="274">
        <f t="shared" si="126"/>
        <v>40</v>
      </c>
      <c r="N461" s="272">
        <f t="shared" si="126"/>
        <v>15</v>
      </c>
      <c r="O461" s="271" t="s">
        <v>21</v>
      </c>
      <c r="P461" s="10"/>
      <c r="Q461" s="275" t="s">
        <v>118</v>
      </c>
      <c r="R461" s="10"/>
    </row>
    <row r="462" ht="20.25" customHeight="1">
      <c r="A462" s="276" t="s">
        <v>23</v>
      </c>
      <c r="B462" s="222" t="s">
        <v>117</v>
      </c>
      <c r="C462" s="223" t="s">
        <v>30</v>
      </c>
      <c r="D462" s="224"/>
      <c r="E462" s="277"/>
      <c r="F462" s="277"/>
      <c r="G462" s="277"/>
      <c r="H462" s="277"/>
      <c r="I462" s="278"/>
      <c r="J462" s="278"/>
      <c r="K462" s="278"/>
      <c r="L462" s="278"/>
      <c r="M462" s="278"/>
      <c r="N462" s="277"/>
      <c r="O462" s="279" t="s">
        <v>30</v>
      </c>
      <c r="P462" s="280">
        <f>(E462*E461)+(F462*F461)+(G462*G461)+(H462*H461)+(I462*I461)+(J462*J461)+(K462*K461)+(L462*L461)+(M462*M461)+(N462*N461)</f>
        <v>0</v>
      </c>
      <c r="Q462" s="228" t="s">
        <v>119</v>
      </c>
      <c r="R462" s="281" t="b">
        <v>0</v>
      </c>
    </row>
    <row r="463" ht="13.5" customHeight="1">
      <c r="A463" s="282"/>
      <c r="B463" s="231"/>
      <c r="C463" s="232" t="s">
        <v>34</v>
      </c>
      <c r="D463" s="108"/>
      <c r="E463" s="240"/>
      <c r="F463" s="241"/>
      <c r="G463" s="241"/>
      <c r="H463" s="241"/>
      <c r="I463" s="242"/>
      <c r="J463" s="242"/>
      <c r="K463" s="242"/>
      <c r="L463" s="242"/>
      <c r="M463" s="242"/>
      <c r="N463" s="241"/>
      <c r="O463" s="243" t="s">
        <v>35</v>
      </c>
      <c r="P463" s="236">
        <f>(E463*E461)+(F463*F461)+(G463*G461)+(H463*H461)+(I463*I461)+(J463*J461)+(K463*K461)+(L463*L461)+(M463*M461)+(N463*N461)</f>
        <v>0</v>
      </c>
      <c r="Q463" s="244" t="s">
        <v>121</v>
      </c>
      <c r="R463" s="238" t="b">
        <v>0</v>
      </c>
    </row>
    <row r="464" ht="13.5" customHeight="1">
      <c r="A464" s="80"/>
      <c r="B464" s="283" t="s">
        <v>33</v>
      </c>
      <c r="C464" s="284" t="s">
        <v>37</v>
      </c>
      <c r="D464" s="285"/>
      <c r="E464" s="286"/>
      <c r="F464" s="286"/>
      <c r="G464" s="286"/>
      <c r="H464" s="286"/>
      <c r="I464" s="287"/>
      <c r="J464" s="287"/>
      <c r="K464" s="287"/>
      <c r="L464" s="287"/>
      <c r="M464" s="287"/>
      <c r="N464" s="286"/>
      <c r="O464" s="248" t="s">
        <v>38</v>
      </c>
      <c r="P464" s="249">
        <f>P463-P462</f>
        <v>0</v>
      </c>
      <c r="Q464" s="288" t="s">
        <v>122</v>
      </c>
      <c r="R464" s="289" t="b">
        <v>0</v>
      </c>
    </row>
    <row r="465" ht="13.5" customHeight="1">
      <c r="A465" s="276" t="s">
        <v>23</v>
      </c>
      <c r="B465" s="222" t="s">
        <v>117</v>
      </c>
      <c r="C465" s="223" t="s">
        <v>30</v>
      </c>
      <c r="D465" s="224"/>
      <c r="E465" s="277"/>
      <c r="F465" s="277"/>
      <c r="G465" s="277"/>
      <c r="H465" s="277"/>
      <c r="I465" s="278"/>
      <c r="J465" s="351"/>
      <c r="K465" s="351"/>
      <c r="L465" s="351"/>
      <c r="M465" s="351"/>
      <c r="N465" s="290"/>
      <c r="O465" s="279" t="s">
        <v>30</v>
      </c>
      <c r="P465" s="280">
        <f>(E465*E461)+(F465*F461)+(G465*G461)+(H465*H461)+(I465*I461)+(J465*J461)+(K465*K461)+(L465*L461)+(M465*M461)+(N465*N461)</f>
        <v>0</v>
      </c>
      <c r="Q465" s="228" t="s">
        <v>119</v>
      </c>
      <c r="R465" s="281" t="b">
        <v>0</v>
      </c>
    </row>
    <row r="466" ht="13.5" customHeight="1">
      <c r="A466" s="282"/>
      <c r="B466" s="231"/>
      <c r="C466" s="232" t="s">
        <v>34</v>
      </c>
      <c r="D466" s="108"/>
      <c r="E466" s="240"/>
      <c r="F466" s="241"/>
      <c r="G466" s="241"/>
      <c r="H466" s="241"/>
      <c r="I466" s="242"/>
      <c r="J466" s="349"/>
      <c r="K466" s="349"/>
      <c r="L466" s="349"/>
      <c r="M466" s="349"/>
      <c r="N466" s="252"/>
      <c r="O466" s="243" t="s">
        <v>35</v>
      </c>
      <c r="P466" s="236">
        <f>(E466*E461)+(F466*F461)+(G466*G461)+(H466*H461)+(I466*I461)+(J466*J461)+(K466*K461)+(L466*L461)+(M466*M461)+(N466*N461)</f>
        <v>0</v>
      </c>
      <c r="Q466" s="244" t="s">
        <v>121</v>
      </c>
      <c r="R466" s="238" t="b">
        <v>0</v>
      </c>
    </row>
    <row r="467" ht="13.5" customHeight="1">
      <c r="A467" s="80"/>
      <c r="B467" s="283" t="s">
        <v>42</v>
      </c>
      <c r="C467" s="284" t="s">
        <v>37</v>
      </c>
      <c r="D467" s="285"/>
      <c r="E467" s="286"/>
      <c r="F467" s="286"/>
      <c r="G467" s="286"/>
      <c r="H467" s="286"/>
      <c r="I467" s="287"/>
      <c r="J467" s="352"/>
      <c r="K467" s="352"/>
      <c r="L467" s="352"/>
      <c r="M467" s="352"/>
      <c r="N467" s="291"/>
      <c r="O467" s="248" t="s">
        <v>38</v>
      </c>
      <c r="P467" s="249">
        <f>P466-P465</f>
        <v>0</v>
      </c>
      <c r="Q467" s="288" t="s">
        <v>122</v>
      </c>
      <c r="R467" s="289" t="b">
        <v>0</v>
      </c>
    </row>
    <row r="468" ht="13.5" customHeight="1">
      <c r="A468" s="276" t="s">
        <v>23</v>
      </c>
      <c r="B468" s="222" t="s">
        <v>117</v>
      </c>
      <c r="C468" s="223" t="s">
        <v>30</v>
      </c>
      <c r="D468" s="224"/>
      <c r="E468" s="292"/>
      <c r="F468" s="292"/>
      <c r="G468" s="292"/>
      <c r="H468" s="292"/>
      <c r="I468" s="292"/>
      <c r="J468" s="292"/>
      <c r="K468" s="292"/>
      <c r="L468" s="292"/>
      <c r="M468" s="292"/>
      <c r="N468" s="292"/>
      <c r="O468" s="279" t="s">
        <v>30</v>
      </c>
      <c r="P468" s="280">
        <f>(E468*E461)+(F468*F461)+(G468*G461)+(H468*H461)+(I468*I461)+(J468*J461)+(K468*K461)+(L468*L461)+(M468*M461)+(N468*N461)</f>
        <v>0</v>
      </c>
      <c r="Q468" s="228" t="s">
        <v>119</v>
      </c>
      <c r="R468" s="281" t="b">
        <v>0</v>
      </c>
    </row>
    <row r="469" ht="13.5" customHeight="1">
      <c r="A469" s="282"/>
      <c r="B469" s="231"/>
      <c r="C469" s="232" t="s">
        <v>34</v>
      </c>
      <c r="D469" s="108"/>
      <c r="E469" s="256"/>
      <c r="F469" s="257"/>
      <c r="G469" s="257"/>
      <c r="H469" s="257"/>
      <c r="I469" s="257"/>
      <c r="J469" s="257"/>
      <c r="K469" s="257"/>
      <c r="L469" s="257"/>
      <c r="M469" s="257"/>
      <c r="N469" s="257"/>
      <c r="O469" s="243" t="s">
        <v>35</v>
      </c>
      <c r="P469" s="236">
        <f>(E469*E461)+(F469*F461)+(G469*G461)+(H469*H461)+(I469*I461)+(J469*J461)+(K469*K461)+(L469*L461)+(M469*M461)+(N469*N461)</f>
        <v>0</v>
      </c>
      <c r="Q469" s="244" t="s">
        <v>121</v>
      </c>
      <c r="R469" s="238" t="b">
        <v>0</v>
      </c>
    </row>
    <row r="470" ht="13.5" customHeight="1">
      <c r="A470" s="80"/>
      <c r="B470" s="283" t="s">
        <v>47</v>
      </c>
      <c r="C470" s="284" t="s">
        <v>37</v>
      </c>
      <c r="D470" s="285"/>
      <c r="E470" s="293"/>
      <c r="F470" s="293"/>
      <c r="G470" s="293"/>
      <c r="H470" s="293"/>
      <c r="I470" s="293"/>
      <c r="J470" s="293"/>
      <c r="K470" s="293"/>
      <c r="L470" s="293"/>
      <c r="M470" s="293"/>
      <c r="N470" s="293"/>
      <c r="O470" s="248" t="s">
        <v>38</v>
      </c>
      <c r="P470" s="249">
        <f>P469-P468</f>
        <v>0</v>
      </c>
      <c r="Q470" s="288" t="s">
        <v>122</v>
      </c>
      <c r="R470" s="289" t="b">
        <v>0</v>
      </c>
    </row>
    <row r="471" ht="18.75" customHeight="1">
      <c r="A471" s="276" t="s">
        <v>23</v>
      </c>
      <c r="B471" s="222" t="s">
        <v>117</v>
      </c>
      <c r="C471" s="223" t="s">
        <v>30</v>
      </c>
      <c r="D471" s="224"/>
      <c r="E471" s="292"/>
      <c r="F471" s="292"/>
      <c r="G471" s="292"/>
      <c r="H471" s="292"/>
      <c r="I471" s="292"/>
      <c r="J471" s="292"/>
      <c r="K471" s="292"/>
      <c r="L471" s="292"/>
      <c r="M471" s="292"/>
      <c r="N471" s="292"/>
      <c r="O471" s="279" t="s">
        <v>30</v>
      </c>
      <c r="P471" s="280">
        <f>(E471*E461)+(F471*F461)+(G471*G461)+(H471*H461)+(I471*I461)+(J471*J461)+(K471*K461)+(L471*L461)+(M471*M461)+(N471*N461)</f>
        <v>0</v>
      </c>
      <c r="Q471" s="228" t="s">
        <v>119</v>
      </c>
      <c r="R471" s="281" t="b">
        <v>0</v>
      </c>
    </row>
    <row r="472" ht="13.5" customHeight="1">
      <c r="A472" s="282"/>
      <c r="B472" s="231"/>
      <c r="C472" s="232" t="s">
        <v>34</v>
      </c>
      <c r="D472" s="108"/>
      <c r="E472" s="256"/>
      <c r="F472" s="257"/>
      <c r="G472" s="257"/>
      <c r="H472" s="257"/>
      <c r="I472" s="257"/>
      <c r="J472" s="257"/>
      <c r="K472" s="257"/>
      <c r="L472" s="257"/>
      <c r="M472" s="257"/>
      <c r="N472" s="257"/>
      <c r="O472" s="243" t="s">
        <v>35</v>
      </c>
      <c r="P472" s="236">
        <f>(E472*E461)+(F472*F461)+(G472*G461)+(H472*H461)+(I472*I461)+(J472*J461)+(K472*K461)+(L472*L461)+(M472*M461)+(N472*N461)</f>
        <v>0</v>
      </c>
      <c r="Q472" s="244" t="s">
        <v>121</v>
      </c>
      <c r="R472" s="238" t="b">
        <v>0</v>
      </c>
    </row>
    <row r="473" ht="13.5" customHeight="1">
      <c r="A473" s="80"/>
      <c r="B473" s="283" t="s">
        <v>49</v>
      </c>
      <c r="C473" s="284" t="s">
        <v>37</v>
      </c>
      <c r="D473" s="285"/>
      <c r="E473" s="293"/>
      <c r="F473" s="293"/>
      <c r="G473" s="293"/>
      <c r="H473" s="293"/>
      <c r="I473" s="293"/>
      <c r="J473" s="293"/>
      <c r="K473" s="293"/>
      <c r="L473" s="293"/>
      <c r="M473" s="293"/>
      <c r="N473" s="293"/>
      <c r="O473" s="248" t="s">
        <v>38</v>
      </c>
      <c r="P473" s="249">
        <f>P472-P471</f>
        <v>0</v>
      </c>
      <c r="Q473" s="288" t="s">
        <v>122</v>
      </c>
      <c r="R473" s="289" t="b">
        <v>0</v>
      </c>
    </row>
    <row r="474" ht="13.5" customHeight="1">
      <c r="A474" s="270" t="s">
        <v>123</v>
      </c>
      <c r="B474" s="271" t="s">
        <v>20</v>
      </c>
      <c r="C474" s="96"/>
      <c r="D474" s="10"/>
      <c r="E474" s="272">
        <f t="shared" ref="E474:N474" si="127">E6</f>
        <v>16</v>
      </c>
      <c r="F474" s="272">
        <f t="shared" si="127"/>
        <v>26</v>
      </c>
      <c r="G474" s="272">
        <f t="shared" si="127"/>
        <v>26</v>
      </c>
      <c r="H474" s="273">
        <f t="shared" si="127"/>
        <v>26</v>
      </c>
      <c r="I474" s="274">
        <f t="shared" si="127"/>
        <v>31</v>
      </c>
      <c r="J474" s="274">
        <f t="shared" si="127"/>
        <v>36</v>
      </c>
      <c r="K474" s="274">
        <f t="shared" si="127"/>
        <v>30</v>
      </c>
      <c r="L474" s="274">
        <f t="shared" si="127"/>
        <v>35</v>
      </c>
      <c r="M474" s="274">
        <f t="shared" si="127"/>
        <v>40</v>
      </c>
      <c r="N474" s="272">
        <f t="shared" si="127"/>
        <v>15</v>
      </c>
      <c r="O474" s="271" t="s">
        <v>21</v>
      </c>
      <c r="P474" s="10"/>
      <c r="Q474" s="275" t="s">
        <v>118</v>
      </c>
      <c r="R474" s="10"/>
    </row>
    <row r="475" ht="13.5" customHeight="1">
      <c r="A475" s="276" t="s">
        <v>23</v>
      </c>
      <c r="B475" s="222" t="s">
        <v>123</v>
      </c>
      <c r="C475" s="223" t="s">
        <v>30</v>
      </c>
      <c r="D475" s="224"/>
      <c r="E475" s="277"/>
      <c r="F475" s="277"/>
      <c r="G475" s="277"/>
      <c r="H475" s="277"/>
      <c r="I475" s="278"/>
      <c r="J475" s="278"/>
      <c r="K475" s="278"/>
      <c r="L475" s="278"/>
      <c r="M475" s="278"/>
      <c r="N475" s="277"/>
      <c r="O475" s="279" t="s">
        <v>30</v>
      </c>
      <c r="P475" s="280">
        <f>(E475*E474)+(F475*F474)+(G475*G474)+(H475*H474)+(I475*I474)+(J475*J474)+(K475*K474)+(L475*L474)+(M475*M474)+(N475*N474)</f>
        <v>0</v>
      </c>
      <c r="Q475" s="228" t="s">
        <v>119</v>
      </c>
      <c r="R475" s="281" t="b">
        <v>0</v>
      </c>
    </row>
    <row r="476" ht="13.5" customHeight="1">
      <c r="A476" s="282"/>
      <c r="B476" s="231"/>
      <c r="C476" s="232" t="s">
        <v>34</v>
      </c>
      <c r="D476" s="108"/>
      <c r="E476" s="240"/>
      <c r="F476" s="241"/>
      <c r="G476" s="241"/>
      <c r="H476" s="241"/>
      <c r="I476" s="242"/>
      <c r="J476" s="242"/>
      <c r="K476" s="242"/>
      <c r="L476" s="242"/>
      <c r="M476" s="242"/>
      <c r="N476" s="241"/>
      <c r="O476" s="243" t="s">
        <v>35</v>
      </c>
      <c r="P476" s="236">
        <f>(E476*E474)+(F476*F474)+(G476*G474)+(H476*H474)+(I476*I474)+(J476*J474)+(K476*K474)+(L476*L474)+(M476*M474)+(N476*N474)</f>
        <v>0</v>
      </c>
      <c r="Q476" s="244" t="s">
        <v>121</v>
      </c>
      <c r="R476" s="238" t="b">
        <v>0</v>
      </c>
    </row>
    <row r="477" ht="13.5" customHeight="1">
      <c r="A477" s="80"/>
      <c r="B477" s="283" t="s">
        <v>33</v>
      </c>
      <c r="C477" s="284" t="s">
        <v>37</v>
      </c>
      <c r="D477" s="285"/>
      <c r="E477" s="286"/>
      <c r="F477" s="286"/>
      <c r="G477" s="286"/>
      <c r="H477" s="286"/>
      <c r="I477" s="287"/>
      <c r="J477" s="287"/>
      <c r="K477" s="287"/>
      <c r="L477" s="287"/>
      <c r="M477" s="287"/>
      <c r="N477" s="286"/>
      <c r="O477" s="248" t="s">
        <v>38</v>
      </c>
      <c r="P477" s="249">
        <f>P476-P475</f>
        <v>0</v>
      </c>
      <c r="Q477" s="288" t="s">
        <v>122</v>
      </c>
      <c r="R477" s="289" t="b">
        <v>0</v>
      </c>
    </row>
    <row r="478" ht="15.0" customHeight="1">
      <c r="A478" s="276" t="s">
        <v>23</v>
      </c>
      <c r="B478" s="222" t="s">
        <v>123</v>
      </c>
      <c r="C478" s="223" t="s">
        <v>30</v>
      </c>
      <c r="D478" s="224"/>
      <c r="E478" s="277"/>
      <c r="F478" s="277"/>
      <c r="G478" s="277"/>
      <c r="H478" s="277"/>
      <c r="I478" s="278"/>
      <c r="J478" s="351"/>
      <c r="K478" s="351"/>
      <c r="L478" s="351"/>
      <c r="M478" s="351"/>
      <c r="N478" s="290"/>
      <c r="O478" s="279" t="s">
        <v>30</v>
      </c>
      <c r="P478" s="280">
        <f>(E478*E474)+(F478*F474)+(G478*G474)+(H478*H474)+(I478*I474)+(J478*J474)+(K478*K474)+(L478*L474)+(M478*M474)+(N478*N474)</f>
        <v>0</v>
      </c>
      <c r="Q478" s="228" t="s">
        <v>119</v>
      </c>
      <c r="R478" s="281" t="b">
        <v>0</v>
      </c>
    </row>
    <row r="479" ht="13.5" customHeight="1">
      <c r="A479" s="282"/>
      <c r="B479" s="231"/>
      <c r="C479" s="232" t="s">
        <v>34</v>
      </c>
      <c r="D479" s="108"/>
      <c r="E479" s="240"/>
      <c r="F479" s="241"/>
      <c r="G479" s="241"/>
      <c r="H479" s="241"/>
      <c r="I479" s="242"/>
      <c r="J479" s="349"/>
      <c r="K479" s="349"/>
      <c r="L479" s="349"/>
      <c r="M479" s="349"/>
      <c r="N479" s="252"/>
      <c r="O479" s="243" t="s">
        <v>35</v>
      </c>
      <c r="P479" s="236">
        <f>(E479*E474)+(F479*F474)+(G479*G474)+(H479*H474)+(I479*I474)+(J479*J474)+(K479*K474)+(L479*L474)+(M479*M474)+(N479*N474)</f>
        <v>0</v>
      </c>
      <c r="Q479" s="244" t="s">
        <v>121</v>
      </c>
      <c r="R479" s="238" t="b">
        <v>0</v>
      </c>
    </row>
    <row r="480" ht="13.5" customHeight="1">
      <c r="A480" s="80"/>
      <c r="B480" s="283" t="s">
        <v>42</v>
      </c>
      <c r="C480" s="284" t="s">
        <v>37</v>
      </c>
      <c r="D480" s="285"/>
      <c r="E480" s="286"/>
      <c r="F480" s="286"/>
      <c r="G480" s="286"/>
      <c r="H480" s="286"/>
      <c r="I480" s="287"/>
      <c r="J480" s="352"/>
      <c r="K480" s="352"/>
      <c r="L480" s="352"/>
      <c r="M480" s="352"/>
      <c r="N480" s="291"/>
      <c r="O480" s="248" t="s">
        <v>38</v>
      </c>
      <c r="P480" s="249">
        <f>P479-P478</f>
        <v>0</v>
      </c>
      <c r="Q480" s="288" t="s">
        <v>122</v>
      </c>
      <c r="R480" s="289" t="b">
        <v>0</v>
      </c>
    </row>
    <row r="481" ht="13.5" customHeight="1">
      <c r="A481" s="276" t="s">
        <v>23</v>
      </c>
      <c r="B481" s="222" t="s">
        <v>123</v>
      </c>
      <c r="C481" s="223" t="s">
        <v>30</v>
      </c>
      <c r="D481" s="224"/>
      <c r="E481" s="292"/>
      <c r="F481" s="292"/>
      <c r="G481" s="292"/>
      <c r="H481" s="292"/>
      <c r="I481" s="292"/>
      <c r="J481" s="292"/>
      <c r="K481" s="292"/>
      <c r="L481" s="292"/>
      <c r="M481" s="292"/>
      <c r="N481" s="292"/>
      <c r="O481" s="279" t="s">
        <v>30</v>
      </c>
      <c r="P481" s="280">
        <f>(E481*E474)+(F481*F474)+(G481*G474)+(H481*H474)+(I481*I474)+(J481*J474)+(K481*K474)+(L481*L474)+(M481*M474)+(N481*N474)</f>
        <v>0</v>
      </c>
      <c r="Q481" s="228" t="s">
        <v>119</v>
      </c>
      <c r="R481" s="281" t="b">
        <v>0</v>
      </c>
    </row>
    <row r="482" ht="13.5" customHeight="1">
      <c r="A482" s="282"/>
      <c r="B482" s="231"/>
      <c r="C482" s="232" t="s">
        <v>34</v>
      </c>
      <c r="D482" s="108"/>
      <c r="E482" s="256"/>
      <c r="F482" s="257"/>
      <c r="G482" s="257"/>
      <c r="H482" s="257"/>
      <c r="I482" s="257"/>
      <c r="J482" s="257"/>
      <c r="K482" s="257"/>
      <c r="L482" s="257"/>
      <c r="M482" s="257"/>
      <c r="N482" s="257"/>
      <c r="O482" s="243" t="s">
        <v>35</v>
      </c>
      <c r="P482" s="236">
        <f>(E482*E474)+(F482*F474)+(G482*G474)+(H482*H474)+(I482*I474)+(J482*J474)+(K482*K474)+(L482*L474)+(M482*M474)+(N482*N474)</f>
        <v>0</v>
      </c>
      <c r="Q482" s="244" t="s">
        <v>121</v>
      </c>
      <c r="R482" s="238" t="b">
        <v>0</v>
      </c>
    </row>
    <row r="483" ht="13.5" customHeight="1">
      <c r="A483" s="80"/>
      <c r="B483" s="283" t="s">
        <v>47</v>
      </c>
      <c r="C483" s="284" t="s">
        <v>37</v>
      </c>
      <c r="D483" s="285"/>
      <c r="E483" s="293"/>
      <c r="F483" s="293"/>
      <c r="G483" s="293"/>
      <c r="H483" s="293"/>
      <c r="I483" s="293"/>
      <c r="J483" s="293"/>
      <c r="K483" s="293"/>
      <c r="L483" s="293"/>
      <c r="M483" s="293"/>
      <c r="N483" s="293"/>
      <c r="O483" s="248" t="s">
        <v>38</v>
      </c>
      <c r="P483" s="249">
        <f>P482-P481</f>
        <v>0</v>
      </c>
      <c r="Q483" s="288" t="s">
        <v>122</v>
      </c>
      <c r="R483" s="289" t="b">
        <v>0</v>
      </c>
    </row>
    <row r="484" ht="13.5" customHeight="1">
      <c r="A484" s="276" t="s">
        <v>23</v>
      </c>
      <c r="B484" s="222" t="s">
        <v>123</v>
      </c>
      <c r="C484" s="223" t="s">
        <v>30</v>
      </c>
      <c r="D484" s="224"/>
      <c r="E484" s="292"/>
      <c r="F484" s="292"/>
      <c r="G484" s="292"/>
      <c r="H484" s="292"/>
      <c r="I484" s="292"/>
      <c r="J484" s="292"/>
      <c r="K484" s="292"/>
      <c r="L484" s="292"/>
      <c r="M484" s="292"/>
      <c r="N484" s="292"/>
      <c r="O484" s="279" t="s">
        <v>30</v>
      </c>
      <c r="P484" s="280">
        <f>(E484*E474)+(F484*F474)+(G484*G474)+(H484*H474)+(I484*I474)+(J484*J474)+(K484*K474)+(L484*L474)+(M484*M474)+(N484*N474)</f>
        <v>0</v>
      </c>
      <c r="Q484" s="228" t="s">
        <v>119</v>
      </c>
      <c r="R484" s="281" t="b">
        <v>0</v>
      </c>
    </row>
    <row r="485" ht="13.5" customHeight="1">
      <c r="A485" s="282"/>
      <c r="B485" s="231"/>
      <c r="C485" s="232" t="s">
        <v>34</v>
      </c>
      <c r="D485" s="108"/>
      <c r="E485" s="256"/>
      <c r="F485" s="257"/>
      <c r="G485" s="257"/>
      <c r="H485" s="257"/>
      <c r="I485" s="257"/>
      <c r="J485" s="257"/>
      <c r="K485" s="257"/>
      <c r="L485" s="257"/>
      <c r="M485" s="257"/>
      <c r="N485" s="257"/>
      <c r="O485" s="243" t="s">
        <v>35</v>
      </c>
      <c r="P485" s="236">
        <f>(E485*E474)+(F485*F474)+(G485*G474)+(H485*H474)+(I485*I474)+(J485*J474)+(K485*K474)+(L485*L474)+(M485*M474)+(N485*N474)</f>
        <v>0</v>
      </c>
      <c r="Q485" s="244" t="s">
        <v>121</v>
      </c>
      <c r="R485" s="238" t="b">
        <v>0</v>
      </c>
    </row>
    <row r="486" ht="13.5" customHeight="1">
      <c r="A486" s="80"/>
      <c r="B486" s="283" t="s">
        <v>49</v>
      </c>
      <c r="C486" s="284" t="s">
        <v>37</v>
      </c>
      <c r="D486" s="285"/>
      <c r="E486" s="293"/>
      <c r="F486" s="293"/>
      <c r="G486" s="293"/>
      <c r="H486" s="293"/>
      <c r="I486" s="293"/>
      <c r="J486" s="293"/>
      <c r="K486" s="293"/>
      <c r="L486" s="293"/>
      <c r="M486" s="293"/>
      <c r="N486" s="293"/>
      <c r="O486" s="248" t="s">
        <v>38</v>
      </c>
      <c r="P486" s="249">
        <f>P485-P484</f>
        <v>0</v>
      </c>
      <c r="Q486" s="288" t="s">
        <v>122</v>
      </c>
      <c r="R486" s="289" t="b">
        <v>0</v>
      </c>
    </row>
    <row r="487" ht="13.5" customHeight="1">
      <c r="A487" s="270" t="s">
        <v>124</v>
      </c>
      <c r="B487" s="271" t="s">
        <v>20</v>
      </c>
      <c r="C487" s="96"/>
      <c r="D487" s="10"/>
      <c r="E487" s="272">
        <f t="shared" ref="E487:N487" si="128">E6</f>
        <v>16</v>
      </c>
      <c r="F487" s="272">
        <f t="shared" si="128"/>
        <v>26</v>
      </c>
      <c r="G487" s="272">
        <f t="shared" si="128"/>
        <v>26</v>
      </c>
      <c r="H487" s="273">
        <f t="shared" si="128"/>
        <v>26</v>
      </c>
      <c r="I487" s="274">
        <f t="shared" si="128"/>
        <v>31</v>
      </c>
      <c r="J487" s="274">
        <f t="shared" si="128"/>
        <v>36</v>
      </c>
      <c r="K487" s="274">
        <f t="shared" si="128"/>
        <v>30</v>
      </c>
      <c r="L487" s="274">
        <f t="shared" si="128"/>
        <v>35</v>
      </c>
      <c r="M487" s="274">
        <f t="shared" si="128"/>
        <v>40</v>
      </c>
      <c r="N487" s="272">
        <f t="shared" si="128"/>
        <v>15</v>
      </c>
      <c r="O487" s="271" t="s">
        <v>21</v>
      </c>
      <c r="P487" s="10"/>
      <c r="Q487" s="275" t="s">
        <v>118</v>
      </c>
      <c r="R487" s="10"/>
    </row>
    <row r="488" ht="13.5" customHeight="1">
      <c r="A488" s="276" t="s">
        <v>23</v>
      </c>
      <c r="B488" s="222" t="s">
        <v>124</v>
      </c>
      <c r="C488" s="223" t="s">
        <v>30</v>
      </c>
      <c r="D488" s="224"/>
      <c r="E488" s="277"/>
      <c r="F488" s="277"/>
      <c r="G488" s="277"/>
      <c r="H488" s="277"/>
      <c r="I488" s="278"/>
      <c r="J488" s="278"/>
      <c r="K488" s="278"/>
      <c r="L488" s="278"/>
      <c r="M488" s="278"/>
      <c r="N488" s="277"/>
      <c r="O488" s="279" t="s">
        <v>30</v>
      </c>
      <c r="P488" s="280">
        <f>(E488*E487)+(F488*F487)+(G488*G487)+(H488*H487)+(I488*I487)+(J488*J487)+(K488*K487)+(L488*L487)+(M488*M487)+(N488*N487)</f>
        <v>0</v>
      </c>
      <c r="Q488" s="228" t="s">
        <v>119</v>
      </c>
      <c r="R488" s="281" t="b">
        <v>0</v>
      </c>
    </row>
    <row r="489" ht="13.5" customHeight="1">
      <c r="A489" s="282"/>
      <c r="B489" s="231"/>
      <c r="C489" s="232" t="s">
        <v>34</v>
      </c>
      <c r="D489" s="108"/>
      <c r="E489" s="240"/>
      <c r="F489" s="241"/>
      <c r="G489" s="241"/>
      <c r="H489" s="241"/>
      <c r="I489" s="242"/>
      <c r="J489" s="242"/>
      <c r="K489" s="242"/>
      <c r="L489" s="242"/>
      <c r="M489" s="242"/>
      <c r="N489" s="241"/>
      <c r="O489" s="243" t="s">
        <v>35</v>
      </c>
      <c r="P489" s="236">
        <f>(E489*E487)+(F489*F487)+(G489*G487)+(H489*H487)+(I489*I487)+(J489*J487)+(K489*K487)+(L489*L487)+(M489*M487)+(N489*N487)</f>
        <v>0</v>
      </c>
      <c r="Q489" s="244" t="s">
        <v>121</v>
      </c>
      <c r="R489" s="238" t="b">
        <v>0</v>
      </c>
    </row>
    <row r="490" ht="13.5" customHeight="1">
      <c r="A490" s="80"/>
      <c r="B490" s="283" t="s">
        <v>33</v>
      </c>
      <c r="C490" s="284" t="s">
        <v>37</v>
      </c>
      <c r="D490" s="285"/>
      <c r="E490" s="286"/>
      <c r="F490" s="286"/>
      <c r="G490" s="286"/>
      <c r="H490" s="286"/>
      <c r="I490" s="287"/>
      <c r="J490" s="287"/>
      <c r="K490" s="287"/>
      <c r="L490" s="287"/>
      <c r="M490" s="287"/>
      <c r="N490" s="286"/>
      <c r="O490" s="248" t="s">
        <v>38</v>
      </c>
      <c r="P490" s="249">
        <f>P489-P488</f>
        <v>0</v>
      </c>
      <c r="Q490" s="288" t="s">
        <v>122</v>
      </c>
      <c r="R490" s="289" t="b">
        <v>0</v>
      </c>
    </row>
    <row r="491" ht="13.5" customHeight="1">
      <c r="A491" s="276" t="s">
        <v>23</v>
      </c>
      <c r="B491" s="222" t="s">
        <v>124</v>
      </c>
      <c r="C491" s="223" t="s">
        <v>30</v>
      </c>
      <c r="D491" s="224"/>
      <c r="E491" s="277"/>
      <c r="F491" s="277"/>
      <c r="G491" s="277"/>
      <c r="H491" s="277"/>
      <c r="I491" s="278"/>
      <c r="J491" s="351"/>
      <c r="K491" s="351"/>
      <c r="L491" s="351"/>
      <c r="M491" s="351"/>
      <c r="N491" s="290"/>
      <c r="O491" s="279" t="s">
        <v>30</v>
      </c>
      <c r="P491" s="280">
        <f>(E491*E487)+(F491*F487)+(G491*G487)+(H491*H487)+(I491*I487)+(J491*J487)+(K491*K487)+(L491*L487)+(M491*M487)+(N491*N487)</f>
        <v>0</v>
      </c>
      <c r="Q491" s="228" t="s">
        <v>119</v>
      </c>
      <c r="R491" s="281" t="b">
        <v>0</v>
      </c>
    </row>
    <row r="492" ht="13.5" customHeight="1">
      <c r="A492" s="282"/>
      <c r="B492" s="231"/>
      <c r="C492" s="232" t="s">
        <v>34</v>
      </c>
      <c r="D492" s="108"/>
      <c r="E492" s="240"/>
      <c r="F492" s="241"/>
      <c r="G492" s="241"/>
      <c r="H492" s="241"/>
      <c r="I492" s="242"/>
      <c r="J492" s="349"/>
      <c r="K492" s="349"/>
      <c r="L492" s="349"/>
      <c r="M492" s="349"/>
      <c r="N492" s="252"/>
      <c r="O492" s="243" t="s">
        <v>35</v>
      </c>
      <c r="P492" s="236">
        <f>(E492*E487)+(F492*F487)+(G492*G487)+(H492*H487)+(I492*I487)+(J492*J487)+(K492*K487)+(L492*L487)+(M492*M487)+(N492*N487)</f>
        <v>0</v>
      </c>
      <c r="Q492" s="244" t="s">
        <v>121</v>
      </c>
      <c r="R492" s="238" t="b">
        <v>0</v>
      </c>
    </row>
    <row r="493" ht="13.5" customHeight="1">
      <c r="A493" s="80"/>
      <c r="B493" s="283" t="s">
        <v>42</v>
      </c>
      <c r="C493" s="284" t="s">
        <v>37</v>
      </c>
      <c r="D493" s="285"/>
      <c r="E493" s="286"/>
      <c r="F493" s="286"/>
      <c r="G493" s="286"/>
      <c r="H493" s="286"/>
      <c r="I493" s="287"/>
      <c r="J493" s="352"/>
      <c r="K493" s="352"/>
      <c r="L493" s="352"/>
      <c r="M493" s="352"/>
      <c r="N493" s="291"/>
      <c r="O493" s="248" t="s">
        <v>38</v>
      </c>
      <c r="P493" s="249">
        <f>P492-P491</f>
        <v>0</v>
      </c>
      <c r="Q493" s="288" t="s">
        <v>122</v>
      </c>
      <c r="R493" s="289" t="b">
        <v>0</v>
      </c>
    </row>
    <row r="494" ht="15.0" customHeight="1">
      <c r="A494" s="276" t="s">
        <v>23</v>
      </c>
      <c r="B494" s="222" t="s">
        <v>124</v>
      </c>
      <c r="C494" s="223" t="s">
        <v>30</v>
      </c>
      <c r="D494" s="224"/>
      <c r="E494" s="292"/>
      <c r="F494" s="292"/>
      <c r="G494" s="292"/>
      <c r="H494" s="292"/>
      <c r="I494" s="292"/>
      <c r="J494" s="292"/>
      <c r="K494" s="292"/>
      <c r="L494" s="292"/>
      <c r="M494" s="292"/>
      <c r="N494" s="292"/>
      <c r="O494" s="279" t="s">
        <v>30</v>
      </c>
      <c r="P494" s="280">
        <f>(E494*E487)+(F494*F487)+(G494*G487)+(H494*H487)+(I494*I487)+(J494*J487)+(K494*K487)+(L494*L487)+(M494*M487)+(N494*N487)</f>
        <v>0</v>
      </c>
      <c r="Q494" s="228" t="s">
        <v>119</v>
      </c>
      <c r="R494" s="281" t="b">
        <v>0</v>
      </c>
    </row>
    <row r="495" ht="13.5" customHeight="1">
      <c r="A495" s="282"/>
      <c r="B495" s="231"/>
      <c r="C495" s="232" t="s">
        <v>34</v>
      </c>
      <c r="D495" s="108"/>
      <c r="E495" s="256"/>
      <c r="F495" s="257"/>
      <c r="G495" s="257"/>
      <c r="H495" s="257"/>
      <c r="I495" s="257"/>
      <c r="J495" s="257"/>
      <c r="K495" s="257"/>
      <c r="L495" s="257"/>
      <c r="M495" s="257"/>
      <c r="N495" s="257"/>
      <c r="O495" s="243" t="s">
        <v>35</v>
      </c>
      <c r="P495" s="236">
        <f>(E495*E487)+(F495*F487)+(G495*G487)+(H495*H487)+(I495*I487)+(J495*J487)+(K495*K487)+(L495*L487)+(M495*M487)+(N495*N487)</f>
        <v>0</v>
      </c>
      <c r="Q495" s="244" t="s">
        <v>121</v>
      </c>
      <c r="R495" s="238" t="b">
        <v>0</v>
      </c>
    </row>
    <row r="496" ht="13.5" customHeight="1">
      <c r="A496" s="80"/>
      <c r="B496" s="283" t="s">
        <v>47</v>
      </c>
      <c r="C496" s="284" t="s">
        <v>37</v>
      </c>
      <c r="D496" s="285"/>
      <c r="E496" s="293"/>
      <c r="F496" s="293"/>
      <c r="G496" s="293"/>
      <c r="H496" s="293"/>
      <c r="I496" s="293"/>
      <c r="J496" s="293"/>
      <c r="K496" s="293"/>
      <c r="L496" s="293"/>
      <c r="M496" s="293"/>
      <c r="N496" s="293"/>
      <c r="O496" s="248" t="s">
        <v>38</v>
      </c>
      <c r="P496" s="249">
        <f>P495-P494</f>
        <v>0</v>
      </c>
      <c r="Q496" s="288" t="s">
        <v>122</v>
      </c>
      <c r="R496" s="289" t="b">
        <v>0</v>
      </c>
    </row>
    <row r="497" ht="13.5" customHeight="1">
      <c r="A497" s="276" t="s">
        <v>23</v>
      </c>
      <c r="B497" s="222" t="s">
        <v>124</v>
      </c>
      <c r="C497" s="223" t="s">
        <v>30</v>
      </c>
      <c r="D497" s="224"/>
      <c r="E497" s="292"/>
      <c r="F497" s="292"/>
      <c r="G497" s="292"/>
      <c r="H497" s="292"/>
      <c r="I497" s="292"/>
      <c r="J497" s="292"/>
      <c r="K497" s="292"/>
      <c r="L497" s="292"/>
      <c r="M497" s="292"/>
      <c r="N497" s="292"/>
      <c r="O497" s="279" t="s">
        <v>30</v>
      </c>
      <c r="P497" s="280">
        <f>(E497*E487)+(F497*F487)+(G497*G487)+(H497*H487)+(I497*I487)+(J497*J487)+(K497*K487)+(L497*L487)+(M497*M487)+(N497*N487)</f>
        <v>0</v>
      </c>
      <c r="Q497" s="228" t="s">
        <v>119</v>
      </c>
      <c r="R497" s="281" t="b">
        <v>0</v>
      </c>
    </row>
    <row r="498" ht="13.5" customHeight="1">
      <c r="A498" s="282"/>
      <c r="B498" s="231"/>
      <c r="C498" s="232" t="s">
        <v>34</v>
      </c>
      <c r="D498" s="108"/>
      <c r="E498" s="256"/>
      <c r="F498" s="257"/>
      <c r="G498" s="257"/>
      <c r="H498" s="257"/>
      <c r="I498" s="257"/>
      <c r="J498" s="257"/>
      <c r="K498" s="257"/>
      <c r="L498" s="257"/>
      <c r="M498" s="257"/>
      <c r="N498" s="257"/>
      <c r="O498" s="243" t="s">
        <v>35</v>
      </c>
      <c r="P498" s="236">
        <f>(E498*E487)+(F498*F487)+(G498*G487)+(H498*H487)+(I498*I487)+(J498*J487)+(K498*K487)+(L498*L487)+(M498*M487)+(N498*N487)</f>
        <v>0</v>
      </c>
      <c r="Q498" s="244" t="s">
        <v>121</v>
      </c>
      <c r="R498" s="238" t="b">
        <v>0</v>
      </c>
    </row>
    <row r="499" ht="13.5" customHeight="1">
      <c r="A499" s="80"/>
      <c r="B499" s="283" t="s">
        <v>49</v>
      </c>
      <c r="C499" s="284" t="s">
        <v>37</v>
      </c>
      <c r="D499" s="285"/>
      <c r="E499" s="293"/>
      <c r="F499" s="293"/>
      <c r="G499" s="293"/>
      <c r="H499" s="293"/>
      <c r="I499" s="293"/>
      <c r="J499" s="293"/>
      <c r="K499" s="293"/>
      <c r="L499" s="293"/>
      <c r="M499" s="293"/>
      <c r="N499" s="293"/>
      <c r="O499" s="248" t="s">
        <v>38</v>
      </c>
      <c r="P499" s="249">
        <f>P498-P497</f>
        <v>0</v>
      </c>
      <c r="Q499" s="288" t="s">
        <v>122</v>
      </c>
      <c r="R499" s="289" t="b">
        <v>0</v>
      </c>
    </row>
    <row r="500" ht="18.75" customHeight="1">
      <c r="A500" s="270" t="s">
        <v>125</v>
      </c>
      <c r="B500" s="271" t="s">
        <v>20</v>
      </c>
      <c r="C500" s="96"/>
      <c r="D500" s="10"/>
      <c r="E500" s="272">
        <f t="shared" ref="E500:N500" si="129">E6</f>
        <v>16</v>
      </c>
      <c r="F500" s="272">
        <f t="shared" si="129"/>
        <v>26</v>
      </c>
      <c r="G500" s="272">
        <f t="shared" si="129"/>
        <v>26</v>
      </c>
      <c r="H500" s="273">
        <f t="shared" si="129"/>
        <v>26</v>
      </c>
      <c r="I500" s="274">
        <f t="shared" si="129"/>
        <v>31</v>
      </c>
      <c r="J500" s="274">
        <f t="shared" si="129"/>
        <v>36</v>
      </c>
      <c r="K500" s="274">
        <f t="shared" si="129"/>
        <v>30</v>
      </c>
      <c r="L500" s="274">
        <f t="shared" si="129"/>
        <v>35</v>
      </c>
      <c r="M500" s="274">
        <f t="shared" si="129"/>
        <v>40</v>
      </c>
      <c r="N500" s="272">
        <f t="shared" si="129"/>
        <v>15</v>
      </c>
      <c r="O500" s="271" t="s">
        <v>21</v>
      </c>
      <c r="P500" s="10"/>
      <c r="Q500" s="275" t="s">
        <v>118</v>
      </c>
      <c r="R500" s="10"/>
    </row>
    <row r="501" ht="13.5" customHeight="1">
      <c r="A501" s="276" t="s">
        <v>23</v>
      </c>
      <c r="B501" s="222" t="s">
        <v>125</v>
      </c>
      <c r="C501" s="223" t="s">
        <v>30</v>
      </c>
      <c r="D501" s="224"/>
      <c r="E501" s="277"/>
      <c r="F501" s="277"/>
      <c r="G501" s="277"/>
      <c r="H501" s="277"/>
      <c r="I501" s="278"/>
      <c r="J501" s="278"/>
      <c r="K501" s="278"/>
      <c r="L501" s="278"/>
      <c r="M501" s="278"/>
      <c r="N501" s="277"/>
      <c r="O501" s="279" t="s">
        <v>30</v>
      </c>
      <c r="P501" s="280">
        <f>(E501*E500)+(F501*F500)+(G501*G500)+(H501*H500)+(I501*I500)+(J501*J500)+(K501*K500)+(L501*L500)+(M501*M500)+(N501*N500)</f>
        <v>0</v>
      </c>
      <c r="Q501" s="228" t="s">
        <v>119</v>
      </c>
      <c r="R501" s="281" t="b">
        <v>0</v>
      </c>
    </row>
    <row r="502" ht="13.5" customHeight="1">
      <c r="A502" s="282"/>
      <c r="B502" s="231"/>
      <c r="C502" s="232" t="s">
        <v>34</v>
      </c>
      <c r="D502" s="108"/>
      <c r="E502" s="240"/>
      <c r="F502" s="241"/>
      <c r="G502" s="241"/>
      <c r="H502" s="241"/>
      <c r="I502" s="242"/>
      <c r="J502" s="242"/>
      <c r="K502" s="242"/>
      <c r="L502" s="242"/>
      <c r="M502" s="242"/>
      <c r="N502" s="241"/>
      <c r="O502" s="243" t="s">
        <v>35</v>
      </c>
      <c r="P502" s="236">
        <f>(E502*E500)+(F502*F500)+(G502*G500)+(H502*H500)+(I502*I500)+(J502*J500)+(K502*K500)+(L502*L500)+(M502*M500)+(N502*N500)</f>
        <v>0</v>
      </c>
      <c r="Q502" s="244" t="s">
        <v>121</v>
      </c>
      <c r="R502" s="238" t="b">
        <v>0</v>
      </c>
    </row>
    <row r="503" ht="17.25" customHeight="1">
      <c r="A503" s="80"/>
      <c r="B503" s="283" t="s">
        <v>33</v>
      </c>
      <c r="C503" s="284" t="s">
        <v>37</v>
      </c>
      <c r="D503" s="285"/>
      <c r="E503" s="286"/>
      <c r="F503" s="286"/>
      <c r="G503" s="286"/>
      <c r="H503" s="286"/>
      <c r="I503" s="287"/>
      <c r="J503" s="287"/>
      <c r="K503" s="287"/>
      <c r="L503" s="287"/>
      <c r="M503" s="287"/>
      <c r="N503" s="286"/>
      <c r="O503" s="248" t="s">
        <v>38</v>
      </c>
      <c r="P503" s="249">
        <f>P502-P501</f>
        <v>0</v>
      </c>
      <c r="Q503" s="288" t="s">
        <v>122</v>
      </c>
      <c r="R503" s="289" t="b">
        <v>0</v>
      </c>
    </row>
    <row r="504" ht="13.5" customHeight="1">
      <c r="A504" s="276" t="s">
        <v>23</v>
      </c>
      <c r="B504" s="222" t="s">
        <v>125</v>
      </c>
      <c r="C504" s="223" t="s">
        <v>30</v>
      </c>
      <c r="D504" s="224"/>
      <c r="E504" s="277"/>
      <c r="F504" s="277"/>
      <c r="G504" s="277"/>
      <c r="H504" s="277"/>
      <c r="I504" s="278"/>
      <c r="J504" s="351"/>
      <c r="K504" s="351"/>
      <c r="L504" s="351"/>
      <c r="M504" s="351"/>
      <c r="N504" s="290"/>
      <c r="O504" s="279" t="s">
        <v>30</v>
      </c>
      <c r="P504" s="280">
        <f>(E504*E500)+(F504*F500)+(G504*G500)+(H504*H500)+(I504*I500)+(J504*J500)+(K504*K500)+(L504*L500)+(M504*M500)+(N504*N500)</f>
        <v>0</v>
      </c>
      <c r="Q504" s="228" t="s">
        <v>119</v>
      </c>
      <c r="R504" s="281" t="b">
        <v>0</v>
      </c>
    </row>
    <row r="505" ht="13.5" customHeight="1">
      <c r="A505" s="282"/>
      <c r="B505" s="231"/>
      <c r="C505" s="232" t="s">
        <v>34</v>
      </c>
      <c r="D505" s="108"/>
      <c r="E505" s="240"/>
      <c r="F505" s="241"/>
      <c r="G505" s="241"/>
      <c r="H505" s="241"/>
      <c r="I505" s="242"/>
      <c r="J505" s="349"/>
      <c r="K505" s="349"/>
      <c r="L505" s="349"/>
      <c r="M505" s="349"/>
      <c r="N505" s="252"/>
      <c r="O505" s="243" t="s">
        <v>35</v>
      </c>
      <c r="P505" s="236">
        <f>(E505*E500)+(F505*F500)+(G505*G500)+(H505*H500)+(I505*I500)+(J505*J500)+(K505*K500)+(L505*L500)+(M505*M500)+(N505*N500)</f>
        <v>0</v>
      </c>
      <c r="Q505" s="244" t="s">
        <v>121</v>
      </c>
      <c r="R505" s="238" t="b">
        <v>0</v>
      </c>
    </row>
    <row r="506" ht="13.5" customHeight="1">
      <c r="A506" s="80"/>
      <c r="B506" s="283" t="s">
        <v>42</v>
      </c>
      <c r="C506" s="284" t="s">
        <v>37</v>
      </c>
      <c r="D506" s="285"/>
      <c r="E506" s="286"/>
      <c r="F506" s="286"/>
      <c r="G506" s="286"/>
      <c r="H506" s="286"/>
      <c r="I506" s="287"/>
      <c r="J506" s="352"/>
      <c r="K506" s="352"/>
      <c r="L506" s="352"/>
      <c r="M506" s="352"/>
      <c r="N506" s="291"/>
      <c r="O506" s="248" t="s">
        <v>38</v>
      </c>
      <c r="P506" s="249">
        <f>P505-P504</f>
        <v>0</v>
      </c>
      <c r="Q506" s="288" t="s">
        <v>122</v>
      </c>
      <c r="R506" s="289" t="b">
        <v>0</v>
      </c>
    </row>
    <row r="507" ht="13.5" customHeight="1">
      <c r="A507" s="276" t="s">
        <v>23</v>
      </c>
      <c r="B507" s="222" t="s">
        <v>125</v>
      </c>
      <c r="C507" s="223" t="s">
        <v>30</v>
      </c>
      <c r="D507" s="224"/>
      <c r="E507" s="292"/>
      <c r="F507" s="292"/>
      <c r="G507" s="292"/>
      <c r="H507" s="292"/>
      <c r="I507" s="292"/>
      <c r="J507" s="292"/>
      <c r="K507" s="292"/>
      <c r="L507" s="292"/>
      <c r="M507" s="292"/>
      <c r="N507" s="292"/>
      <c r="O507" s="279" t="s">
        <v>30</v>
      </c>
      <c r="P507" s="280">
        <f>(E507*E500)+(F507*F500)+(G507*G500)+(H507*H500)+(I507*I500)+(J507*J500)+(K507*K500)+(L507*L500)+(M507*M500)+(N507*N500)</f>
        <v>0</v>
      </c>
      <c r="Q507" s="228" t="s">
        <v>119</v>
      </c>
      <c r="R507" s="281" t="b">
        <v>0</v>
      </c>
    </row>
    <row r="508" ht="13.5" customHeight="1">
      <c r="A508" s="282"/>
      <c r="B508" s="231"/>
      <c r="C508" s="232" t="s">
        <v>34</v>
      </c>
      <c r="D508" s="108"/>
      <c r="E508" s="256"/>
      <c r="F508" s="257"/>
      <c r="G508" s="257"/>
      <c r="H508" s="257"/>
      <c r="I508" s="257"/>
      <c r="J508" s="257"/>
      <c r="K508" s="257"/>
      <c r="L508" s="257"/>
      <c r="M508" s="257"/>
      <c r="N508" s="257"/>
      <c r="O508" s="243" t="s">
        <v>35</v>
      </c>
      <c r="P508" s="236">
        <f>(E508*E500)+(F508*F500)+(G508*G500)+(H508*H500)+(I508*I500)+(J508*J500)+(K508*K500)+(L508*L500)+(M508*M500)+(N508*N500)</f>
        <v>0</v>
      </c>
      <c r="Q508" s="244" t="s">
        <v>121</v>
      </c>
      <c r="R508" s="238" t="b">
        <v>0</v>
      </c>
    </row>
    <row r="509" ht="13.5" customHeight="1">
      <c r="A509" s="80"/>
      <c r="B509" s="283" t="s">
        <v>47</v>
      </c>
      <c r="C509" s="284" t="s">
        <v>37</v>
      </c>
      <c r="D509" s="285"/>
      <c r="E509" s="293"/>
      <c r="F509" s="293"/>
      <c r="G509" s="293"/>
      <c r="H509" s="293"/>
      <c r="I509" s="293"/>
      <c r="J509" s="293"/>
      <c r="K509" s="293"/>
      <c r="L509" s="293"/>
      <c r="M509" s="293"/>
      <c r="N509" s="293"/>
      <c r="O509" s="248" t="s">
        <v>38</v>
      </c>
      <c r="P509" s="249">
        <f>P508-P507</f>
        <v>0</v>
      </c>
      <c r="Q509" s="288" t="s">
        <v>122</v>
      </c>
      <c r="R509" s="289" t="b">
        <v>0</v>
      </c>
    </row>
    <row r="510" ht="18.75" customHeight="1">
      <c r="A510" s="276" t="s">
        <v>23</v>
      </c>
      <c r="B510" s="222" t="s">
        <v>125</v>
      </c>
      <c r="C510" s="223" t="s">
        <v>30</v>
      </c>
      <c r="D510" s="224"/>
      <c r="E510" s="292"/>
      <c r="F510" s="292"/>
      <c r="G510" s="292"/>
      <c r="H510" s="292"/>
      <c r="I510" s="292"/>
      <c r="J510" s="292"/>
      <c r="K510" s="292"/>
      <c r="L510" s="292"/>
      <c r="M510" s="292"/>
      <c r="N510" s="292"/>
      <c r="O510" s="279" t="s">
        <v>30</v>
      </c>
      <c r="P510" s="280">
        <f>(E510*E500)+(F510*F500)+(G510*G500)+(H510*H500)+(I510*I500)+(J510*J500)+(K510*K500)+(L510*L500)+(M510*M500)+(N510*N500)</f>
        <v>0</v>
      </c>
      <c r="Q510" s="228" t="s">
        <v>119</v>
      </c>
      <c r="R510" s="281" t="b">
        <v>0</v>
      </c>
    </row>
    <row r="511" ht="13.5" customHeight="1">
      <c r="A511" s="282"/>
      <c r="B511" s="231"/>
      <c r="C511" s="232" t="s">
        <v>34</v>
      </c>
      <c r="D511" s="108"/>
      <c r="E511" s="256"/>
      <c r="F511" s="257"/>
      <c r="G511" s="257"/>
      <c r="H511" s="257"/>
      <c r="I511" s="257"/>
      <c r="J511" s="257"/>
      <c r="K511" s="257"/>
      <c r="L511" s="257"/>
      <c r="M511" s="257"/>
      <c r="N511" s="257"/>
      <c r="O511" s="243" t="s">
        <v>35</v>
      </c>
      <c r="P511" s="236">
        <f>(E511*E500)+(F511*F500)+(G511*G500)+(H511*H500)+(I511*I500)+(J511*J500)+(K511*K500)+(L511*L500)+(M511*M500)+(N511*N500)</f>
        <v>0</v>
      </c>
      <c r="Q511" s="244" t="s">
        <v>121</v>
      </c>
      <c r="R511" s="238" t="b">
        <v>0</v>
      </c>
    </row>
    <row r="512" ht="13.5" customHeight="1">
      <c r="A512" s="80"/>
      <c r="B512" s="283" t="s">
        <v>49</v>
      </c>
      <c r="C512" s="284" t="s">
        <v>37</v>
      </c>
      <c r="D512" s="285"/>
      <c r="E512" s="293"/>
      <c r="F512" s="293"/>
      <c r="G512" s="293"/>
      <c r="H512" s="293"/>
      <c r="I512" s="293"/>
      <c r="J512" s="293"/>
      <c r="K512" s="293"/>
      <c r="L512" s="293"/>
      <c r="M512" s="293"/>
      <c r="N512" s="293"/>
      <c r="O512" s="248" t="s">
        <v>38</v>
      </c>
      <c r="P512" s="249">
        <f>P511-P510</f>
        <v>0</v>
      </c>
      <c r="Q512" s="288" t="s">
        <v>122</v>
      </c>
      <c r="R512" s="289" t="b">
        <v>0</v>
      </c>
    </row>
    <row r="513" ht="13.5" customHeight="1">
      <c r="A513" s="270" t="s">
        <v>126</v>
      </c>
      <c r="B513" s="271" t="s">
        <v>20</v>
      </c>
      <c r="C513" s="96"/>
      <c r="D513" s="10"/>
      <c r="E513" s="272">
        <f t="shared" ref="E513:N513" si="130">E6</f>
        <v>16</v>
      </c>
      <c r="F513" s="272">
        <f t="shared" si="130"/>
        <v>26</v>
      </c>
      <c r="G513" s="272">
        <f t="shared" si="130"/>
        <v>26</v>
      </c>
      <c r="H513" s="273">
        <f t="shared" si="130"/>
        <v>26</v>
      </c>
      <c r="I513" s="274">
        <f t="shared" si="130"/>
        <v>31</v>
      </c>
      <c r="J513" s="274">
        <f t="shared" si="130"/>
        <v>36</v>
      </c>
      <c r="K513" s="274">
        <f t="shared" si="130"/>
        <v>30</v>
      </c>
      <c r="L513" s="274">
        <f t="shared" si="130"/>
        <v>35</v>
      </c>
      <c r="M513" s="274">
        <f t="shared" si="130"/>
        <v>40</v>
      </c>
      <c r="N513" s="272">
        <f t="shared" si="130"/>
        <v>15</v>
      </c>
      <c r="O513" s="271" t="s">
        <v>21</v>
      </c>
      <c r="P513" s="10"/>
      <c r="Q513" s="275" t="s">
        <v>118</v>
      </c>
      <c r="R513" s="10"/>
    </row>
    <row r="514" ht="13.5" customHeight="1">
      <c r="A514" s="276" t="s">
        <v>23</v>
      </c>
      <c r="B514" s="222" t="s">
        <v>126</v>
      </c>
      <c r="C514" s="223" t="s">
        <v>30</v>
      </c>
      <c r="D514" s="224"/>
      <c r="E514" s="277"/>
      <c r="F514" s="277"/>
      <c r="G514" s="277"/>
      <c r="H514" s="277"/>
      <c r="I514" s="278"/>
      <c r="J514" s="278"/>
      <c r="K514" s="278"/>
      <c r="L514" s="278"/>
      <c r="M514" s="278"/>
      <c r="N514" s="277"/>
      <c r="O514" s="279" t="s">
        <v>30</v>
      </c>
      <c r="P514" s="280">
        <f>(E514*E513)+(F514*F513)+(G514*G513)+(H514*H513)+(I514*I513)+(J514*J513)+(K514*K513)+(L514*L513)+(M514*M513)+(N514*N513)</f>
        <v>0</v>
      </c>
      <c r="Q514" s="228" t="s">
        <v>119</v>
      </c>
      <c r="R514" s="281" t="b">
        <v>0</v>
      </c>
    </row>
    <row r="515" ht="15.0" customHeight="1">
      <c r="A515" s="282"/>
      <c r="B515" s="231"/>
      <c r="C515" s="232" t="s">
        <v>34</v>
      </c>
      <c r="D515" s="108"/>
      <c r="E515" s="240"/>
      <c r="F515" s="241"/>
      <c r="G515" s="241"/>
      <c r="H515" s="241"/>
      <c r="I515" s="242"/>
      <c r="J515" s="242"/>
      <c r="K515" s="242"/>
      <c r="L515" s="242"/>
      <c r="M515" s="242"/>
      <c r="N515" s="241"/>
      <c r="O515" s="243" t="s">
        <v>35</v>
      </c>
      <c r="P515" s="236">
        <f>(E515*E513)+(F515*F513)+(G515*G513)+(H515*H513)+(I515*I513)+(J515*J513)+(K515*K513)+(L515*L513)+(M515*M513)+(N515*N513)</f>
        <v>0</v>
      </c>
      <c r="Q515" s="244" t="s">
        <v>121</v>
      </c>
      <c r="R515" s="238" t="b">
        <v>0</v>
      </c>
    </row>
    <row r="516" ht="13.5" customHeight="1">
      <c r="A516" s="80"/>
      <c r="B516" s="283" t="s">
        <v>33</v>
      </c>
      <c r="C516" s="284" t="s">
        <v>37</v>
      </c>
      <c r="D516" s="285"/>
      <c r="E516" s="286"/>
      <c r="F516" s="286"/>
      <c r="G516" s="286"/>
      <c r="H516" s="286"/>
      <c r="I516" s="287"/>
      <c r="J516" s="287"/>
      <c r="K516" s="287"/>
      <c r="L516" s="287"/>
      <c r="M516" s="287"/>
      <c r="N516" s="286"/>
      <c r="O516" s="248" t="s">
        <v>38</v>
      </c>
      <c r="P516" s="249">
        <f>P515-P514</f>
        <v>0</v>
      </c>
      <c r="Q516" s="288" t="s">
        <v>122</v>
      </c>
      <c r="R516" s="289" t="b">
        <v>0</v>
      </c>
    </row>
    <row r="517" ht="13.5" customHeight="1">
      <c r="A517" s="276" t="s">
        <v>23</v>
      </c>
      <c r="B517" s="222" t="s">
        <v>126</v>
      </c>
      <c r="C517" s="223" t="s">
        <v>30</v>
      </c>
      <c r="D517" s="224"/>
      <c r="E517" s="277"/>
      <c r="F517" s="277"/>
      <c r="G517" s="277"/>
      <c r="H517" s="277"/>
      <c r="I517" s="278"/>
      <c r="J517" s="351"/>
      <c r="K517" s="351"/>
      <c r="L517" s="351"/>
      <c r="M517" s="351"/>
      <c r="N517" s="290"/>
      <c r="O517" s="279" t="s">
        <v>30</v>
      </c>
      <c r="P517" s="280">
        <f>(E517*E513)+(F517*F513)+(G517*G513)+(H517*H513)+(I517*I513)+(J517*J513)+(K517*K513)+(L517*L513)+(M517*M513)+(N517*N513)</f>
        <v>0</v>
      </c>
      <c r="Q517" s="228" t="s">
        <v>119</v>
      </c>
      <c r="R517" s="281" t="b">
        <v>0</v>
      </c>
    </row>
    <row r="518" ht="13.5" customHeight="1">
      <c r="A518" s="282"/>
      <c r="B518" s="231"/>
      <c r="C518" s="232" t="s">
        <v>34</v>
      </c>
      <c r="D518" s="108"/>
      <c r="E518" s="240"/>
      <c r="F518" s="241"/>
      <c r="G518" s="241"/>
      <c r="H518" s="241"/>
      <c r="I518" s="242"/>
      <c r="J518" s="349"/>
      <c r="K518" s="349"/>
      <c r="L518" s="349"/>
      <c r="M518" s="349"/>
      <c r="N518" s="252"/>
      <c r="O518" s="243" t="s">
        <v>35</v>
      </c>
      <c r="P518" s="236">
        <f>(E518*E513)+(F518*F513)+(G518*G513)+(H518*H513)+(I518*I513)+(J518*J513)+(K518*K513)+(L518*L513)+(M518*M513)+(N518*N513)</f>
        <v>0</v>
      </c>
      <c r="Q518" s="244" t="s">
        <v>121</v>
      </c>
      <c r="R518" s="238" t="b">
        <v>0</v>
      </c>
    </row>
    <row r="519" ht="20.25" customHeight="1">
      <c r="A519" s="80"/>
      <c r="B519" s="283" t="s">
        <v>42</v>
      </c>
      <c r="C519" s="284" t="s">
        <v>37</v>
      </c>
      <c r="D519" s="285"/>
      <c r="E519" s="286"/>
      <c r="F519" s="286"/>
      <c r="G519" s="286"/>
      <c r="H519" s="286"/>
      <c r="I519" s="287"/>
      <c r="J519" s="352"/>
      <c r="K519" s="352"/>
      <c r="L519" s="352"/>
      <c r="M519" s="352"/>
      <c r="N519" s="291"/>
      <c r="O519" s="248" t="s">
        <v>38</v>
      </c>
      <c r="P519" s="249">
        <f>P518-P517</f>
        <v>0</v>
      </c>
      <c r="Q519" s="288" t="s">
        <v>122</v>
      </c>
      <c r="R519" s="289" t="b">
        <v>0</v>
      </c>
    </row>
    <row r="520" ht="13.5" customHeight="1">
      <c r="A520" s="276" t="s">
        <v>23</v>
      </c>
      <c r="B520" s="222" t="s">
        <v>126</v>
      </c>
      <c r="C520" s="223" t="s">
        <v>30</v>
      </c>
      <c r="D520" s="224"/>
      <c r="E520" s="292"/>
      <c r="F520" s="292"/>
      <c r="G520" s="292"/>
      <c r="H520" s="292"/>
      <c r="I520" s="292"/>
      <c r="J520" s="292"/>
      <c r="K520" s="292"/>
      <c r="L520" s="292"/>
      <c r="M520" s="292"/>
      <c r="N520" s="292"/>
      <c r="O520" s="279" t="s">
        <v>30</v>
      </c>
      <c r="P520" s="280">
        <f>(E520*E513)+(F520*F513)+(G520*G513)+(H520*H513)+(I520*I513)+(J520*J513)+(K520*K513)+(L520*L513)+(M520*M513)+(N520*N513)</f>
        <v>0</v>
      </c>
      <c r="Q520" s="228" t="s">
        <v>119</v>
      </c>
      <c r="R520" s="281" t="b">
        <v>0</v>
      </c>
    </row>
    <row r="521" ht="13.5" customHeight="1">
      <c r="A521" s="282"/>
      <c r="B521" s="231"/>
      <c r="C521" s="232" t="s">
        <v>34</v>
      </c>
      <c r="D521" s="108"/>
      <c r="E521" s="256"/>
      <c r="F521" s="257"/>
      <c r="G521" s="257"/>
      <c r="H521" s="257"/>
      <c r="I521" s="257"/>
      <c r="J521" s="257"/>
      <c r="K521" s="257"/>
      <c r="L521" s="257"/>
      <c r="M521" s="257"/>
      <c r="N521" s="257"/>
      <c r="O521" s="243" t="s">
        <v>35</v>
      </c>
      <c r="P521" s="236">
        <f>(E521*E513)+(F521*F513)+(G521*G513)+(H521*H513)+(I521*I513)+(J521*J513)+(K521*K513)+(L521*L513)+(M521*M513)+(N521*N513)</f>
        <v>0</v>
      </c>
      <c r="Q521" s="244" t="s">
        <v>121</v>
      </c>
      <c r="R521" s="238" t="b">
        <v>0</v>
      </c>
    </row>
    <row r="522" ht="13.5" customHeight="1">
      <c r="A522" s="80"/>
      <c r="B522" s="283" t="s">
        <v>47</v>
      </c>
      <c r="C522" s="284" t="s">
        <v>37</v>
      </c>
      <c r="D522" s="285"/>
      <c r="E522" s="293"/>
      <c r="F522" s="293"/>
      <c r="G522" s="293"/>
      <c r="H522" s="293"/>
      <c r="I522" s="293"/>
      <c r="J522" s="293"/>
      <c r="K522" s="293"/>
      <c r="L522" s="293"/>
      <c r="M522" s="293"/>
      <c r="N522" s="293"/>
      <c r="O522" s="248" t="s">
        <v>38</v>
      </c>
      <c r="P522" s="249">
        <f>P521-P520</f>
        <v>0</v>
      </c>
      <c r="Q522" s="288" t="s">
        <v>122</v>
      </c>
      <c r="R522" s="289" t="b">
        <v>0</v>
      </c>
    </row>
    <row r="523" ht="13.5" customHeight="1">
      <c r="A523" s="276" t="s">
        <v>23</v>
      </c>
      <c r="B523" s="222" t="s">
        <v>126</v>
      </c>
      <c r="C523" s="223" t="s">
        <v>30</v>
      </c>
      <c r="D523" s="224"/>
      <c r="E523" s="292"/>
      <c r="F523" s="292"/>
      <c r="G523" s="292"/>
      <c r="H523" s="292"/>
      <c r="I523" s="292"/>
      <c r="J523" s="292"/>
      <c r="K523" s="292"/>
      <c r="L523" s="292"/>
      <c r="M523" s="292"/>
      <c r="N523" s="292"/>
      <c r="O523" s="279" t="s">
        <v>30</v>
      </c>
      <c r="P523" s="280">
        <f>(E523*E513)+(F523*F513)+(G523*G513)+(H523*H513)+(I523*I513)+(J523*J513)+(K523*K513)+(L523*L513)+(M523*M513)+(N523*N513)</f>
        <v>0</v>
      </c>
      <c r="Q523" s="228" t="s">
        <v>119</v>
      </c>
      <c r="R523" s="281" t="b">
        <v>0</v>
      </c>
    </row>
    <row r="524" ht="13.5" customHeight="1">
      <c r="A524" s="282"/>
      <c r="B524" s="231"/>
      <c r="C524" s="232" t="s">
        <v>34</v>
      </c>
      <c r="D524" s="108"/>
      <c r="E524" s="256"/>
      <c r="F524" s="257"/>
      <c r="G524" s="257"/>
      <c r="H524" s="257"/>
      <c r="I524" s="257"/>
      <c r="J524" s="257"/>
      <c r="K524" s="257"/>
      <c r="L524" s="257"/>
      <c r="M524" s="257"/>
      <c r="N524" s="257"/>
      <c r="O524" s="243" t="s">
        <v>35</v>
      </c>
      <c r="P524" s="236">
        <f>(E524*E513)+(F524*F513)+(G524*G513)+(H524*H513)+(I524*I513)+(J524*J513)+(K524*K513)+(L524*L513)+(M524*M513)+(N524*N513)</f>
        <v>0</v>
      </c>
      <c r="Q524" s="244" t="s">
        <v>121</v>
      </c>
      <c r="R524" s="238" t="b">
        <v>0</v>
      </c>
    </row>
    <row r="525" ht="13.5" customHeight="1">
      <c r="A525" s="80"/>
      <c r="B525" s="283" t="s">
        <v>49</v>
      </c>
      <c r="C525" s="284" t="s">
        <v>37</v>
      </c>
      <c r="D525" s="285"/>
      <c r="E525" s="293"/>
      <c r="F525" s="293"/>
      <c r="G525" s="293"/>
      <c r="H525" s="293"/>
      <c r="I525" s="293"/>
      <c r="J525" s="293"/>
      <c r="K525" s="293"/>
      <c r="L525" s="293"/>
      <c r="M525" s="293"/>
      <c r="N525" s="293"/>
      <c r="O525" s="248" t="s">
        <v>38</v>
      </c>
      <c r="P525" s="249">
        <f>P524-P523</f>
        <v>0</v>
      </c>
      <c r="Q525" s="288" t="s">
        <v>122</v>
      </c>
      <c r="R525" s="289" t="b">
        <v>0</v>
      </c>
    </row>
    <row r="526" ht="13.5" customHeight="1">
      <c r="A526" s="270" t="s">
        <v>127</v>
      </c>
      <c r="B526" s="271" t="s">
        <v>20</v>
      </c>
      <c r="C526" s="96"/>
      <c r="D526" s="10"/>
      <c r="E526" s="272">
        <f t="shared" ref="E526:N526" si="131">E6</f>
        <v>16</v>
      </c>
      <c r="F526" s="272">
        <f t="shared" si="131"/>
        <v>26</v>
      </c>
      <c r="G526" s="272">
        <f t="shared" si="131"/>
        <v>26</v>
      </c>
      <c r="H526" s="273">
        <f t="shared" si="131"/>
        <v>26</v>
      </c>
      <c r="I526" s="274">
        <f t="shared" si="131"/>
        <v>31</v>
      </c>
      <c r="J526" s="274">
        <f t="shared" si="131"/>
        <v>36</v>
      </c>
      <c r="K526" s="274">
        <f t="shared" si="131"/>
        <v>30</v>
      </c>
      <c r="L526" s="274">
        <f t="shared" si="131"/>
        <v>35</v>
      </c>
      <c r="M526" s="274">
        <f t="shared" si="131"/>
        <v>40</v>
      </c>
      <c r="N526" s="272">
        <f t="shared" si="131"/>
        <v>15</v>
      </c>
      <c r="O526" s="271" t="s">
        <v>21</v>
      </c>
      <c r="P526" s="10"/>
      <c r="Q526" s="275" t="s">
        <v>118</v>
      </c>
      <c r="R526" s="10"/>
    </row>
    <row r="527" ht="13.5" customHeight="1">
      <c r="A527" s="276" t="s">
        <v>23</v>
      </c>
      <c r="B527" s="222" t="s">
        <v>127</v>
      </c>
      <c r="C527" s="223" t="s">
        <v>30</v>
      </c>
      <c r="D527" s="224"/>
      <c r="E527" s="277"/>
      <c r="F527" s="277"/>
      <c r="G527" s="277"/>
      <c r="H527" s="277"/>
      <c r="I527" s="278"/>
      <c r="J527" s="278"/>
      <c r="K527" s="278"/>
      <c r="L527" s="278"/>
      <c r="M527" s="278"/>
      <c r="N527" s="277"/>
      <c r="O527" s="279" t="s">
        <v>30</v>
      </c>
      <c r="P527" s="280">
        <f>(E527*E526)+(F527*F526)+(G527*G526)+(H527*H526)+(I527*I526)+(J527*J526)+(K527*K526)+(L527*L526)+(M527*M526)+(N527*N526)</f>
        <v>0</v>
      </c>
      <c r="Q527" s="228" t="s">
        <v>119</v>
      </c>
      <c r="R527" s="281" t="b">
        <v>0</v>
      </c>
    </row>
    <row r="528" ht="13.5" customHeight="1">
      <c r="A528" s="282"/>
      <c r="B528" s="231"/>
      <c r="C528" s="232" t="s">
        <v>34</v>
      </c>
      <c r="D528" s="108"/>
      <c r="E528" s="240"/>
      <c r="F528" s="241"/>
      <c r="G528" s="241"/>
      <c r="H528" s="241"/>
      <c r="I528" s="242"/>
      <c r="J528" s="242"/>
      <c r="K528" s="242"/>
      <c r="L528" s="242"/>
      <c r="M528" s="242"/>
      <c r="N528" s="241"/>
      <c r="O528" s="243" t="s">
        <v>35</v>
      </c>
      <c r="P528" s="236">
        <f>(E528*E526)+(F528*F526)+(G528*G526)+(H528*H526)+(I528*I526)+(J528*J526)+(K528*K526)+(L528*L526)+(M528*M526)+(N528*N526)</f>
        <v>0</v>
      </c>
      <c r="Q528" s="244" t="s">
        <v>121</v>
      </c>
      <c r="R528" s="238" t="b">
        <v>0</v>
      </c>
    </row>
    <row r="529" ht="13.5" customHeight="1">
      <c r="A529" s="80"/>
      <c r="B529" s="283" t="s">
        <v>33</v>
      </c>
      <c r="C529" s="284" t="s">
        <v>37</v>
      </c>
      <c r="D529" s="285"/>
      <c r="E529" s="286"/>
      <c r="F529" s="286"/>
      <c r="G529" s="286"/>
      <c r="H529" s="286"/>
      <c r="I529" s="287"/>
      <c r="J529" s="287"/>
      <c r="K529" s="287"/>
      <c r="L529" s="287"/>
      <c r="M529" s="287"/>
      <c r="N529" s="286"/>
      <c r="O529" s="248" t="s">
        <v>38</v>
      </c>
      <c r="P529" s="249">
        <f>P528-P527</f>
        <v>0</v>
      </c>
      <c r="Q529" s="288" t="s">
        <v>122</v>
      </c>
      <c r="R529" s="289" t="b">
        <v>0</v>
      </c>
    </row>
    <row r="530" ht="13.5" customHeight="1">
      <c r="A530" s="276" t="s">
        <v>23</v>
      </c>
      <c r="B530" s="222" t="s">
        <v>127</v>
      </c>
      <c r="C530" s="223" t="s">
        <v>30</v>
      </c>
      <c r="D530" s="224"/>
      <c r="E530" s="277"/>
      <c r="F530" s="277"/>
      <c r="G530" s="277"/>
      <c r="H530" s="277"/>
      <c r="I530" s="278"/>
      <c r="J530" s="351"/>
      <c r="K530" s="351"/>
      <c r="L530" s="351"/>
      <c r="M530" s="351"/>
      <c r="N530" s="290"/>
      <c r="O530" s="279" t="s">
        <v>30</v>
      </c>
      <c r="P530" s="280">
        <f>(E530*E526)+(F530*F526)+(G530*G526)+(H530*H526)+(I530*I526)+(J530*J526)+(K530*K526)+(L530*L526)+(M530*M526)+(N530*N526)</f>
        <v>0</v>
      </c>
      <c r="Q530" s="228" t="s">
        <v>119</v>
      </c>
      <c r="R530" s="281" t="b">
        <v>0</v>
      </c>
    </row>
    <row r="531" ht="19.5" customHeight="1">
      <c r="A531" s="282"/>
      <c r="B531" s="231"/>
      <c r="C531" s="232" t="s">
        <v>34</v>
      </c>
      <c r="D531" s="108"/>
      <c r="E531" s="240"/>
      <c r="F531" s="241"/>
      <c r="G531" s="241"/>
      <c r="H531" s="241"/>
      <c r="I531" s="242"/>
      <c r="J531" s="349"/>
      <c r="K531" s="349"/>
      <c r="L531" s="349"/>
      <c r="M531" s="349"/>
      <c r="N531" s="252"/>
      <c r="O531" s="243" t="s">
        <v>35</v>
      </c>
      <c r="P531" s="236">
        <f>(E531*E526)+(F531*F526)+(G531*G526)+(H531*H526)+(I531*I526)+(J531*J526)+(K531*K526)+(L531*L526)+(M531*M526)+(N531*N526)</f>
        <v>0</v>
      </c>
      <c r="Q531" s="244" t="s">
        <v>121</v>
      </c>
      <c r="R531" s="238" t="b">
        <v>0</v>
      </c>
    </row>
    <row r="532" ht="13.5" customHeight="1">
      <c r="A532" s="80"/>
      <c r="B532" s="283" t="s">
        <v>42</v>
      </c>
      <c r="C532" s="284" t="s">
        <v>37</v>
      </c>
      <c r="D532" s="285"/>
      <c r="E532" s="286"/>
      <c r="F532" s="286"/>
      <c r="G532" s="286"/>
      <c r="H532" s="286"/>
      <c r="I532" s="287"/>
      <c r="J532" s="352"/>
      <c r="K532" s="352"/>
      <c r="L532" s="352"/>
      <c r="M532" s="352"/>
      <c r="N532" s="291"/>
      <c r="O532" s="248" t="s">
        <v>38</v>
      </c>
      <c r="P532" s="249">
        <f>P531-P530</f>
        <v>0</v>
      </c>
      <c r="Q532" s="288" t="s">
        <v>122</v>
      </c>
      <c r="R532" s="289" t="b">
        <v>0</v>
      </c>
    </row>
    <row r="533" ht="13.5" customHeight="1">
      <c r="A533" s="276" t="s">
        <v>23</v>
      </c>
      <c r="B533" s="222" t="s">
        <v>127</v>
      </c>
      <c r="C533" s="223" t="s">
        <v>30</v>
      </c>
      <c r="D533" s="224"/>
      <c r="E533" s="292"/>
      <c r="F533" s="292"/>
      <c r="G533" s="292"/>
      <c r="H533" s="292"/>
      <c r="I533" s="292"/>
      <c r="J533" s="292"/>
      <c r="K533" s="292"/>
      <c r="L533" s="292"/>
      <c r="M533" s="292"/>
      <c r="N533" s="292"/>
      <c r="O533" s="279" t="s">
        <v>30</v>
      </c>
      <c r="P533" s="280">
        <f>(E533*E526)+(F533*F526)+(G533*G526)+(H533*H526)+(I533*I526)+(J533*J526)+(K533*K526)+(L533*L526)+(M533*M526)+(N533*N526)</f>
        <v>0</v>
      </c>
      <c r="Q533" s="228" t="s">
        <v>119</v>
      </c>
      <c r="R533" s="281" t="b">
        <v>0</v>
      </c>
    </row>
    <row r="534" ht="13.5" customHeight="1">
      <c r="A534" s="282"/>
      <c r="B534" s="231"/>
      <c r="C534" s="232" t="s">
        <v>34</v>
      </c>
      <c r="D534" s="108"/>
      <c r="E534" s="256"/>
      <c r="F534" s="257"/>
      <c r="G534" s="257"/>
      <c r="H534" s="257"/>
      <c r="I534" s="257"/>
      <c r="J534" s="257"/>
      <c r="K534" s="257"/>
      <c r="L534" s="257"/>
      <c r="M534" s="257"/>
      <c r="N534" s="257"/>
      <c r="O534" s="243" t="s">
        <v>35</v>
      </c>
      <c r="P534" s="236">
        <f>(E534*E526)+(F534*F526)+(G534*G526)+(H534*H526)+(I534*I526)+(J534*J526)+(K534*K526)+(L534*L526)+(M534*M526)+(N534*N526)</f>
        <v>0</v>
      </c>
      <c r="Q534" s="244" t="s">
        <v>121</v>
      </c>
      <c r="R534" s="238" t="b">
        <v>0</v>
      </c>
    </row>
    <row r="535" ht="15.0" customHeight="1">
      <c r="A535" s="80"/>
      <c r="B535" s="283" t="s">
        <v>47</v>
      </c>
      <c r="C535" s="284" t="s">
        <v>37</v>
      </c>
      <c r="D535" s="285"/>
      <c r="E535" s="293"/>
      <c r="F535" s="293"/>
      <c r="G535" s="293"/>
      <c r="H535" s="293"/>
      <c r="I535" s="293"/>
      <c r="J535" s="293"/>
      <c r="K535" s="293"/>
      <c r="L535" s="293"/>
      <c r="M535" s="293"/>
      <c r="N535" s="293"/>
      <c r="O535" s="248" t="s">
        <v>38</v>
      </c>
      <c r="P535" s="249">
        <f>P534-P533</f>
        <v>0</v>
      </c>
      <c r="Q535" s="288" t="s">
        <v>122</v>
      </c>
      <c r="R535" s="289" t="b">
        <v>0</v>
      </c>
    </row>
    <row r="536" ht="13.5" customHeight="1">
      <c r="A536" s="276" t="s">
        <v>23</v>
      </c>
      <c r="B536" s="222" t="s">
        <v>127</v>
      </c>
      <c r="C536" s="223" t="s">
        <v>30</v>
      </c>
      <c r="D536" s="224"/>
      <c r="E536" s="292"/>
      <c r="F536" s="292"/>
      <c r="G536" s="292"/>
      <c r="H536" s="292"/>
      <c r="I536" s="292"/>
      <c r="J536" s="292"/>
      <c r="K536" s="292"/>
      <c r="L536" s="292"/>
      <c r="M536" s="292"/>
      <c r="N536" s="292"/>
      <c r="O536" s="279" t="s">
        <v>30</v>
      </c>
      <c r="P536" s="280">
        <f>(E536*E526)+(F536*F526)+(G536*G526)+(H536*H526)+(I536*I526)+(J536*J526)+(K536*K526)+(L536*L526)+(M536*M526)+(N536*N526)</f>
        <v>0</v>
      </c>
      <c r="Q536" s="228" t="s">
        <v>119</v>
      </c>
      <c r="R536" s="281" t="b">
        <v>0</v>
      </c>
    </row>
    <row r="537" ht="13.5" customHeight="1">
      <c r="A537" s="282"/>
      <c r="B537" s="231"/>
      <c r="C537" s="232" t="s">
        <v>34</v>
      </c>
      <c r="D537" s="108"/>
      <c r="E537" s="256"/>
      <c r="F537" s="257"/>
      <c r="G537" s="257"/>
      <c r="H537" s="257"/>
      <c r="I537" s="257"/>
      <c r="J537" s="257"/>
      <c r="K537" s="257"/>
      <c r="L537" s="257"/>
      <c r="M537" s="257"/>
      <c r="N537" s="257"/>
      <c r="O537" s="243" t="s">
        <v>35</v>
      </c>
      <c r="P537" s="236">
        <f>(E537*E526)+(F537*F526)+(G537*G526)+(H537*H526)+(I537*I526)+(J537*J526)+(K537*K526)+(L537*L526)+(M537*M526)+(N537*N526)</f>
        <v>0</v>
      </c>
      <c r="Q537" s="244" t="s">
        <v>121</v>
      </c>
      <c r="R537" s="238" t="b">
        <v>0</v>
      </c>
    </row>
    <row r="538" ht="13.5" customHeight="1">
      <c r="A538" s="80"/>
      <c r="B538" s="283" t="s">
        <v>49</v>
      </c>
      <c r="C538" s="284" t="s">
        <v>37</v>
      </c>
      <c r="D538" s="285"/>
      <c r="E538" s="293"/>
      <c r="F538" s="293"/>
      <c r="G538" s="293"/>
      <c r="H538" s="293"/>
      <c r="I538" s="293"/>
      <c r="J538" s="293"/>
      <c r="K538" s="293"/>
      <c r="L538" s="293"/>
      <c r="M538" s="293"/>
      <c r="N538" s="293"/>
      <c r="O538" s="248" t="s">
        <v>38</v>
      </c>
      <c r="P538" s="249">
        <f>P537-P536</f>
        <v>0</v>
      </c>
      <c r="Q538" s="288" t="s">
        <v>122</v>
      </c>
      <c r="R538" s="289" t="b">
        <v>0</v>
      </c>
    </row>
    <row r="539" ht="18.75" customHeight="1">
      <c r="A539" s="270" t="s">
        <v>128</v>
      </c>
      <c r="B539" s="271" t="s">
        <v>20</v>
      </c>
      <c r="C539" s="96"/>
      <c r="D539" s="10"/>
      <c r="E539" s="272">
        <f t="shared" ref="E539:N539" si="132">E6</f>
        <v>16</v>
      </c>
      <c r="F539" s="272">
        <f t="shared" si="132"/>
        <v>26</v>
      </c>
      <c r="G539" s="272">
        <f t="shared" si="132"/>
        <v>26</v>
      </c>
      <c r="H539" s="273">
        <f t="shared" si="132"/>
        <v>26</v>
      </c>
      <c r="I539" s="274">
        <f t="shared" si="132"/>
        <v>31</v>
      </c>
      <c r="J539" s="274">
        <f t="shared" si="132"/>
        <v>36</v>
      </c>
      <c r="K539" s="274">
        <f t="shared" si="132"/>
        <v>30</v>
      </c>
      <c r="L539" s="274">
        <f t="shared" si="132"/>
        <v>35</v>
      </c>
      <c r="M539" s="274">
        <f t="shared" si="132"/>
        <v>40</v>
      </c>
      <c r="N539" s="272">
        <f t="shared" si="132"/>
        <v>15</v>
      </c>
      <c r="O539" s="271" t="s">
        <v>21</v>
      </c>
      <c r="P539" s="10"/>
      <c r="Q539" s="275" t="s">
        <v>118</v>
      </c>
      <c r="R539" s="10"/>
    </row>
    <row r="540" ht="13.5" customHeight="1">
      <c r="A540" s="276" t="s">
        <v>23</v>
      </c>
      <c r="B540" s="222" t="s">
        <v>128</v>
      </c>
      <c r="C540" s="223" t="s">
        <v>30</v>
      </c>
      <c r="D540" s="224"/>
      <c r="E540" s="277"/>
      <c r="F540" s="277"/>
      <c r="G540" s="277"/>
      <c r="H540" s="277"/>
      <c r="I540" s="278"/>
      <c r="J540" s="278"/>
      <c r="K540" s="278"/>
      <c r="L540" s="278"/>
      <c r="M540" s="278"/>
      <c r="N540" s="277"/>
      <c r="O540" s="279" t="s">
        <v>30</v>
      </c>
      <c r="P540" s="280">
        <f>(E540*E539)+(F540*F539)+(G540*G539)+(H540*H539)+(I540*I539)+(J540*J539)+(K540*K539)+(L540*L539)+(M540*M539)+(N540*N539)</f>
        <v>0</v>
      </c>
      <c r="Q540" s="228" t="s">
        <v>119</v>
      </c>
      <c r="R540" s="281" t="b">
        <v>0</v>
      </c>
    </row>
    <row r="541" ht="13.5" customHeight="1">
      <c r="A541" s="282"/>
      <c r="B541" s="231"/>
      <c r="C541" s="232" t="s">
        <v>34</v>
      </c>
      <c r="D541" s="108"/>
      <c r="E541" s="240"/>
      <c r="F541" s="241"/>
      <c r="G541" s="241"/>
      <c r="H541" s="241"/>
      <c r="I541" s="242"/>
      <c r="J541" s="242"/>
      <c r="K541" s="242"/>
      <c r="L541" s="242"/>
      <c r="M541" s="242"/>
      <c r="N541" s="241"/>
      <c r="O541" s="243" t="s">
        <v>35</v>
      </c>
      <c r="P541" s="236">
        <f>(E541*E539)+(F541*F539)+(G541*G539)+(H541*H539)+(I541*I539)+(J541*J539)+(K541*K539)+(L541*L539)+(M541*M539)+(N541*N539)</f>
        <v>0</v>
      </c>
      <c r="Q541" s="244" t="s">
        <v>121</v>
      </c>
      <c r="R541" s="238" t="b">
        <v>0</v>
      </c>
    </row>
    <row r="542" ht="20.25" customHeight="1">
      <c r="A542" s="80"/>
      <c r="B542" s="283" t="s">
        <v>33</v>
      </c>
      <c r="C542" s="284" t="s">
        <v>37</v>
      </c>
      <c r="D542" s="285"/>
      <c r="E542" s="286"/>
      <c r="F542" s="286"/>
      <c r="G542" s="286"/>
      <c r="H542" s="286"/>
      <c r="I542" s="287"/>
      <c r="J542" s="287"/>
      <c r="K542" s="287"/>
      <c r="L542" s="287"/>
      <c r="M542" s="287"/>
      <c r="N542" s="286"/>
      <c r="O542" s="248" t="s">
        <v>38</v>
      </c>
      <c r="P542" s="249">
        <f>P541-P540</f>
        <v>0</v>
      </c>
      <c r="Q542" s="288" t="s">
        <v>122</v>
      </c>
      <c r="R542" s="289" t="b">
        <v>0</v>
      </c>
    </row>
    <row r="543" ht="13.5" customHeight="1">
      <c r="A543" s="276" t="s">
        <v>23</v>
      </c>
      <c r="B543" s="222" t="s">
        <v>128</v>
      </c>
      <c r="C543" s="223" t="s">
        <v>30</v>
      </c>
      <c r="D543" s="224"/>
      <c r="E543" s="277"/>
      <c r="F543" s="277"/>
      <c r="G543" s="277"/>
      <c r="H543" s="277"/>
      <c r="I543" s="278"/>
      <c r="J543" s="351"/>
      <c r="K543" s="351"/>
      <c r="L543" s="351"/>
      <c r="M543" s="351"/>
      <c r="N543" s="290"/>
      <c r="O543" s="279" t="s">
        <v>30</v>
      </c>
      <c r="P543" s="280">
        <f>(E543*E539)+(F543*F539)+(G543*G539)+(H543*H539)+(I543*I539)+(J543*J539)+(K543*K539)+(L543*L539)+(M543*M539)+(N543*N539)</f>
        <v>0</v>
      </c>
      <c r="Q543" s="228" t="s">
        <v>119</v>
      </c>
      <c r="R543" s="281" t="b">
        <v>0</v>
      </c>
    </row>
    <row r="544" ht="13.5" customHeight="1">
      <c r="A544" s="282"/>
      <c r="B544" s="231"/>
      <c r="C544" s="232" t="s">
        <v>34</v>
      </c>
      <c r="D544" s="108"/>
      <c r="E544" s="240"/>
      <c r="F544" s="241"/>
      <c r="G544" s="241"/>
      <c r="H544" s="241"/>
      <c r="I544" s="242"/>
      <c r="J544" s="349"/>
      <c r="K544" s="349"/>
      <c r="L544" s="349"/>
      <c r="M544" s="349"/>
      <c r="N544" s="252"/>
      <c r="O544" s="243" t="s">
        <v>35</v>
      </c>
      <c r="P544" s="236">
        <f>(E544*E539)+(F544*F539)+(G544*G539)+(H544*H539)+(I544*I539)+(J544*J539)+(K544*K539)+(L544*L539)+(M544*M539)+(N544*N539)</f>
        <v>0</v>
      </c>
      <c r="Q544" s="244" t="s">
        <v>121</v>
      </c>
      <c r="R544" s="238" t="b">
        <v>0</v>
      </c>
    </row>
    <row r="545" ht="13.5" customHeight="1">
      <c r="A545" s="80"/>
      <c r="B545" s="283" t="s">
        <v>42</v>
      </c>
      <c r="C545" s="284" t="s">
        <v>37</v>
      </c>
      <c r="D545" s="285"/>
      <c r="E545" s="286"/>
      <c r="F545" s="286"/>
      <c r="G545" s="286"/>
      <c r="H545" s="286"/>
      <c r="I545" s="287"/>
      <c r="J545" s="352"/>
      <c r="K545" s="352"/>
      <c r="L545" s="352"/>
      <c r="M545" s="352"/>
      <c r="N545" s="291"/>
      <c r="O545" s="248" t="s">
        <v>38</v>
      </c>
      <c r="P545" s="249">
        <f>P544-P543</f>
        <v>0</v>
      </c>
      <c r="Q545" s="288" t="s">
        <v>122</v>
      </c>
      <c r="R545" s="289" t="b">
        <v>0</v>
      </c>
    </row>
    <row r="546" ht="13.5" customHeight="1">
      <c r="A546" s="276" t="s">
        <v>23</v>
      </c>
      <c r="B546" s="222" t="s">
        <v>128</v>
      </c>
      <c r="C546" s="223" t="s">
        <v>30</v>
      </c>
      <c r="D546" s="224"/>
      <c r="E546" s="292"/>
      <c r="F546" s="292"/>
      <c r="G546" s="292"/>
      <c r="H546" s="292"/>
      <c r="I546" s="292"/>
      <c r="J546" s="292"/>
      <c r="K546" s="292"/>
      <c r="L546" s="292"/>
      <c r="M546" s="292"/>
      <c r="N546" s="292"/>
      <c r="O546" s="279" t="s">
        <v>30</v>
      </c>
      <c r="P546" s="280">
        <f>(E546*E539)+(F546*F539)+(G546*G539)+(H546*H539)+(I546*I539)+(J546*J539)+(K546*K539)+(L546*L539)+(M546*M539)+(N546*N539)</f>
        <v>0</v>
      </c>
      <c r="Q546" s="228" t="s">
        <v>119</v>
      </c>
      <c r="R546" s="281" t="b">
        <v>0</v>
      </c>
    </row>
    <row r="547" ht="15.0" customHeight="1">
      <c r="A547" s="282"/>
      <c r="B547" s="231"/>
      <c r="C547" s="232" t="s">
        <v>34</v>
      </c>
      <c r="D547" s="108"/>
      <c r="E547" s="256"/>
      <c r="F547" s="257"/>
      <c r="G547" s="257"/>
      <c r="H547" s="257"/>
      <c r="I547" s="257"/>
      <c r="J547" s="257"/>
      <c r="K547" s="257"/>
      <c r="L547" s="257"/>
      <c r="M547" s="257"/>
      <c r="N547" s="257"/>
      <c r="O547" s="243" t="s">
        <v>35</v>
      </c>
      <c r="P547" s="236">
        <f>(E547*E539)+(F547*F539)+(G547*G539)+(H547*H539)+(I547*I539)+(J547*J539)+(K547*K539)+(L547*L539)+(M547*M539)+(N547*N539)</f>
        <v>0</v>
      </c>
      <c r="Q547" s="244" t="s">
        <v>121</v>
      </c>
      <c r="R547" s="238" t="b">
        <v>0</v>
      </c>
    </row>
    <row r="548" ht="13.5" customHeight="1">
      <c r="A548" s="80"/>
      <c r="B548" s="283" t="s">
        <v>47</v>
      </c>
      <c r="C548" s="284" t="s">
        <v>37</v>
      </c>
      <c r="D548" s="285"/>
      <c r="E548" s="293"/>
      <c r="F548" s="293"/>
      <c r="G548" s="293"/>
      <c r="H548" s="293"/>
      <c r="I548" s="293"/>
      <c r="J548" s="293"/>
      <c r="K548" s="293"/>
      <c r="L548" s="293"/>
      <c r="M548" s="293"/>
      <c r="N548" s="293"/>
      <c r="O548" s="248" t="s">
        <v>38</v>
      </c>
      <c r="P548" s="249">
        <f>P547-P546</f>
        <v>0</v>
      </c>
      <c r="Q548" s="288" t="s">
        <v>122</v>
      </c>
      <c r="R548" s="289" t="b">
        <v>0</v>
      </c>
    </row>
    <row r="549" ht="13.5" customHeight="1">
      <c r="A549" s="276" t="s">
        <v>23</v>
      </c>
      <c r="B549" s="222" t="s">
        <v>128</v>
      </c>
      <c r="C549" s="223" t="s">
        <v>30</v>
      </c>
      <c r="D549" s="224"/>
      <c r="E549" s="292"/>
      <c r="F549" s="292"/>
      <c r="G549" s="292"/>
      <c r="H549" s="292"/>
      <c r="I549" s="292"/>
      <c r="J549" s="292"/>
      <c r="K549" s="292"/>
      <c r="L549" s="292"/>
      <c r="M549" s="292"/>
      <c r="N549" s="292"/>
      <c r="O549" s="279" t="s">
        <v>30</v>
      </c>
      <c r="P549" s="280">
        <f>(E549*E539)+(F549*F539)+(G549*G539)+(H549*H539)+(I549*I539)+(J549*J539)+(K549*K539)+(L549*L539)+(M549*M539)+(N549*N539)</f>
        <v>0</v>
      </c>
      <c r="Q549" s="228" t="s">
        <v>119</v>
      </c>
      <c r="R549" s="281" t="b">
        <v>0</v>
      </c>
    </row>
    <row r="550" ht="13.5" customHeight="1">
      <c r="A550" s="282"/>
      <c r="B550" s="231"/>
      <c r="C550" s="232" t="s">
        <v>34</v>
      </c>
      <c r="D550" s="108"/>
      <c r="E550" s="256"/>
      <c r="F550" s="257"/>
      <c r="G550" s="257"/>
      <c r="H550" s="257"/>
      <c r="I550" s="257"/>
      <c r="J550" s="257"/>
      <c r="K550" s="257"/>
      <c r="L550" s="257"/>
      <c r="M550" s="257"/>
      <c r="N550" s="257"/>
      <c r="O550" s="243" t="s">
        <v>35</v>
      </c>
      <c r="P550" s="236">
        <f>(E550*E539)+(F550*F539)+(G550*G539)+(H550*H539)+(I550*I539)+(J550*J539)+(K550*K539)+(L550*L539)+(M550*M539)+(N550*N539)</f>
        <v>0</v>
      </c>
      <c r="Q550" s="244" t="s">
        <v>121</v>
      </c>
      <c r="R550" s="238" t="b">
        <v>0</v>
      </c>
    </row>
    <row r="551" ht="18.0" customHeight="1">
      <c r="A551" s="80"/>
      <c r="B551" s="283" t="s">
        <v>49</v>
      </c>
      <c r="C551" s="284" t="s">
        <v>37</v>
      </c>
      <c r="D551" s="285"/>
      <c r="E551" s="293"/>
      <c r="F551" s="293"/>
      <c r="G551" s="293"/>
      <c r="H551" s="293"/>
      <c r="I551" s="293"/>
      <c r="J551" s="293"/>
      <c r="K551" s="293"/>
      <c r="L551" s="293"/>
      <c r="M551" s="293"/>
      <c r="N551" s="293"/>
      <c r="O551" s="248" t="s">
        <v>38</v>
      </c>
      <c r="P551" s="249">
        <f>P550-P549</f>
        <v>0</v>
      </c>
      <c r="Q551" s="288" t="s">
        <v>122</v>
      </c>
      <c r="R551" s="289" t="b">
        <v>0</v>
      </c>
    </row>
    <row r="552" ht="13.5" customHeight="1">
      <c r="A552" s="270" t="s">
        <v>129</v>
      </c>
      <c r="B552" s="271" t="s">
        <v>20</v>
      </c>
      <c r="C552" s="96"/>
      <c r="D552" s="10"/>
      <c r="E552" s="272">
        <f t="shared" ref="E552:N552" si="133">E6</f>
        <v>16</v>
      </c>
      <c r="F552" s="272">
        <f t="shared" si="133"/>
        <v>26</v>
      </c>
      <c r="G552" s="272">
        <f t="shared" si="133"/>
        <v>26</v>
      </c>
      <c r="H552" s="273">
        <f t="shared" si="133"/>
        <v>26</v>
      </c>
      <c r="I552" s="274">
        <f t="shared" si="133"/>
        <v>31</v>
      </c>
      <c r="J552" s="274">
        <f t="shared" si="133"/>
        <v>36</v>
      </c>
      <c r="K552" s="274">
        <f t="shared" si="133"/>
        <v>30</v>
      </c>
      <c r="L552" s="274">
        <f t="shared" si="133"/>
        <v>35</v>
      </c>
      <c r="M552" s="274">
        <f t="shared" si="133"/>
        <v>40</v>
      </c>
      <c r="N552" s="272">
        <f t="shared" si="133"/>
        <v>15</v>
      </c>
      <c r="O552" s="271" t="s">
        <v>21</v>
      </c>
      <c r="P552" s="10"/>
      <c r="Q552" s="275" t="s">
        <v>118</v>
      </c>
      <c r="R552" s="10"/>
    </row>
    <row r="553" ht="13.5" customHeight="1">
      <c r="A553" s="276" t="s">
        <v>23</v>
      </c>
      <c r="B553" s="222" t="s">
        <v>129</v>
      </c>
      <c r="C553" s="223" t="s">
        <v>30</v>
      </c>
      <c r="D553" s="224"/>
      <c r="E553" s="277"/>
      <c r="F553" s="277"/>
      <c r="G553" s="277"/>
      <c r="H553" s="277"/>
      <c r="I553" s="278"/>
      <c r="J553" s="278"/>
      <c r="K553" s="278"/>
      <c r="L553" s="278"/>
      <c r="M553" s="278"/>
      <c r="N553" s="277"/>
      <c r="O553" s="279" t="s">
        <v>30</v>
      </c>
      <c r="P553" s="280">
        <f>(E553*E552)+(F553*F552)+(G553*G552)+(H553*H552)+(I553*I552)+(J553*J552)+(K553*K552)+(L553*L552)+(M553*M552)+(N553*N552)</f>
        <v>0</v>
      </c>
      <c r="Q553" s="228" t="s">
        <v>119</v>
      </c>
      <c r="R553" s="281" t="b">
        <v>0</v>
      </c>
    </row>
    <row r="554" ht="18.0" customHeight="1">
      <c r="A554" s="282"/>
      <c r="B554" s="231"/>
      <c r="C554" s="232" t="s">
        <v>34</v>
      </c>
      <c r="D554" s="108"/>
      <c r="E554" s="240"/>
      <c r="F554" s="241"/>
      <c r="G554" s="241"/>
      <c r="H554" s="241"/>
      <c r="I554" s="242"/>
      <c r="J554" s="242"/>
      <c r="K554" s="242"/>
      <c r="L554" s="242"/>
      <c r="M554" s="242"/>
      <c r="N554" s="241"/>
      <c r="O554" s="243" t="s">
        <v>35</v>
      </c>
      <c r="P554" s="236">
        <f>(E554*E552)+(F554*F552)+(G554*G552)+(H554*H552)+(I554*I552)+(J554*J552)+(K554*K552)+(L554*L552)+(M554*M552)+(N554*N552)</f>
        <v>0</v>
      </c>
      <c r="Q554" s="244" t="s">
        <v>121</v>
      </c>
      <c r="R554" s="238" t="b">
        <v>0</v>
      </c>
    </row>
    <row r="555" ht="13.5" customHeight="1">
      <c r="A555" s="80"/>
      <c r="B555" s="283" t="s">
        <v>33</v>
      </c>
      <c r="C555" s="284" t="s">
        <v>37</v>
      </c>
      <c r="D555" s="285"/>
      <c r="E555" s="286"/>
      <c r="F555" s="286"/>
      <c r="G555" s="286"/>
      <c r="H555" s="286"/>
      <c r="I555" s="287"/>
      <c r="J555" s="287"/>
      <c r="K555" s="287"/>
      <c r="L555" s="287"/>
      <c r="M555" s="287"/>
      <c r="N555" s="286"/>
      <c r="O555" s="248" t="s">
        <v>38</v>
      </c>
      <c r="P555" s="249">
        <f>P554-P553</f>
        <v>0</v>
      </c>
      <c r="Q555" s="288" t="s">
        <v>122</v>
      </c>
      <c r="R555" s="289" t="b">
        <v>0</v>
      </c>
    </row>
    <row r="556" ht="13.5" customHeight="1">
      <c r="A556" s="276" t="s">
        <v>23</v>
      </c>
      <c r="B556" s="222" t="s">
        <v>129</v>
      </c>
      <c r="C556" s="223" t="s">
        <v>30</v>
      </c>
      <c r="D556" s="224"/>
      <c r="E556" s="277"/>
      <c r="F556" s="277"/>
      <c r="G556" s="277"/>
      <c r="H556" s="277"/>
      <c r="I556" s="278"/>
      <c r="J556" s="351"/>
      <c r="K556" s="351"/>
      <c r="L556" s="351"/>
      <c r="M556" s="351"/>
      <c r="N556" s="290"/>
      <c r="O556" s="279" t="s">
        <v>30</v>
      </c>
      <c r="P556" s="280">
        <f>(E556*E552)+(F556*F552)+(G556*G552)+(H556*H552)+(I556*I552)+(J556*J552)+(K556*K552)+(L556*L552)+(M556*M552)+(N556*N552)</f>
        <v>0</v>
      </c>
      <c r="Q556" s="228" t="s">
        <v>119</v>
      </c>
      <c r="R556" s="281" t="b">
        <v>0</v>
      </c>
    </row>
    <row r="557" ht="13.5" customHeight="1">
      <c r="A557" s="282"/>
      <c r="B557" s="231"/>
      <c r="C557" s="232" t="s">
        <v>34</v>
      </c>
      <c r="D557" s="108"/>
      <c r="E557" s="240"/>
      <c r="F557" s="241"/>
      <c r="G557" s="241"/>
      <c r="H557" s="241"/>
      <c r="I557" s="242"/>
      <c r="J557" s="349"/>
      <c r="K557" s="349"/>
      <c r="L557" s="349"/>
      <c r="M557" s="349"/>
      <c r="N557" s="252"/>
      <c r="O557" s="243" t="s">
        <v>35</v>
      </c>
      <c r="P557" s="236">
        <f>(E557*E552)+(F557*F552)+(G557*G552)+(H557*H552)+(I557*I552)+(J557*J552)+(K557*K552)+(L557*L552)+(M557*M552)+(N557*N552)</f>
        <v>0</v>
      </c>
      <c r="Q557" s="244" t="s">
        <v>121</v>
      </c>
      <c r="R557" s="238" t="b">
        <v>0</v>
      </c>
    </row>
    <row r="558" ht="18.75" customHeight="1">
      <c r="A558" s="80"/>
      <c r="B558" s="283" t="s">
        <v>42</v>
      </c>
      <c r="C558" s="284" t="s">
        <v>37</v>
      </c>
      <c r="D558" s="285"/>
      <c r="E558" s="286"/>
      <c r="F558" s="286"/>
      <c r="G558" s="286"/>
      <c r="H558" s="286"/>
      <c r="I558" s="287"/>
      <c r="J558" s="352"/>
      <c r="K558" s="352"/>
      <c r="L558" s="352"/>
      <c r="M558" s="352"/>
      <c r="N558" s="291"/>
      <c r="O558" s="248" t="s">
        <v>38</v>
      </c>
      <c r="P558" s="249">
        <f>P557-P556</f>
        <v>0</v>
      </c>
      <c r="Q558" s="288" t="s">
        <v>122</v>
      </c>
      <c r="R558" s="289" t="b">
        <v>0</v>
      </c>
    </row>
    <row r="559" ht="13.5" customHeight="1">
      <c r="A559" s="276" t="s">
        <v>23</v>
      </c>
      <c r="B559" s="222" t="s">
        <v>129</v>
      </c>
      <c r="C559" s="223" t="s">
        <v>30</v>
      </c>
      <c r="D559" s="224"/>
      <c r="E559" s="292"/>
      <c r="F559" s="292"/>
      <c r="G559" s="292"/>
      <c r="H559" s="292"/>
      <c r="I559" s="292"/>
      <c r="J559" s="292"/>
      <c r="K559" s="292"/>
      <c r="L559" s="292"/>
      <c r="M559" s="292"/>
      <c r="N559" s="292"/>
      <c r="O559" s="279" t="s">
        <v>30</v>
      </c>
      <c r="P559" s="280">
        <f>(E559*E552)+(F559*F552)+(G559*G552)+(H559*H552)+(I559*I552)+(J559*J552)+(K559*K552)+(L559*L552)+(M559*M552)+(N559*N552)</f>
        <v>0</v>
      </c>
      <c r="Q559" s="228" t="s">
        <v>119</v>
      </c>
      <c r="R559" s="281" t="b">
        <v>0</v>
      </c>
    </row>
    <row r="560" ht="13.5" customHeight="1">
      <c r="A560" s="282"/>
      <c r="B560" s="231"/>
      <c r="C560" s="232" t="s">
        <v>34</v>
      </c>
      <c r="D560" s="108"/>
      <c r="E560" s="256"/>
      <c r="F560" s="257"/>
      <c r="G560" s="257"/>
      <c r="H560" s="257"/>
      <c r="I560" s="257"/>
      <c r="J560" s="257"/>
      <c r="K560" s="257"/>
      <c r="L560" s="257"/>
      <c r="M560" s="257"/>
      <c r="N560" s="257"/>
      <c r="O560" s="243" t="s">
        <v>35</v>
      </c>
      <c r="P560" s="236">
        <f>(E560*E552)+(F560*F552)+(G560*G552)+(H560*H552)+(I560*I552)+(J560*J552)+(K560*K552)+(L560*L552)+(M560*M552)+(N560*N552)</f>
        <v>0</v>
      </c>
      <c r="Q560" s="244" t="s">
        <v>121</v>
      </c>
      <c r="R560" s="238" t="b">
        <v>0</v>
      </c>
    </row>
    <row r="561" ht="13.5" customHeight="1">
      <c r="A561" s="80"/>
      <c r="B561" s="283" t="s">
        <v>47</v>
      </c>
      <c r="C561" s="284" t="s">
        <v>37</v>
      </c>
      <c r="D561" s="285"/>
      <c r="E561" s="293"/>
      <c r="F561" s="293"/>
      <c r="G561" s="293"/>
      <c r="H561" s="293"/>
      <c r="I561" s="293"/>
      <c r="J561" s="293"/>
      <c r="K561" s="293"/>
      <c r="L561" s="293"/>
      <c r="M561" s="293"/>
      <c r="N561" s="293"/>
      <c r="O561" s="248" t="s">
        <v>38</v>
      </c>
      <c r="P561" s="249">
        <f>P560-P559</f>
        <v>0</v>
      </c>
      <c r="Q561" s="288" t="s">
        <v>122</v>
      </c>
      <c r="R561" s="289" t="b">
        <v>0</v>
      </c>
    </row>
    <row r="562" ht="13.5" customHeight="1">
      <c r="A562" s="276" t="s">
        <v>23</v>
      </c>
      <c r="B562" s="222" t="s">
        <v>129</v>
      </c>
      <c r="C562" s="223" t="s">
        <v>30</v>
      </c>
      <c r="D562" s="224"/>
      <c r="E562" s="292"/>
      <c r="F562" s="292"/>
      <c r="G562" s="292"/>
      <c r="H562" s="292"/>
      <c r="I562" s="292"/>
      <c r="J562" s="292"/>
      <c r="K562" s="292"/>
      <c r="L562" s="292"/>
      <c r="M562" s="292"/>
      <c r="N562" s="292"/>
      <c r="O562" s="279" t="s">
        <v>30</v>
      </c>
      <c r="P562" s="280">
        <f>(E562*E552)+(F562*F552)+(G562*G552)+(H562*H552)+(I562*I552)+(J562*J552)+(K562*K552)+(L562*L552)+(M562*M552)+(N562*N552)</f>
        <v>0</v>
      </c>
      <c r="Q562" s="228" t="s">
        <v>119</v>
      </c>
      <c r="R562" s="281" t="b">
        <v>0</v>
      </c>
    </row>
    <row r="563" ht="15.0" customHeight="1">
      <c r="A563" s="282"/>
      <c r="B563" s="231"/>
      <c r="C563" s="232" t="s">
        <v>34</v>
      </c>
      <c r="D563" s="108"/>
      <c r="E563" s="256"/>
      <c r="F563" s="257"/>
      <c r="G563" s="257"/>
      <c r="H563" s="257"/>
      <c r="I563" s="257"/>
      <c r="J563" s="257"/>
      <c r="K563" s="257"/>
      <c r="L563" s="257"/>
      <c r="M563" s="257"/>
      <c r="N563" s="257"/>
      <c r="O563" s="243" t="s">
        <v>35</v>
      </c>
      <c r="P563" s="236">
        <f>(E563*E552)+(F563*F552)+(G563*G552)+(H563*H552)+(I563*I552)+(J563*J552)+(K563*K552)+(L563*L552)+(M563*M552)+(N563*N552)</f>
        <v>0</v>
      </c>
      <c r="Q563" s="244" t="s">
        <v>121</v>
      </c>
      <c r="R563" s="238" t="b">
        <v>0</v>
      </c>
    </row>
    <row r="564" ht="13.5" customHeight="1">
      <c r="A564" s="80"/>
      <c r="B564" s="283" t="s">
        <v>49</v>
      </c>
      <c r="C564" s="284" t="s">
        <v>37</v>
      </c>
      <c r="D564" s="285"/>
      <c r="E564" s="293"/>
      <c r="F564" s="293"/>
      <c r="G564" s="293"/>
      <c r="H564" s="293"/>
      <c r="I564" s="293"/>
      <c r="J564" s="293"/>
      <c r="K564" s="293"/>
      <c r="L564" s="293"/>
      <c r="M564" s="293"/>
      <c r="N564" s="293"/>
      <c r="O564" s="248" t="s">
        <v>38</v>
      </c>
      <c r="P564" s="249">
        <f>P563-P562</f>
        <v>0</v>
      </c>
      <c r="Q564" s="288" t="s">
        <v>122</v>
      </c>
      <c r="R564" s="289" t="b">
        <v>0</v>
      </c>
    </row>
    <row r="565" ht="13.5" customHeight="1">
      <c r="A565" s="270" t="s">
        <v>130</v>
      </c>
      <c r="B565" s="271" t="s">
        <v>20</v>
      </c>
      <c r="C565" s="96"/>
      <c r="D565" s="10"/>
      <c r="E565" s="272">
        <f t="shared" ref="E565:N565" si="134">E6</f>
        <v>16</v>
      </c>
      <c r="F565" s="272">
        <f t="shared" si="134"/>
        <v>26</v>
      </c>
      <c r="G565" s="272">
        <f t="shared" si="134"/>
        <v>26</v>
      </c>
      <c r="H565" s="273">
        <f t="shared" si="134"/>
        <v>26</v>
      </c>
      <c r="I565" s="274">
        <f t="shared" si="134"/>
        <v>31</v>
      </c>
      <c r="J565" s="274">
        <f t="shared" si="134"/>
        <v>36</v>
      </c>
      <c r="K565" s="274">
        <f t="shared" si="134"/>
        <v>30</v>
      </c>
      <c r="L565" s="274">
        <f t="shared" si="134"/>
        <v>35</v>
      </c>
      <c r="M565" s="274">
        <f t="shared" si="134"/>
        <v>40</v>
      </c>
      <c r="N565" s="272">
        <f t="shared" si="134"/>
        <v>15</v>
      </c>
      <c r="O565" s="271" t="s">
        <v>21</v>
      </c>
      <c r="P565" s="10"/>
      <c r="Q565" s="275" t="s">
        <v>118</v>
      </c>
      <c r="R565" s="10"/>
    </row>
    <row r="566" ht="20.25" customHeight="1">
      <c r="A566" s="276" t="s">
        <v>23</v>
      </c>
      <c r="B566" s="222" t="s">
        <v>130</v>
      </c>
      <c r="C566" s="223" t="s">
        <v>30</v>
      </c>
      <c r="D566" s="224"/>
      <c r="E566" s="277"/>
      <c r="F566" s="277"/>
      <c r="G566" s="277"/>
      <c r="H566" s="277"/>
      <c r="I566" s="278"/>
      <c r="J566" s="278"/>
      <c r="K566" s="278"/>
      <c r="L566" s="278"/>
      <c r="M566" s="278"/>
      <c r="N566" s="277"/>
      <c r="O566" s="279" t="s">
        <v>30</v>
      </c>
      <c r="P566" s="280">
        <f>(E566*E565)+(F566*F565)+(G566*G565)+(H566*H565)+(I566*I565)+(J566*J565)+(K566*K565)+(L566*L565)+(M566*M565)+(N566*N565)</f>
        <v>0</v>
      </c>
      <c r="Q566" s="228" t="s">
        <v>119</v>
      </c>
      <c r="R566" s="281" t="b">
        <v>0</v>
      </c>
    </row>
    <row r="567" ht="13.5" customHeight="1">
      <c r="A567" s="282"/>
      <c r="B567" s="231"/>
      <c r="C567" s="232" t="s">
        <v>34</v>
      </c>
      <c r="D567" s="108"/>
      <c r="E567" s="240"/>
      <c r="F567" s="241"/>
      <c r="G567" s="241"/>
      <c r="H567" s="241"/>
      <c r="I567" s="242"/>
      <c r="J567" s="242"/>
      <c r="K567" s="242"/>
      <c r="L567" s="242"/>
      <c r="M567" s="242"/>
      <c r="N567" s="241"/>
      <c r="O567" s="243" t="s">
        <v>35</v>
      </c>
      <c r="P567" s="236">
        <f>(E567*E565)+(F567*F565)+(G567*G565)+(H567*H565)+(I567*I565)+(J567*J565)+(K567*K565)+(L567*L565)+(M567*M565)+(N567*N565)</f>
        <v>0</v>
      </c>
      <c r="Q567" s="244" t="s">
        <v>121</v>
      </c>
      <c r="R567" s="238" t="b">
        <v>0</v>
      </c>
    </row>
    <row r="568" ht="13.5" customHeight="1">
      <c r="A568" s="80"/>
      <c r="B568" s="283" t="s">
        <v>33</v>
      </c>
      <c r="C568" s="284" t="s">
        <v>37</v>
      </c>
      <c r="D568" s="285"/>
      <c r="E568" s="286"/>
      <c r="F568" s="286"/>
      <c r="G568" s="286"/>
      <c r="H568" s="286"/>
      <c r="I568" s="287"/>
      <c r="J568" s="287"/>
      <c r="K568" s="287"/>
      <c r="L568" s="287"/>
      <c r="M568" s="287"/>
      <c r="N568" s="286"/>
      <c r="O568" s="248" t="s">
        <v>38</v>
      </c>
      <c r="P568" s="249">
        <f>P567-P566</f>
        <v>0</v>
      </c>
      <c r="Q568" s="288" t="s">
        <v>122</v>
      </c>
      <c r="R568" s="289" t="b">
        <v>0</v>
      </c>
    </row>
    <row r="569" ht="13.5" customHeight="1">
      <c r="A569" s="276" t="s">
        <v>23</v>
      </c>
      <c r="B569" s="222" t="s">
        <v>130</v>
      </c>
      <c r="C569" s="223" t="s">
        <v>30</v>
      </c>
      <c r="D569" s="224"/>
      <c r="E569" s="277"/>
      <c r="F569" s="277"/>
      <c r="G569" s="277"/>
      <c r="H569" s="277"/>
      <c r="I569" s="278"/>
      <c r="J569" s="351"/>
      <c r="K569" s="351"/>
      <c r="L569" s="351"/>
      <c r="M569" s="351"/>
      <c r="N569" s="290"/>
      <c r="O569" s="279" t="s">
        <v>30</v>
      </c>
      <c r="P569" s="280">
        <f>(E569*E565)+(F569*F565)+(G569*G565)+(H569*H565)+(I569*I565)+(J569*J565)+(K569*K565)+(L569*L565)+(M569*M565)+(N569*N565)</f>
        <v>0</v>
      </c>
      <c r="Q569" s="228" t="s">
        <v>119</v>
      </c>
      <c r="R569" s="281" t="b">
        <v>0</v>
      </c>
    </row>
    <row r="570" ht="15.0" customHeight="1">
      <c r="A570" s="282"/>
      <c r="B570" s="231"/>
      <c r="C570" s="232" t="s">
        <v>34</v>
      </c>
      <c r="D570" s="108"/>
      <c r="E570" s="240"/>
      <c r="F570" s="241"/>
      <c r="G570" s="241"/>
      <c r="H570" s="241"/>
      <c r="I570" s="242"/>
      <c r="J570" s="349"/>
      <c r="K570" s="349"/>
      <c r="L570" s="349"/>
      <c r="M570" s="349"/>
      <c r="N570" s="252"/>
      <c r="O570" s="243" t="s">
        <v>35</v>
      </c>
      <c r="P570" s="236">
        <f>(E570*E565)+(F570*F565)+(G570*G565)+(H570*H565)+(I570*I565)+(J570*J565)+(K570*K565)+(L570*L565)+(M570*M565)+(N570*N565)</f>
        <v>0</v>
      </c>
      <c r="Q570" s="244" t="s">
        <v>121</v>
      </c>
      <c r="R570" s="238" t="b">
        <v>0</v>
      </c>
    </row>
    <row r="571" ht="22.5" customHeight="1">
      <c r="A571" s="80"/>
      <c r="B571" s="283" t="s">
        <v>42</v>
      </c>
      <c r="C571" s="284" t="s">
        <v>37</v>
      </c>
      <c r="D571" s="285"/>
      <c r="E571" s="286"/>
      <c r="F571" s="286"/>
      <c r="G571" s="286"/>
      <c r="H571" s="286"/>
      <c r="I571" s="287"/>
      <c r="J571" s="352"/>
      <c r="K571" s="352"/>
      <c r="L571" s="352"/>
      <c r="M571" s="352"/>
      <c r="N571" s="291"/>
      <c r="O571" s="248" t="s">
        <v>38</v>
      </c>
      <c r="P571" s="249">
        <f>P570-P569</f>
        <v>0</v>
      </c>
      <c r="Q571" s="288" t="s">
        <v>122</v>
      </c>
      <c r="R571" s="289" t="b">
        <v>0</v>
      </c>
    </row>
    <row r="572" ht="13.5" customHeight="1">
      <c r="A572" s="276" t="s">
        <v>23</v>
      </c>
      <c r="B572" s="222" t="s">
        <v>130</v>
      </c>
      <c r="C572" s="223" t="s">
        <v>30</v>
      </c>
      <c r="D572" s="224"/>
      <c r="E572" s="292"/>
      <c r="F572" s="292"/>
      <c r="G572" s="292"/>
      <c r="H572" s="292"/>
      <c r="I572" s="292"/>
      <c r="J572" s="292"/>
      <c r="K572" s="292"/>
      <c r="L572" s="292"/>
      <c r="M572" s="292"/>
      <c r="N572" s="292"/>
      <c r="O572" s="279" t="s">
        <v>30</v>
      </c>
      <c r="P572" s="280">
        <f>(E572*E565)+(F572*F565)+(G572*G565)+(H572*H565)+(I572*I565)+(J572*J565)+(K572*K565)+(L572*L565)+(M572*M565)+(N572*N565)</f>
        <v>0</v>
      </c>
      <c r="Q572" s="228" t="s">
        <v>119</v>
      </c>
      <c r="R572" s="281" t="b">
        <v>0</v>
      </c>
    </row>
    <row r="573" ht="13.5" customHeight="1">
      <c r="A573" s="282"/>
      <c r="B573" s="231"/>
      <c r="C573" s="232" t="s">
        <v>34</v>
      </c>
      <c r="D573" s="108"/>
      <c r="E573" s="256"/>
      <c r="F573" s="257"/>
      <c r="G573" s="257"/>
      <c r="H573" s="257"/>
      <c r="I573" s="257"/>
      <c r="J573" s="257"/>
      <c r="K573" s="257"/>
      <c r="L573" s="257"/>
      <c r="M573" s="257"/>
      <c r="N573" s="257"/>
      <c r="O573" s="243" t="s">
        <v>35</v>
      </c>
      <c r="P573" s="236">
        <f>(E573*E565)+(F573*F565)+(G573*G565)+(H573*H565)+(I573*I565)+(J573*J565)+(K573*K565)+(L573*L565)+(M573*M565)+(N573*N565)</f>
        <v>0</v>
      </c>
      <c r="Q573" s="244" t="s">
        <v>121</v>
      </c>
      <c r="R573" s="238" t="b">
        <v>0</v>
      </c>
    </row>
    <row r="574" ht="19.5" customHeight="1">
      <c r="A574" s="80"/>
      <c r="B574" s="283" t="s">
        <v>47</v>
      </c>
      <c r="C574" s="284" t="s">
        <v>37</v>
      </c>
      <c r="D574" s="285"/>
      <c r="E574" s="293"/>
      <c r="F574" s="293"/>
      <c r="G574" s="293"/>
      <c r="H574" s="293"/>
      <c r="I574" s="293"/>
      <c r="J574" s="293"/>
      <c r="K574" s="293"/>
      <c r="L574" s="293"/>
      <c r="M574" s="293"/>
      <c r="N574" s="293"/>
      <c r="O574" s="248" t="s">
        <v>38</v>
      </c>
      <c r="P574" s="249">
        <f>P573-P572</f>
        <v>0</v>
      </c>
      <c r="Q574" s="288" t="s">
        <v>122</v>
      </c>
      <c r="R574" s="289" t="b">
        <v>0</v>
      </c>
    </row>
    <row r="575" ht="13.5" customHeight="1">
      <c r="A575" s="276" t="s">
        <v>23</v>
      </c>
      <c r="B575" s="222" t="s">
        <v>130</v>
      </c>
      <c r="C575" s="223" t="s">
        <v>30</v>
      </c>
      <c r="D575" s="224"/>
      <c r="E575" s="292"/>
      <c r="F575" s="292"/>
      <c r="G575" s="292"/>
      <c r="H575" s="292"/>
      <c r="I575" s="292"/>
      <c r="J575" s="292"/>
      <c r="K575" s="292"/>
      <c r="L575" s="292"/>
      <c r="M575" s="292"/>
      <c r="N575" s="292"/>
      <c r="O575" s="279" t="s">
        <v>30</v>
      </c>
      <c r="P575" s="280">
        <f>(E575*E565)+(F575*F565)+(G575*G565)+(H575*H565)+(I575*I565)+(J575*J565)+(K575*K565)+(L575*L565)+(M575*M565)+(N575*N565)</f>
        <v>0</v>
      </c>
      <c r="Q575" s="228" t="s">
        <v>119</v>
      </c>
      <c r="R575" s="281" t="b">
        <v>0</v>
      </c>
    </row>
    <row r="576" ht="13.5" customHeight="1">
      <c r="A576" s="282"/>
      <c r="B576" s="231"/>
      <c r="C576" s="232" t="s">
        <v>34</v>
      </c>
      <c r="D576" s="108"/>
      <c r="E576" s="256"/>
      <c r="F576" s="257"/>
      <c r="G576" s="257"/>
      <c r="H576" s="257"/>
      <c r="I576" s="257"/>
      <c r="J576" s="257"/>
      <c r="K576" s="257"/>
      <c r="L576" s="257"/>
      <c r="M576" s="257"/>
      <c r="N576" s="257"/>
      <c r="O576" s="243" t="s">
        <v>35</v>
      </c>
      <c r="P576" s="236">
        <f>(E576*E565)+(F576*F565)+(G576*G565)+(H576*H565)+(I576*I565)+(J576*J565)+(K576*K565)+(L576*L565)+(M576*M565)+(N576*N565)</f>
        <v>0</v>
      </c>
      <c r="Q576" s="244" t="s">
        <v>121</v>
      </c>
      <c r="R576" s="238" t="b">
        <v>0</v>
      </c>
    </row>
    <row r="577" ht="13.5" customHeight="1">
      <c r="A577" s="80"/>
      <c r="B577" s="283" t="s">
        <v>49</v>
      </c>
      <c r="C577" s="284" t="s">
        <v>37</v>
      </c>
      <c r="D577" s="285"/>
      <c r="E577" s="293"/>
      <c r="F577" s="293"/>
      <c r="G577" s="293"/>
      <c r="H577" s="293"/>
      <c r="I577" s="293"/>
      <c r="J577" s="293"/>
      <c r="K577" s="293"/>
      <c r="L577" s="293"/>
      <c r="M577" s="293"/>
      <c r="N577" s="293"/>
      <c r="O577" s="248" t="s">
        <v>38</v>
      </c>
      <c r="P577" s="249">
        <f>P576-P575</f>
        <v>0</v>
      </c>
      <c r="Q577" s="288" t="s">
        <v>122</v>
      </c>
      <c r="R577" s="289" t="b">
        <v>0</v>
      </c>
    </row>
    <row r="578" ht="13.5" customHeight="1">
      <c r="A578" s="270" t="s">
        <v>131</v>
      </c>
      <c r="B578" s="271" t="s">
        <v>20</v>
      </c>
      <c r="C578" s="96"/>
      <c r="D578" s="10"/>
      <c r="E578" s="272">
        <f t="shared" ref="E578:N578" si="135">E6</f>
        <v>16</v>
      </c>
      <c r="F578" s="272">
        <f t="shared" si="135"/>
        <v>26</v>
      </c>
      <c r="G578" s="272">
        <f t="shared" si="135"/>
        <v>26</v>
      </c>
      <c r="H578" s="272">
        <f t="shared" si="135"/>
        <v>26</v>
      </c>
      <c r="I578" s="272">
        <f t="shared" si="135"/>
        <v>31</v>
      </c>
      <c r="J578" s="272">
        <f t="shared" si="135"/>
        <v>36</v>
      </c>
      <c r="K578" s="272">
        <f t="shared" si="135"/>
        <v>30</v>
      </c>
      <c r="L578" s="272">
        <f t="shared" si="135"/>
        <v>35</v>
      </c>
      <c r="M578" s="272">
        <f t="shared" si="135"/>
        <v>40</v>
      </c>
      <c r="N578" s="272">
        <f t="shared" si="135"/>
        <v>15</v>
      </c>
      <c r="O578" s="271" t="s">
        <v>21</v>
      </c>
      <c r="P578" s="10"/>
      <c r="Q578" s="275" t="s">
        <v>118</v>
      </c>
      <c r="R578" s="10"/>
    </row>
    <row r="579" ht="13.5" customHeight="1">
      <c r="A579" s="276" t="s">
        <v>23</v>
      </c>
      <c r="B579" s="222" t="s">
        <v>131</v>
      </c>
      <c r="C579" s="223" t="s">
        <v>30</v>
      </c>
      <c r="D579" s="224"/>
      <c r="E579" s="277"/>
      <c r="F579" s="277"/>
      <c r="G579" s="277"/>
      <c r="H579" s="277"/>
      <c r="I579" s="278"/>
      <c r="J579" s="278"/>
      <c r="K579" s="278"/>
      <c r="L579" s="278"/>
      <c r="M579" s="278"/>
      <c r="N579" s="277"/>
      <c r="O579" s="279" t="s">
        <v>30</v>
      </c>
      <c r="P579" s="280">
        <f>(E579*E578)+(F579*F578)+(G579*G578)+(H579*H578)+(I579*I578)+(J579*J578)+(K579*K578)+(L579*L578)+(M579*M578)+(N579*N578)</f>
        <v>0</v>
      </c>
      <c r="Q579" s="228" t="s">
        <v>119</v>
      </c>
      <c r="R579" s="281" t="b">
        <v>0</v>
      </c>
    </row>
    <row r="580" ht="13.5" customHeight="1">
      <c r="A580" s="282"/>
      <c r="B580" s="231"/>
      <c r="C580" s="232" t="s">
        <v>34</v>
      </c>
      <c r="D580" s="108"/>
      <c r="E580" s="240"/>
      <c r="F580" s="241"/>
      <c r="G580" s="241"/>
      <c r="H580" s="241"/>
      <c r="I580" s="242"/>
      <c r="J580" s="242"/>
      <c r="K580" s="242"/>
      <c r="L580" s="242"/>
      <c r="M580" s="242"/>
      <c r="N580" s="241"/>
      <c r="O580" s="243" t="s">
        <v>35</v>
      </c>
      <c r="P580" s="236">
        <f>(E580*E578)+(F580*F578)+(G580*G578)+(H580*H578)+(I580*I578)+(J580*J578)+(K580*K578)+(L580*L578)+(M580*M578)+(N580*N578)</f>
        <v>0</v>
      </c>
      <c r="Q580" s="244" t="s">
        <v>121</v>
      </c>
      <c r="R580" s="238" t="b">
        <v>0</v>
      </c>
    </row>
    <row r="581" ht="13.5" customHeight="1">
      <c r="A581" s="80"/>
      <c r="B581" s="283" t="s">
        <v>33</v>
      </c>
      <c r="C581" s="284" t="s">
        <v>37</v>
      </c>
      <c r="D581" s="285"/>
      <c r="E581" s="286"/>
      <c r="F581" s="286"/>
      <c r="G581" s="286"/>
      <c r="H581" s="286"/>
      <c r="I581" s="287"/>
      <c r="J581" s="287"/>
      <c r="K581" s="287"/>
      <c r="L581" s="287"/>
      <c r="M581" s="287"/>
      <c r="N581" s="286"/>
      <c r="O581" s="248" t="s">
        <v>38</v>
      </c>
      <c r="P581" s="249">
        <f>P580-P579</f>
        <v>0</v>
      </c>
      <c r="Q581" s="288" t="s">
        <v>122</v>
      </c>
      <c r="R581" s="289" t="b">
        <v>0</v>
      </c>
    </row>
    <row r="582" ht="19.5" customHeight="1">
      <c r="A582" s="276" t="s">
        <v>23</v>
      </c>
      <c r="B582" s="222" t="s">
        <v>131</v>
      </c>
      <c r="C582" s="223" t="s">
        <v>30</v>
      </c>
      <c r="D582" s="224"/>
      <c r="E582" s="277"/>
      <c r="F582" s="277"/>
      <c r="G582" s="277"/>
      <c r="H582" s="277"/>
      <c r="I582" s="278"/>
      <c r="J582" s="351"/>
      <c r="K582" s="351"/>
      <c r="L582" s="351"/>
      <c r="M582" s="351"/>
      <c r="N582" s="290"/>
      <c r="O582" s="279" t="s">
        <v>30</v>
      </c>
      <c r="P582" s="280">
        <f>(E582*E578)+(F582*F578)+(G582*G578)+(H582*H578)+(I582*I578)+(J582*J578)+(K582*K578)+(L582*L578)+(M582*M578)+(N582*N578)</f>
        <v>0</v>
      </c>
      <c r="Q582" s="228" t="s">
        <v>119</v>
      </c>
      <c r="R582" s="281" t="b">
        <v>0</v>
      </c>
    </row>
    <row r="583" ht="13.5" customHeight="1">
      <c r="A583" s="282"/>
      <c r="B583" s="231"/>
      <c r="C583" s="232" t="s">
        <v>34</v>
      </c>
      <c r="D583" s="108"/>
      <c r="E583" s="240"/>
      <c r="F583" s="241"/>
      <c r="G583" s="241"/>
      <c r="H583" s="241"/>
      <c r="I583" s="242"/>
      <c r="J583" s="349"/>
      <c r="K583" s="349"/>
      <c r="L583" s="349"/>
      <c r="M583" s="349"/>
      <c r="N583" s="252"/>
      <c r="O583" s="243" t="s">
        <v>35</v>
      </c>
      <c r="P583" s="236">
        <f>(E583*E578)+(F583*F578)+(G583*G578)+(H583*H578)+(I583*I578)+(J583*J578)+(K583*K578)+(L583*L578)+(M583*M578)+(N583*N578)</f>
        <v>0</v>
      </c>
      <c r="Q583" s="244" t="s">
        <v>121</v>
      </c>
      <c r="R583" s="238" t="b">
        <v>0</v>
      </c>
    </row>
    <row r="584" ht="13.5" customHeight="1">
      <c r="A584" s="80"/>
      <c r="B584" s="283" t="s">
        <v>42</v>
      </c>
      <c r="C584" s="284" t="s">
        <v>37</v>
      </c>
      <c r="D584" s="285"/>
      <c r="E584" s="286"/>
      <c r="F584" s="286"/>
      <c r="G584" s="286"/>
      <c r="H584" s="286"/>
      <c r="I584" s="287"/>
      <c r="J584" s="352"/>
      <c r="K584" s="352"/>
      <c r="L584" s="352"/>
      <c r="M584" s="352"/>
      <c r="N584" s="291"/>
      <c r="O584" s="248" t="s">
        <v>38</v>
      </c>
      <c r="P584" s="249">
        <f>P583-P582</f>
        <v>0</v>
      </c>
      <c r="Q584" s="288" t="s">
        <v>122</v>
      </c>
      <c r="R584" s="289" t="b">
        <v>0</v>
      </c>
    </row>
    <row r="585" ht="13.5" customHeight="1">
      <c r="A585" s="276" t="s">
        <v>23</v>
      </c>
      <c r="B585" s="222" t="s">
        <v>131</v>
      </c>
      <c r="C585" s="223" t="s">
        <v>30</v>
      </c>
      <c r="D585" s="224"/>
      <c r="E585" s="292"/>
      <c r="F585" s="292"/>
      <c r="G585" s="292"/>
      <c r="H585" s="292"/>
      <c r="I585" s="292"/>
      <c r="J585" s="292"/>
      <c r="K585" s="292"/>
      <c r="L585" s="292"/>
      <c r="M585" s="292"/>
      <c r="N585" s="292"/>
      <c r="O585" s="279" t="s">
        <v>30</v>
      </c>
      <c r="P585" s="280">
        <f>(E585*E578)+(F585*F578)+(G585*G578)+(H585*H578)+(I585*I578)+(J585*J578)+(K585*K578)+(L585*L578)+(M585*M578)+(N585*N578)</f>
        <v>0</v>
      </c>
      <c r="Q585" s="228" t="s">
        <v>119</v>
      </c>
      <c r="R585" s="281" t="b">
        <v>0</v>
      </c>
    </row>
    <row r="586" ht="15.0" customHeight="1">
      <c r="A586" s="282"/>
      <c r="B586" s="231"/>
      <c r="C586" s="232" t="s">
        <v>34</v>
      </c>
      <c r="D586" s="108"/>
      <c r="E586" s="256"/>
      <c r="F586" s="257"/>
      <c r="G586" s="257"/>
      <c r="H586" s="257"/>
      <c r="I586" s="257"/>
      <c r="J586" s="257"/>
      <c r="K586" s="257"/>
      <c r="L586" s="257"/>
      <c r="M586" s="257"/>
      <c r="N586" s="257"/>
      <c r="O586" s="243" t="s">
        <v>35</v>
      </c>
      <c r="P586" s="236">
        <f>(E586*E578)+(F586*F578)+(G586*G578)+(H586*H578)+(I586*I578)+(J586*J578)+(K586*K578)+(L586*L578)+(M586*M578)+(N586*N578)</f>
        <v>0</v>
      </c>
      <c r="Q586" s="244" t="s">
        <v>121</v>
      </c>
      <c r="R586" s="238" t="b">
        <v>0</v>
      </c>
    </row>
    <row r="587" ht="13.5" customHeight="1">
      <c r="A587" s="80"/>
      <c r="B587" s="283" t="s">
        <v>47</v>
      </c>
      <c r="C587" s="284" t="s">
        <v>37</v>
      </c>
      <c r="D587" s="285"/>
      <c r="E587" s="293"/>
      <c r="F587" s="293"/>
      <c r="G587" s="293"/>
      <c r="H587" s="293"/>
      <c r="I587" s="293"/>
      <c r="J587" s="293"/>
      <c r="K587" s="293"/>
      <c r="L587" s="293"/>
      <c r="M587" s="293"/>
      <c r="N587" s="293"/>
      <c r="O587" s="248" t="s">
        <v>38</v>
      </c>
      <c r="P587" s="249">
        <f>P586-P585</f>
        <v>0</v>
      </c>
      <c r="Q587" s="288" t="s">
        <v>122</v>
      </c>
      <c r="R587" s="289" t="b">
        <v>0</v>
      </c>
    </row>
    <row r="588" ht="13.5" customHeight="1">
      <c r="A588" s="276" t="s">
        <v>23</v>
      </c>
      <c r="B588" s="222" t="s">
        <v>131</v>
      </c>
      <c r="C588" s="223" t="s">
        <v>30</v>
      </c>
      <c r="D588" s="224"/>
      <c r="E588" s="292"/>
      <c r="F588" s="292"/>
      <c r="G588" s="292"/>
      <c r="H588" s="292"/>
      <c r="I588" s="292"/>
      <c r="J588" s="292"/>
      <c r="K588" s="292"/>
      <c r="L588" s="292"/>
      <c r="M588" s="292"/>
      <c r="N588" s="292"/>
      <c r="O588" s="279" t="s">
        <v>30</v>
      </c>
      <c r="P588" s="280">
        <f>(E588*E578)+(F588*F578)+(G588*G578)+(H588*H578)+(I588*I578)+(J588*J578)+(K588*K578)+(L588*L578)+(M588*M578)+(N588*N578)</f>
        <v>0</v>
      </c>
      <c r="Q588" s="228" t="s">
        <v>119</v>
      </c>
      <c r="R588" s="281" t="b">
        <v>0</v>
      </c>
    </row>
    <row r="589" ht="13.5" customHeight="1">
      <c r="A589" s="282"/>
      <c r="B589" s="231"/>
      <c r="C589" s="232" t="s">
        <v>34</v>
      </c>
      <c r="D589" s="108"/>
      <c r="E589" s="256"/>
      <c r="F589" s="257"/>
      <c r="G589" s="257"/>
      <c r="H589" s="257"/>
      <c r="I589" s="257"/>
      <c r="J589" s="257"/>
      <c r="K589" s="257"/>
      <c r="L589" s="257"/>
      <c r="M589" s="257"/>
      <c r="N589" s="257"/>
      <c r="O589" s="243" t="s">
        <v>35</v>
      </c>
      <c r="P589" s="236">
        <f>(E589*E578)+(F589*F578)+(G589*G578)+(H589*H578)+(I589*I578)+(J589*J578)+(K589*K578)+(L589*L578)+(M589*M578)+(N589*N578)</f>
        <v>0</v>
      </c>
      <c r="Q589" s="244" t="s">
        <v>121</v>
      </c>
      <c r="R589" s="238" t="b">
        <v>0</v>
      </c>
    </row>
    <row r="590" ht="18.75" customHeight="1">
      <c r="A590" s="80"/>
      <c r="B590" s="283" t="s">
        <v>49</v>
      </c>
      <c r="C590" s="284" t="s">
        <v>37</v>
      </c>
      <c r="D590" s="285"/>
      <c r="E590" s="293"/>
      <c r="F590" s="293"/>
      <c r="G590" s="293"/>
      <c r="H590" s="293"/>
      <c r="I590" s="293"/>
      <c r="J590" s="293"/>
      <c r="K590" s="293"/>
      <c r="L590" s="293"/>
      <c r="M590" s="293"/>
      <c r="N590" s="293"/>
      <c r="O590" s="248" t="s">
        <v>38</v>
      </c>
      <c r="P590" s="249">
        <f>P589-P588</f>
        <v>0</v>
      </c>
      <c r="Q590" s="288" t="s">
        <v>122</v>
      </c>
      <c r="R590" s="289" t="b">
        <v>0</v>
      </c>
    </row>
    <row r="591" ht="13.5" customHeight="1">
      <c r="A591" s="294" t="s">
        <v>132</v>
      </c>
      <c r="B591" s="295"/>
      <c r="C591" s="295"/>
      <c r="D591" s="295"/>
      <c r="E591" s="295"/>
      <c r="F591" s="295"/>
      <c r="G591" s="295"/>
      <c r="H591" s="295"/>
      <c r="I591" s="295"/>
      <c r="J591" s="295"/>
      <c r="K591" s="295"/>
      <c r="L591" s="295"/>
      <c r="M591" s="295"/>
      <c r="N591" s="295"/>
      <c r="O591" s="295"/>
      <c r="P591" s="295"/>
      <c r="Q591" s="295"/>
      <c r="R591" s="296"/>
    </row>
    <row r="592" ht="13.5" customHeight="1">
      <c r="A592" s="297" t="s">
        <v>133</v>
      </c>
      <c r="B592" s="298"/>
      <c r="C592" s="299" t="s">
        <v>15</v>
      </c>
      <c r="D592" s="54"/>
      <c r="E592" s="300">
        <f t="shared" ref="E592:N592" si="136">E7-(E15+E33+E51+E69+E87+E105+E123+E141+E159+E177+E195+E213+E231+E249+E267+E285+E303+E321+E339+E357+E375+E393+E411+E429+E447+E463+E476+E489+E502+E515+E528+E541+E554+E567+E580)</f>
        <v>0</v>
      </c>
      <c r="F592" s="300">
        <f t="shared" si="136"/>
        <v>0</v>
      </c>
      <c r="G592" s="300">
        <f t="shared" si="136"/>
        <v>0</v>
      </c>
      <c r="H592" s="300">
        <f t="shared" si="136"/>
        <v>0</v>
      </c>
      <c r="I592" s="300">
        <f t="shared" si="136"/>
        <v>0</v>
      </c>
      <c r="J592" s="300">
        <f t="shared" si="136"/>
        <v>0</v>
      </c>
      <c r="K592" s="300">
        <f t="shared" si="136"/>
        <v>0</v>
      </c>
      <c r="L592" s="300">
        <f t="shared" si="136"/>
        <v>0</v>
      </c>
      <c r="M592" s="300">
        <f t="shared" si="136"/>
        <v>0</v>
      </c>
      <c r="N592" s="300">
        <f t="shared" si="136"/>
        <v>0</v>
      </c>
      <c r="O592" s="301" t="s">
        <v>134</v>
      </c>
      <c r="P592" s="302">
        <f>P16+P34+P52+P70+P88+P106+P124+P142+P160+P178+P196+P214+P232+P250+P268+P286+P304+P322+P340+P358+P376+P394+P412+P430+P448+P464+P477+P490+P503+P516+P529+P542+P555+P568+P581</f>
        <v>0</v>
      </c>
      <c r="Q592" s="303"/>
      <c r="R592" s="304"/>
    </row>
    <row r="593" ht="13.5" customHeight="1">
      <c r="A593" s="126"/>
      <c r="B593" s="305"/>
      <c r="C593" s="306" t="s">
        <v>137</v>
      </c>
      <c r="D593" s="285"/>
      <c r="E593" s="307">
        <f t="shared" ref="E593:N593" si="137">E14+E32+E50+E68+E86+E104+E122+E140+E158+E176+E194+E212+E230+E248+E266+E284+E302+E320+E338+E356+E374+E392+E410+E428+E446+E462+E475+E488+E501+E514+E527+E540+E553+E566+E579</f>
        <v>0</v>
      </c>
      <c r="F593" s="307">
        <f t="shared" si="137"/>
        <v>0</v>
      </c>
      <c r="G593" s="307">
        <f t="shared" si="137"/>
        <v>0</v>
      </c>
      <c r="H593" s="307">
        <f t="shared" si="137"/>
        <v>0</v>
      </c>
      <c r="I593" s="307">
        <f t="shared" si="137"/>
        <v>0</v>
      </c>
      <c r="J593" s="307">
        <f t="shared" si="137"/>
        <v>0</v>
      </c>
      <c r="K593" s="307">
        <f t="shared" si="137"/>
        <v>0</v>
      </c>
      <c r="L593" s="307">
        <f t="shared" si="137"/>
        <v>0</v>
      </c>
      <c r="M593" s="307">
        <f t="shared" si="137"/>
        <v>0</v>
      </c>
      <c r="N593" s="307">
        <f t="shared" si="137"/>
        <v>0</v>
      </c>
      <c r="O593" s="308"/>
      <c r="P593" s="80"/>
      <c r="Q593" s="309"/>
      <c r="R593" s="296"/>
    </row>
    <row r="594" ht="13.5" customHeight="1">
      <c r="A594" s="310" t="s">
        <v>138</v>
      </c>
      <c r="B594" s="311"/>
      <c r="C594" s="299" t="s">
        <v>15</v>
      </c>
      <c r="D594" s="54"/>
      <c r="E594" s="300">
        <f t="shared" ref="E594:N594" si="138">E8-(E19+E37+E55+E73+E91+E109+E127+E145+E163+E181+E199+E217+E235+E253+E271+E289+E307+E325+E343+E361+E379+E397+E415+E433+E451+E466+E479+E492+E505+E518+E531+E544+E557+E570+E583)</f>
        <v>0</v>
      </c>
      <c r="F594" s="300">
        <f t="shared" si="138"/>
        <v>0</v>
      </c>
      <c r="G594" s="300">
        <f t="shared" si="138"/>
        <v>0</v>
      </c>
      <c r="H594" s="300">
        <f t="shared" si="138"/>
        <v>0</v>
      </c>
      <c r="I594" s="300">
        <f t="shared" si="138"/>
        <v>0</v>
      </c>
      <c r="J594" s="300">
        <f t="shared" si="138"/>
        <v>0</v>
      </c>
      <c r="K594" s="300">
        <f t="shared" si="138"/>
        <v>0</v>
      </c>
      <c r="L594" s="300">
        <f t="shared" si="138"/>
        <v>0</v>
      </c>
      <c r="M594" s="300">
        <f t="shared" si="138"/>
        <v>0</v>
      </c>
      <c r="N594" s="300">
        <f t="shared" si="138"/>
        <v>0</v>
      </c>
      <c r="O594" s="312" t="s">
        <v>139</v>
      </c>
      <c r="P594" s="313">
        <f>P20+P38+P56+P74+P92+P110+P128+P146+P164+P182+P200+P218+P236+P254+P272+P290+P308+P326+P344+P362+P380+P398+P416+P434+P452+P467+P480+P493+P506+P519+P532+P545+P558+P571+P584</f>
        <v>0</v>
      </c>
      <c r="Q594" s="303"/>
      <c r="R594" s="304"/>
    </row>
    <row r="595" ht="13.5" customHeight="1">
      <c r="A595" s="126"/>
      <c r="B595" s="305"/>
      <c r="C595" s="306" t="s">
        <v>137</v>
      </c>
      <c r="D595" s="285"/>
      <c r="E595" s="307">
        <f t="shared" ref="E595:N595" si="139">E36+E54+E72+E90+E126+E144+E162+E180+E198+E216+E234+E252+E270+E288+E306+E324+E342+E360+E378+E396+E414+E432+E450+E465+E478+E491+E504+E517+E530+E543+E556+E569+E582</f>
        <v>0</v>
      </c>
      <c r="F595" s="307">
        <f t="shared" si="139"/>
        <v>0</v>
      </c>
      <c r="G595" s="307">
        <f t="shared" si="139"/>
        <v>0</v>
      </c>
      <c r="H595" s="307">
        <f t="shared" si="139"/>
        <v>0</v>
      </c>
      <c r="I595" s="307">
        <f t="shared" si="139"/>
        <v>0</v>
      </c>
      <c r="J595" s="307">
        <f t="shared" si="139"/>
        <v>0</v>
      </c>
      <c r="K595" s="307">
        <f t="shared" si="139"/>
        <v>0</v>
      </c>
      <c r="L595" s="307">
        <f t="shared" si="139"/>
        <v>0</v>
      </c>
      <c r="M595" s="307">
        <f t="shared" si="139"/>
        <v>0</v>
      </c>
      <c r="N595" s="307">
        <f t="shared" si="139"/>
        <v>0</v>
      </c>
      <c r="O595" s="308"/>
      <c r="P595" s="80"/>
      <c r="Q595" s="309"/>
      <c r="R595" s="296"/>
    </row>
    <row r="596" ht="13.5" customHeight="1">
      <c r="A596" s="310" t="s">
        <v>140</v>
      </c>
      <c r="B596" s="311"/>
      <c r="C596" s="299" t="s">
        <v>15</v>
      </c>
      <c r="D596" s="54"/>
      <c r="E596" s="314">
        <f t="shared" ref="E596:N596" si="140">E9-(E23+E41+E59+E77+E95+E113+E131+E149+E167+E185+E203+E221+E239+E257+E275+E293+E311+E329+E347+E365+E383+E401+E419+E437+E455+E469+E482+E495+E508+E521+E534+E547+E560+E573+E586)</f>
        <v>0</v>
      </c>
      <c r="F596" s="314">
        <f t="shared" si="140"/>
        <v>0</v>
      </c>
      <c r="G596" s="314">
        <f t="shared" si="140"/>
        <v>0</v>
      </c>
      <c r="H596" s="314">
        <f t="shared" si="140"/>
        <v>0</v>
      </c>
      <c r="I596" s="314">
        <f t="shared" si="140"/>
        <v>0</v>
      </c>
      <c r="J596" s="314">
        <f t="shared" si="140"/>
        <v>0</v>
      </c>
      <c r="K596" s="314">
        <f t="shared" si="140"/>
        <v>0</v>
      </c>
      <c r="L596" s="314">
        <f t="shared" si="140"/>
        <v>0</v>
      </c>
      <c r="M596" s="314">
        <f t="shared" si="140"/>
        <v>0</v>
      </c>
      <c r="N596" s="314">
        <f t="shared" si="140"/>
        <v>0</v>
      </c>
      <c r="O596" s="312" t="s">
        <v>141</v>
      </c>
      <c r="P596" s="302">
        <f>P24+P42+P60+P78+P96+P114+P132+P150+P168+P186+P204+P222+P240+P258+P276+P294+P312+P330+P348+P366+P384+P402+P420+P438+P456+P470+P483+P496+P509+P522+P535+P548+P561+P574+P587</f>
        <v>0</v>
      </c>
      <c r="Q596" s="303"/>
      <c r="R596" s="304"/>
    </row>
    <row r="597" ht="13.5" customHeight="1">
      <c r="A597" s="126"/>
      <c r="B597" s="305"/>
      <c r="C597" s="306" t="s">
        <v>137</v>
      </c>
      <c r="D597" s="285"/>
      <c r="E597" s="307">
        <f t="shared" ref="E597:N597" si="141">E22+E40+E58+E76+E94+E112+E130+E148+E166+E184+E202+E220+E238+E256+E274+E292+E310+E328+E346+E364+E382+E400+E418+E436+E454+E468+E481+E494+E507+E520+E533+E546+E559+E572+E585</f>
        <v>0</v>
      </c>
      <c r="F597" s="307">
        <f t="shared" si="141"/>
        <v>0</v>
      </c>
      <c r="G597" s="307">
        <f t="shared" si="141"/>
        <v>0</v>
      </c>
      <c r="H597" s="307">
        <f t="shared" si="141"/>
        <v>0</v>
      </c>
      <c r="I597" s="307">
        <f t="shared" si="141"/>
        <v>0</v>
      </c>
      <c r="J597" s="307">
        <f t="shared" si="141"/>
        <v>0</v>
      </c>
      <c r="K597" s="307">
        <f t="shared" si="141"/>
        <v>0</v>
      </c>
      <c r="L597" s="307">
        <f t="shared" si="141"/>
        <v>0</v>
      </c>
      <c r="M597" s="307">
        <f t="shared" si="141"/>
        <v>0</v>
      </c>
      <c r="N597" s="307">
        <f t="shared" si="141"/>
        <v>0</v>
      </c>
      <c r="O597" s="308"/>
      <c r="P597" s="80"/>
      <c r="Q597" s="309"/>
      <c r="R597" s="296"/>
    </row>
    <row r="598" ht="13.5" customHeight="1">
      <c r="A598" s="310" t="s">
        <v>142</v>
      </c>
      <c r="B598" s="311"/>
      <c r="C598" s="299" t="s">
        <v>15</v>
      </c>
      <c r="D598" s="54"/>
      <c r="E598" s="314">
        <f t="shared" ref="E598:N598" si="142">E10-(E27+E45+E63+E81+E99+E117+E135+E153+E171+E189+E207+E225+E243+E261+E279+E297+E315+E333+E351+E369+E387+E405+E423+E441+E459+E472+E485+E498+E511+E524+E537+E550+E563+E576+E589)</f>
        <v>0</v>
      </c>
      <c r="F598" s="314">
        <f t="shared" si="142"/>
        <v>0</v>
      </c>
      <c r="G598" s="314">
        <f t="shared" si="142"/>
        <v>0</v>
      </c>
      <c r="H598" s="314">
        <f t="shared" si="142"/>
        <v>0</v>
      </c>
      <c r="I598" s="314">
        <f t="shared" si="142"/>
        <v>0</v>
      </c>
      <c r="J598" s="314">
        <f t="shared" si="142"/>
        <v>0</v>
      </c>
      <c r="K598" s="314">
        <f t="shared" si="142"/>
        <v>0</v>
      </c>
      <c r="L598" s="314">
        <f t="shared" si="142"/>
        <v>0</v>
      </c>
      <c r="M598" s="314">
        <f t="shared" si="142"/>
        <v>0</v>
      </c>
      <c r="N598" s="314">
        <f t="shared" si="142"/>
        <v>0</v>
      </c>
      <c r="O598" s="312" t="s">
        <v>143</v>
      </c>
      <c r="P598" s="302">
        <f>P28+P46+P64+P82+P100+P118+P136+P154+P172+P190+P208+P226+P244+P262+P280+P298+P316+P334+P352+P370+P388+P406+P424+P442+P460+P473+P486+P499+P512+P525+P538+P551+P564+P577+P590</f>
        <v>0</v>
      </c>
      <c r="Q598" s="303"/>
      <c r="R598" s="304"/>
    </row>
    <row r="599" ht="13.5" customHeight="1">
      <c r="A599" s="126"/>
      <c r="B599" s="305"/>
      <c r="C599" s="306" t="s">
        <v>137</v>
      </c>
      <c r="D599" s="285"/>
      <c r="E599" s="307">
        <f t="shared" ref="E599:N599" si="143">E26+E44+E62+E80+E98+E116+E134+E152+E170+E188+E206+E224+E242+E260+E278+E296+E314+E332+E350+E368+E386+E404+E422+E440+E458+E471+E484+E497+E510+E523+E536+E549+E562+E575+E588</f>
        <v>0</v>
      </c>
      <c r="F599" s="307">
        <f t="shared" si="143"/>
        <v>0</v>
      </c>
      <c r="G599" s="307">
        <f t="shared" si="143"/>
        <v>0</v>
      </c>
      <c r="H599" s="307">
        <f t="shared" si="143"/>
        <v>0</v>
      </c>
      <c r="I599" s="307">
        <f t="shared" si="143"/>
        <v>0</v>
      </c>
      <c r="J599" s="307">
        <f t="shared" si="143"/>
        <v>0</v>
      </c>
      <c r="K599" s="307">
        <f t="shared" si="143"/>
        <v>0</v>
      </c>
      <c r="L599" s="307">
        <f t="shared" si="143"/>
        <v>0</v>
      </c>
      <c r="M599" s="307">
        <f t="shared" si="143"/>
        <v>0</v>
      </c>
      <c r="N599" s="307">
        <f t="shared" si="143"/>
        <v>0</v>
      </c>
      <c r="O599" s="308"/>
      <c r="P599" s="80"/>
      <c r="Q599" s="309"/>
      <c r="R599" s="296"/>
    </row>
    <row r="600" ht="13.5" customHeight="1">
      <c r="A600" s="105" t="s">
        <v>144</v>
      </c>
      <c r="B600" s="96"/>
      <c r="C600" s="96"/>
      <c r="D600" s="96"/>
      <c r="E600" s="96"/>
      <c r="F600" s="96"/>
      <c r="G600" s="96"/>
      <c r="H600" s="96"/>
      <c r="I600" s="96"/>
      <c r="J600" s="96"/>
      <c r="K600" s="96"/>
      <c r="L600" s="96"/>
      <c r="M600" s="96"/>
      <c r="N600" s="96"/>
      <c r="O600" s="96"/>
      <c r="P600" s="96"/>
      <c r="Q600" s="96"/>
      <c r="R600" s="10"/>
    </row>
    <row r="601" ht="13.5" customHeight="1">
      <c r="A601" s="315"/>
      <c r="B601" s="316"/>
      <c r="C601" s="316"/>
      <c r="D601" s="316"/>
      <c r="E601" s="317" t="s">
        <v>7</v>
      </c>
      <c r="F601" s="318" t="s">
        <v>145</v>
      </c>
      <c r="G601" s="318" t="s">
        <v>9</v>
      </c>
      <c r="H601" s="318" t="s">
        <v>10</v>
      </c>
      <c r="I601" s="318" t="s">
        <v>11</v>
      </c>
      <c r="J601" s="353" t="s">
        <v>12</v>
      </c>
      <c r="K601" s="353" t="s">
        <v>195</v>
      </c>
      <c r="L601" s="353" t="s">
        <v>196</v>
      </c>
      <c r="M601" s="353" t="s">
        <v>197</v>
      </c>
      <c r="N601" s="319" t="s">
        <v>146</v>
      </c>
      <c r="O601" s="315"/>
      <c r="P601" s="315"/>
      <c r="Q601" s="315"/>
      <c r="R601" s="315"/>
    </row>
    <row r="602" ht="13.5" customHeight="1">
      <c r="A602" s="320">
        <v>1.0</v>
      </c>
      <c r="B602" s="321" t="s">
        <v>147</v>
      </c>
      <c r="C602" s="322"/>
      <c r="D602" s="224"/>
      <c r="E602" s="323">
        <f t="shared" ref="E602:N602" si="144">E13+E31+E49+E67+E85+E103+E121+E139+E157+E175+E193+E211+E229+E247+E265+E283+E301+E319+E337+E355+E373+E391+E409+E427+E445</f>
        <v>0</v>
      </c>
      <c r="F602" s="323">
        <f t="shared" si="144"/>
        <v>0</v>
      </c>
      <c r="G602" s="323">
        <f t="shared" si="144"/>
        <v>0</v>
      </c>
      <c r="H602" s="323">
        <f t="shared" si="144"/>
        <v>0</v>
      </c>
      <c r="I602" s="323">
        <f t="shared" si="144"/>
        <v>0</v>
      </c>
      <c r="J602" s="323">
        <f t="shared" si="144"/>
        <v>0</v>
      </c>
      <c r="K602" s="323">
        <f t="shared" si="144"/>
        <v>0</v>
      </c>
      <c r="L602" s="323">
        <f t="shared" si="144"/>
        <v>0</v>
      </c>
      <c r="M602" s="323">
        <f t="shared" si="144"/>
        <v>0</v>
      </c>
      <c r="N602" s="323">
        <f t="shared" si="144"/>
        <v>0</v>
      </c>
      <c r="O602" s="147"/>
      <c r="P602" s="2"/>
      <c r="Q602" s="2"/>
      <c r="R602" s="3"/>
    </row>
    <row r="603" ht="13.5" customHeight="1">
      <c r="A603" s="68"/>
      <c r="B603" s="324" t="s">
        <v>148</v>
      </c>
      <c r="C603" s="325"/>
      <c r="D603" s="108"/>
      <c r="E603" s="326">
        <f t="shared" ref="E603:N603" si="145">E15+E33+E51+E69+E87+E105+E123+E141+E159+E177+E195+E213+E231+E249+E267+E285+E303+E321+E339+E357+E375+E393+E411+E429+E447+E463+E476+E489+E502+E515+E528+E541+E554+E567+E580</f>
        <v>0</v>
      </c>
      <c r="F603" s="326">
        <f t="shared" si="145"/>
        <v>0</v>
      </c>
      <c r="G603" s="326">
        <f t="shared" si="145"/>
        <v>0</v>
      </c>
      <c r="H603" s="326">
        <f t="shared" si="145"/>
        <v>0</v>
      </c>
      <c r="I603" s="326">
        <f t="shared" si="145"/>
        <v>0</v>
      </c>
      <c r="J603" s="326">
        <f t="shared" si="145"/>
        <v>0</v>
      </c>
      <c r="K603" s="326">
        <f t="shared" si="145"/>
        <v>0</v>
      </c>
      <c r="L603" s="326">
        <f t="shared" si="145"/>
        <v>0</v>
      </c>
      <c r="M603" s="326">
        <f t="shared" si="145"/>
        <v>0</v>
      </c>
      <c r="N603" s="326">
        <f t="shared" si="145"/>
        <v>0</v>
      </c>
      <c r="O603" s="38"/>
      <c r="R603" s="5"/>
    </row>
    <row r="604" ht="13.5" customHeight="1">
      <c r="A604" s="68"/>
      <c r="B604" s="324" t="s">
        <v>149</v>
      </c>
      <c r="C604" s="325"/>
      <c r="D604" s="108"/>
      <c r="E604" s="327">
        <f t="shared" ref="E604:N604" si="146">E16+E34+E52+E70+E88+E106+E124+E142+E160+E178+E196+E214+E232+E250+E268+E286+E304+E322+E340+E358+E376+E394+E412+E430+E448+E464+E477+E490+E503+E516+E529+E542+E555+E568+E581</f>
        <v>0</v>
      </c>
      <c r="F604" s="327">
        <f t="shared" si="146"/>
        <v>0</v>
      </c>
      <c r="G604" s="327">
        <f t="shared" si="146"/>
        <v>0</v>
      </c>
      <c r="H604" s="327">
        <f t="shared" si="146"/>
        <v>0</v>
      </c>
      <c r="I604" s="327">
        <f t="shared" si="146"/>
        <v>0</v>
      </c>
      <c r="J604" s="327">
        <f t="shared" si="146"/>
        <v>0</v>
      </c>
      <c r="K604" s="327">
        <f t="shared" si="146"/>
        <v>0</v>
      </c>
      <c r="L604" s="327">
        <f t="shared" si="146"/>
        <v>0</v>
      </c>
      <c r="M604" s="327">
        <f t="shared" si="146"/>
        <v>0</v>
      </c>
      <c r="N604" s="327">
        <f t="shared" si="146"/>
        <v>0</v>
      </c>
      <c r="O604" s="38"/>
      <c r="R604" s="5"/>
    </row>
    <row r="605" ht="13.5" customHeight="1">
      <c r="A605" s="68"/>
      <c r="B605" s="324" t="s">
        <v>150</v>
      </c>
      <c r="C605" s="325"/>
      <c r="D605" s="108"/>
      <c r="E605" s="328">
        <f t="shared" ref="E605:N605" si="147">E14+E32+E50+E68+E86+E104+E122+E140+E158+E176+E194+E212+E230+E248+E266+E284+E302+E320+E338+E356+E374+E392+E410+E428+E446+E462+E475+E488+E501+E514+E527+E540+E553+E566+E579</f>
        <v>0</v>
      </c>
      <c r="F605" s="328">
        <f t="shared" si="147"/>
        <v>0</v>
      </c>
      <c r="G605" s="328">
        <f t="shared" si="147"/>
        <v>0</v>
      </c>
      <c r="H605" s="328">
        <f t="shared" si="147"/>
        <v>0</v>
      </c>
      <c r="I605" s="328">
        <f t="shared" si="147"/>
        <v>0</v>
      </c>
      <c r="J605" s="328">
        <f t="shared" si="147"/>
        <v>0</v>
      </c>
      <c r="K605" s="328">
        <f t="shared" si="147"/>
        <v>0</v>
      </c>
      <c r="L605" s="328">
        <f t="shared" si="147"/>
        <v>0</v>
      </c>
      <c r="M605" s="328">
        <f t="shared" si="147"/>
        <v>0</v>
      </c>
      <c r="N605" s="328">
        <f t="shared" si="147"/>
        <v>0</v>
      </c>
      <c r="O605" s="38"/>
      <c r="R605" s="5"/>
    </row>
    <row r="606" ht="13.5" customHeight="1">
      <c r="A606" s="80"/>
      <c r="B606" s="324" t="s">
        <v>151</v>
      </c>
      <c r="C606" s="325"/>
      <c r="D606" s="108"/>
      <c r="E606" s="329">
        <f t="shared" ref="E606:N606" si="148">(E603+E604)</f>
        <v>0</v>
      </c>
      <c r="F606" s="329">
        <f t="shared" si="148"/>
        <v>0</v>
      </c>
      <c r="G606" s="329">
        <f t="shared" si="148"/>
        <v>0</v>
      </c>
      <c r="H606" s="329">
        <f t="shared" si="148"/>
        <v>0</v>
      </c>
      <c r="I606" s="329">
        <f t="shared" si="148"/>
        <v>0</v>
      </c>
      <c r="J606" s="329">
        <f t="shared" si="148"/>
        <v>0</v>
      </c>
      <c r="K606" s="329">
        <f t="shared" si="148"/>
        <v>0</v>
      </c>
      <c r="L606" s="329">
        <f t="shared" si="148"/>
        <v>0</v>
      </c>
      <c r="M606" s="329">
        <f t="shared" si="148"/>
        <v>0</v>
      </c>
      <c r="N606" s="329">
        <f t="shared" si="148"/>
        <v>0</v>
      </c>
      <c r="O606" s="126"/>
      <c r="P606" s="24"/>
      <c r="Q606" s="24"/>
      <c r="R606" s="25"/>
    </row>
    <row r="607" ht="13.5" customHeight="1">
      <c r="A607" s="315"/>
      <c r="B607" s="316"/>
      <c r="C607" s="316"/>
      <c r="D607" s="316"/>
      <c r="E607" s="317" t="s">
        <v>7</v>
      </c>
      <c r="F607" s="318" t="s">
        <v>145</v>
      </c>
      <c r="G607" s="318" t="s">
        <v>9</v>
      </c>
      <c r="H607" s="318" t="s">
        <v>10</v>
      </c>
      <c r="I607" s="318" t="s">
        <v>11</v>
      </c>
      <c r="J607" s="353" t="s">
        <v>12</v>
      </c>
      <c r="K607" s="353" t="s">
        <v>195</v>
      </c>
      <c r="L607" s="353" t="s">
        <v>196</v>
      </c>
      <c r="M607" s="353" t="s">
        <v>197</v>
      </c>
      <c r="N607" s="319" t="s">
        <v>146</v>
      </c>
      <c r="O607" s="315"/>
      <c r="P607" s="315"/>
      <c r="Q607" s="315"/>
      <c r="R607" s="315"/>
    </row>
    <row r="608" ht="13.5" customHeight="1">
      <c r="A608" s="320">
        <v>2.0</v>
      </c>
      <c r="B608" s="321" t="s">
        <v>147</v>
      </c>
      <c r="C608" s="322"/>
      <c r="D608" s="224"/>
      <c r="E608" s="323">
        <f t="shared" ref="E608:N608" si="149">E17+E35+E53+E71+E89+E107+E125+E143+E161+E179+E197+E215+E233+E251+E269+E287+E305+E323+E341+E359+E377+E395+E413+E431+E449</f>
        <v>0</v>
      </c>
      <c r="F608" s="323">
        <f t="shared" si="149"/>
        <v>0</v>
      </c>
      <c r="G608" s="323">
        <f t="shared" si="149"/>
        <v>0</v>
      </c>
      <c r="H608" s="323">
        <f t="shared" si="149"/>
        <v>0</v>
      </c>
      <c r="I608" s="323">
        <f t="shared" si="149"/>
        <v>0</v>
      </c>
      <c r="J608" s="323">
        <f t="shared" si="149"/>
        <v>0</v>
      </c>
      <c r="K608" s="323">
        <f t="shared" si="149"/>
        <v>0</v>
      </c>
      <c r="L608" s="323">
        <f t="shared" si="149"/>
        <v>0</v>
      </c>
      <c r="M608" s="323">
        <f t="shared" si="149"/>
        <v>0</v>
      </c>
      <c r="N608" s="323">
        <f t="shared" si="149"/>
        <v>0</v>
      </c>
      <c r="O608" s="147"/>
      <c r="P608" s="2"/>
      <c r="Q608" s="2"/>
      <c r="R608" s="3"/>
    </row>
    <row r="609" ht="13.5" customHeight="1">
      <c r="A609" s="68"/>
      <c r="B609" s="324" t="s">
        <v>148</v>
      </c>
      <c r="C609" s="325"/>
      <c r="D609" s="108"/>
      <c r="E609" s="326">
        <f t="shared" ref="E609:N609" si="150">E19+E37+E55+E73+E91+E109+E127+E145+E163+E181+E199+E217+E235+E253+E271+E289+E307+E325+E343+E361+E379+E397+E415+E433+E451+E466+E479+E492+E505+E518+E531+E544+E557+E570+E583</f>
        <v>0</v>
      </c>
      <c r="F609" s="326">
        <f t="shared" si="150"/>
        <v>0</v>
      </c>
      <c r="G609" s="326">
        <f t="shared" si="150"/>
        <v>0</v>
      </c>
      <c r="H609" s="326">
        <f t="shared" si="150"/>
        <v>0</v>
      </c>
      <c r="I609" s="326">
        <f t="shared" si="150"/>
        <v>0</v>
      </c>
      <c r="J609" s="326">
        <f t="shared" si="150"/>
        <v>0</v>
      </c>
      <c r="K609" s="326">
        <f t="shared" si="150"/>
        <v>0</v>
      </c>
      <c r="L609" s="326">
        <f t="shared" si="150"/>
        <v>0</v>
      </c>
      <c r="M609" s="326">
        <f t="shared" si="150"/>
        <v>0</v>
      </c>
      <c r="N609" s="326">
        <f t="shared" si="150"/>
        <v>0</v>
      </c>
      <c r="O609" s="38"/>
      <c r="R609" s="5"/>
    </row>
    <row r="610" ht="13.5" customHeight="1">
      <c r="A610" s="68"/>
      <c r="B610" s="324" t="s">
        <v>149</v>
      </c>
      <c r="C610" s="325"/>
      <c r="D610" s="108"/>
      <c r="E610" s="327">
        <f t="shared" ref="E610:N610" si="151">E20+E38+E56+E74+E92+E110+E128+E146+E164+E182+E200+E218+E236+E254+E272+E290+E308+E326+E344+E362+E380+E398+E416+E434+E452+E467+E480+E493+E506+E519+E532+E545+E558+E571+E584</f>
        <v>0</v>
      </c>
      <c r="F610" s="327">
        <f t="shared" si="151"/>
        <v>0</v>
      </c>
      <c r="G610" s="327">
        <f t="shared" si="151"/>
        <v>0</v>
      </c>
      <c r="H610" s="327">
        <f t="shared" si="151"/>
        <v>0</v>
      </c>
      <c r="I610" s="327">
        <f t="shared" si="151"/>
        <v>0</v>
      </c>
      <c r="J610" s="327">
        <f t="shared" si="151"/>
        <v>0</v>
      </c>
      <c r="K610" s="327">
        <f t="shared" si="151"/>
        <v>0</v>
      </c>
      <c r="L610" s="327">
        <f t="shared" si="151"/>
        <v>0</v>
      </c>
      <c r="M610" s="327">
        <f t="shared" si="151"/>
        <v>0</v>
      </c>
      <c r="N610" s="327">
        <f t="shared" si="151"/>
        <v>0</v>
      </c>
      <c r="O610" s="38"/>
      <c r="R610" s="5"/>
    </row>
    <row r="611" ht="13.5" customHeight="1">
      <c r="A611" s="68"/>
      <c r="B611" s="324" t="s">
        <v>150</v>
      </c>
      <c r="C611" s="325"/>
      <c r="D611" s="108"/>
      <c r="E611" s="328">
        <f t="shared" ref="E611:N611" si="152">E18+E36+E54+E72+E90+E108+E126+E144+E162+E180+E198+E216+E234+E252+E270+E288+E306+E324+E342+E360+E378+E396+E414+E432+E450+E465+E478+E491+E504+E517+E530+E543+E556+E569+E582</f>
        <v>0</v>
      </c>
      <c r="F611" s="328">
        <f t="shared" si="152"/>
        <v>0</v>
      </c>
      <c r="G611" s="328">
        <f t="shared" si="152"/>
        <v>0</v>
      </c>
      <c r="H611" s="328">
        <f t="shared" si="152"/>
        <v>0</v>
      </c>
      <c r="I611" s="328">
        <f t="shared" si="152"/>
        <v>0</v>
      </c>
      <c r="J611" s="328">
        <f t="shared" si="152"/>
        <v>0</v>
      </c>
      <c r="K611" s="328">
        <f t="shared" si="152"/>
        <v>0</v>
      </c>
      <c r="L611" s="328">
        <f t="shared" si="152"/>
        <v>0</v>
      </c>
      <c r="M611" s="328">
        <f t="shared" si="152"/>
        <v>0</v>
      </c>
      <c r="N611" s="328">
        <f t="shared" si="152"/>
        <v>0</v>
      </c>
      <c r="O611" s="38"/>
      <c r="R611" s="5"/>
    </row>
    <row r="612" ht="13.5" customHeight="1">
      <c r="A612" s="80"/>
      <c r="B612" s="324" t="s">
        <v>151</v>
      </c>
      <c r="C612" s="325"/>
      <c r="D612" s="108"/>
      <c r="E612" s="329">
        <f t="shared" ref="E612:N612" si="153">(E609+E610)</f>
        <v>0</v>
      </c>
      <c r="F612" s="329">
        <f t="shared" si="153"/>
        <v>0</v>
      </c>
      <c r="G612" s="329">
        <f t="shared" si="153"/>
        <v>0</v>
      </c>
      <c r="H612" s="329">
        <f t="shared" si="153"/>
        <v>0</v>
      </c>
      <c r="I612" s="329">
        <f t="shared" si="153"/>
        <v>0</v>
      </c>
      <c r="J612" s="329">
        <f t="shared" si="153"/>
        <v>0</v>
      </c>
      <c r="K612" s="329">
        <f t="shared" si="153"/>
        <v>0</v>
      </c>
      <c r="L612" s="329">
        <f t="shared" si="153"/>
        <v>0</v>
      </c>
      <c r="M612" s="329">
        <f t="shared" si="153"/>
        <v>0</v>
      </c>
      <c r="N612" s="329">
        <f t="shared" si="153"/>
        <v>0</v>
      </c>
      <c r="O612" s="126"/>
      <c r="P612" s="24"/>
      <c r="Q612" s="24"/>
      <c r="R612" s="25"/>
    </row>
    <row r="613" ht="13.5" customHeight="1">
      <c r="A613" s="315"/>
      <c r="B613" s="316"/>
      <c r="C613" s="316"/>
      <c r="D613" s="316"/>
      <c r="E613" s="317" t="s">
        <v>7</v>
      </c>
      <c r="F613" s="318" t="s">
        <v>145</v>
      </c>
      <c r="G613" s="318" t="s">
        <v>9</v>
      </c>
      <c r="H613" s="318" t="s">
        <v>10</v>
      </c>
      <c r="I613" s="318" t="s">
        <v>11</v>
      </c>
      <c r="J613" s="353" t="s">
        <v>12</v>
      </c>
      <c r="K613" s="353" t="s">
        <v>195</v>
      </c>
      <c r="L613" s="353" t="s">
        <v>196</v>
      </c>
      <c r="M613" s="353" t="s">
        <v>197</v>
      </c>
      <c r="N613" s="319" t="s">
        <v>146</v>
      </c>
      <c r="O613" s="315"/>
      <c r="P613" s="315"/>
      <c r="Q613" s="315"/>
      <c r="R613" s="315"/>
    </row>
    <row r="614" ht="13.5" customHeight="1">
      <c r="A614" s="320">
        <v>3.0</v>
      </c>
      <c r="B614" s="321" t="s">
        <v>147</v>
      </c>
      <c r="C614" s="322"/>
      <c r="D614" s="224"/>
      <c r="E614" s="323">
        <f t="shared" ref="E614:N614" si="154">E21+E39+E57+E75+E93+E111+E129+E147+E165+E183+E201+E219+E237+E255+E273+E291+E309+E327+E345+E363+E381+E399+E417+E435+E453</f>
        <v>0</v>
      </c>
      <c r="F614" s="323">
        <f t="shared" si="154"/>
        <v>0</v>
      </c>
      <c r="G614" s="323">
        <f t="shared" si="154"/>
        <v>0</v>
      </c>
      <c r="H614" s="323">
        <f t="shared" si="154"/>
        <v>0</v>
      </c>
      <c r="I614" s="323">
        <f t="shared" si="154"/>
        <v>0</v>
      </c>
      <c r="J614" s="323">
        <f t="shared" si="154"/>
        <v>0</v>
      </c>
      <c r="K614" s="323">
        <f t="shared" si="154"/>
        <v>0</v>
      </c>
      <c r="L614" s="323">
        <f t="shared" si="154"/>
        <v>0</v>
      </c>
      <c r="M614" s="323">
        <f t="shared" si="154"/>
        <v>0</v>
      </c>
      <c r="N614" s="323">
        <f t="shared" si="154"/>
        <v>0</v>
      </c>
      <c r="O614" s="147"/>
      <c r="P614" s="2"/>
      <c r="Q614" s="2"/>
      <c r="R614" s="3"/>
    </row>
    <row r="615" ht="13.5" customHeight="1">
      <c r="A615" s="68"/>
      <c r="B615" s="324" t="s">
        <v>148</v>
      </c>
      <c r="C615" s="325"/>
      <c r="D615" s="108"/>
      <c r="E615" s="330">
        <f t="shared" ref="E615:N615" si="155">E23+E41+E59+E77+E95+E113+E131+E149+E167+E185+E203+E221+E239+E257+E275+E293+E311+E329+E347+E365+E383+E401+E419+E437+E455+E469+E482+E495+E508+E521+E534+E547+E573+E586</f>
        <v>0</v>
      </c>
      <c r="F615" s="330">
        <f t="shared" si="155"/>
        <v>0</v>
      </c>
      <c r="G615" s="330">
        <f t="shared" si="155"/>
        <v>0</v>
      </c>
      <c r="H615" s="330">
        <f t="shared" si="155"/>
        <v>0</v>
      </c>
      <c r="I615" s="330">
        <f t="shared" si="155"/>
        <v>0</v>
      </c>
      <c r="J615" s="330">
        <f t="shared" si="155"/>
        <v>0</v>
      </c>
      <c r="K615" s="330">
        <f t="shared" si="155"/>
        <v>0</v>
      </c>
      <c r="L615" s="330">
        <f t="shared" si="155"/>
        <v>0</v>
      </c>
      <c r="M615" s="330">
        <f t="shared" si="155"/>
        <v>0</v>
      </c>
      <c r="N615" s="330">
        <f t="shared" si="155"/>
        <v>0</v>
      </c>
      <c r="O615" s="38"/>
      <c r="R615" s="5"/>
    </row>
    <row r="616" ht="13.5" customHeight="1">
      <c r="A616" s="68"/>
      <c r="B616" s="324" t="s">
        <v>149</v>
      </c>
      <c r="C616" s="325"/>
      <c r="D616" s="108"/>
      <c r="E616" s="331">
        <f t="shared" ref="E616:N616" si="156">E24+E42+E60+E78+E96+E114+E132+E150+E168+E186+E204+E222+E240+E258+E276+E294+E312+E330+E348+E366+E384+E402+E420+E438+E456+E470+E483+E496+E509+E522+E535+E548+E561+E574+E587</f>
        <v>0</v>
      </c>
      <c r="F616" s="331">
        <f t="shared" si="156"/>
        <v>0</v>
      </c>
      <c r="G616" s="331">
        <f t="shared" si="156"/>
        <v>0</v>
      </c>
      <c r="H616" s="331">
        <f t="shared" si="156"/>
        <v>0</v>
      </c>
      <c r="I616" s="331">
        <f t="shared" si="156"/>
        <v>0</v>
      </c>
      <c r="J616" s="331">
        <f t="shared" si="156"/>
        <v>0</v>
      </c>
      <c r="K616" s="331">
        <f t="shared" si="156"/>
        <v>0</v>
      </c>
      <c r="L616" s="331">
        <f t="shared" si="156"/>
        <v>0</v>
      </c>
      <c r="M616" s="331">
        <f t="shared" si="156"/>
        <v>0</v>
      </c>
      <c r="N616" s="331">
        <f t="shared" si="156"/>
        <v>0</v>
      </c>
      <c r="O616" s="38"/>
      <c r="R616" s="5"/>
    </row>
    <row r="617" ht="13.5" customHeight="1">
      <c r="A617" s="68"/>
      <c r="B617" s="324" t="s">
        <v>150</v>
      </c>
      <c r="C617" s="325"/>
      <c r="D617" s="108"/>
      <c r="E617" s="332">
        <f t="shared" ref="E617:N617" si="157">E22+E40+E58+E76+E94+E112+E130+E148+E166+E184+E202+E220+E238+E256+E274+E292+E310+E328+E346+E364+E382+E400+E418+E436+E454+E468+E481+E494+E507+E520+E533+E546+E559+E572+E585</f>
        <v>0</v>
      </c>
      <c r="F617" s="332">
        <f t="shared" si="157"/>
        <v>0</v>
      </c>
      <c r="G617" s="332">
        <f t="shared" si="157"/>
        <v>0</v>
      </c>
      <c r="H617" s="332">
        <f t="shared" si="157"/>
        <v>0</v>
      </c>
      <c r="I617" s="332">
        <f t="shared" si="157"/>
        <v>0</v>
      </c>
      <c r="J617" s="332">
        <f t="shared" si="157"/>
        <v>0</v>
      </c>
      <c r="K617" s="332">
        <f t="shared" si="157"/>
        <v>0</v>
      </c>
      <c r="L617" s="332">
        <f t="shared" si="157"/>
        <v>0</v>
      </c>
      <c r="M617" s="332">
        <f t="shared" si="157"/>
        <v>0</v>
      </c>
      <c r="N617" s="332">
        <f t="shared" si="157"/>
        <v>0</v>
      </c>
      <c r="O617" s="38"/>
      <c r="R617" s="5"/>
    </row>
    <row r="618" ht="13.5" customHeight="1">
      <c r="A618" s="80"/>
      <c r="B618" s="324" t="s">
        <v>151</v>
      </c>
      <c r="C618" s="325"/>
      <c r="D618" s="108"/>
      <c r="E618" s="333">
        <f t="shared" ref="E618:N618" si="158">(E615+E616)</f>
        <v>0</v>
      </c>
      <c r="F618" s="333">
        <f t="shared" si="158"/>
        <v>0</v>
      </c>
      <c r="G618" s="333">
        <f t="shared" si="158"/>
        <v>0</v>
      </c>
      <c r="H618" s="333">
        <f t="shared" si="158"/>
        <v>0</v>
      </c>
      <c r="I618" s="333">
        <f t="shared" si="158"/>
        <v>0</v>
      </c>
      <c r="J618" s="333">
        <f t="shared" si="158"/>
        <v>0</v>
      </c>
      <c r="K618" s="333">
        <f t="shared" si="158"/>
        <v>0</v>
      </c>
      <c r="L618" s="333">
        <f t="shared" si="158"/>
        <v>0</v>
      </c>
      <c r="M618" s="333">
        <f t="shared" si="158"/>
        <v>0</v>
      </c>
      <c r="N618" s="333">
        <f t="shared" si="158"/>
        <v>0</v>
      </c>
      <c r="O618" s="126"/>
      <c r="P618" s="24"/>
      <c r="Q618" s="24"/>
      <c r="R618" s="25"/>
    </row>
    <row r="619" ht="13.5" customHeight="1">
      <c r="A619" s="315"/>
      <c r="B619" s="316"/>
      <c r="C619" s="316"/>
      <c r="D619" s="316"/>
      <c r="E619" s="317" t="s">
        <v>7</v>
      </c>
      <c r="F619" s="318" t="s">
        <v>145</v>
      </c>
      <c r="G619" s="318" t="s">
        <v>9</v>
      </c>
      <c r="H619" s="318" t="s">
        <v>10</v>
      </c>
      <c r="I619" s="318" t="s">
        <v>11</v>
      </c>
      <c r="J619" s="353" t="s">
        <v>12</v>
      </c>
      <c r="K619" s="353" t="s">
        <v>195</v>
      </c>
      <c r="L619" s="353" t="s">
        <v>196</v>
      </c>
      <c r="M619" s="353" t="s">
        <v>197</v>
      </c>
      <c r="N619" s="319" t="s">
        <v>146</v>
      </c>
      <c r="O619" s="315"/>
      <c r="P619" s="315"/>
      <c r="Q619" s="315"/>
      <c r="R619" s="315"/>
    </row>
    <row r="620" ht="13.5" customHeight="1">
      <c r="A620" s="320">
        <v>4.0</v>
      </c>
      <c r="B620" s="321" t="s">
        <v>147</v>
      </c>
      <c r="C620" s="322"/>
      <c r="D620" s="224"/>
      <c r="E620" s="323">
        <f t="shared" ref="E620:N620" si="159">E25+E43+E61+E79+E97+E115+E133+E151+E169+E187+E205+E223+E241+E259+E277+E295+E313+E331+E349+E367+E385+E403+E421+E439+E457</f>
        <v>0</v>
      </c>
      <c r="F620" s="323">
        <f t="shared" si="159"/>
        <v>0</v>
      </c>
      <c r="G620" s="323">
        <f t="shared" si="159"/>
        <v>0</v>
      </c>
      <c r="H620" s="323">
        <f t="shared" si="159"/>
        <v>0</v>
      </c>
      <c r="I620" s="323">
        <f t="shared" si="159"/>
        <v>0</v>
      </c>
      <c r="J620" s="323">
        <f t="shared" si="159"/>
        <v>0</v>
      </c>
      <c r="K620" s="323">
        <f t="shared" si="159"/>
        <v>0</v>
      </c>
      <c r="L620" s="323">
        <f t="shared" si="159"/>
        <v>0</v>
      </c>
      <c r="M620" s="323">
        <f t="shared" si="159"/>
        <v>0</v>
      </c>
      <c r="N620" s="323">
        <f t="shared" si="159"/>
        <v>0</v>
      </c>
      <c r="O620" s="147"/>
      <c r="P620" s="2"/>
      <c r="Q620" s="2"/>
      <c r="R620" s="3"/>
    </row>
    <row r="621" ht="13.5" customHeight="1">
      <c r="A621" s="68"/>
      <c r="B621" s="324" t="s">
        <v>148</v>
      </c>
      <c r="C621" s="325"/>
      <c r="D621" s="108"/>
      <c r="E621" s="326">
        <f t="shared" ref="E621:N621" si="160">E27+E45+E63+E81+E99+E117+E135+E153+E171+E189+E207+E225+E243+E261+E279+E297+E315+E333+E351+E369+E387+E405+E423+E441+E459+E472+E485+E498+E511+E524+E537+E550+E563+E576+E589</f>
        <v>0</v>
      </c>
      <c r="F621" s="326">
        <f t="shared" si="160"/>
        <v>0</v>
      </c>
      <c r="G621" s="326">
        <f t="shared" si="160"/>
        <v>0</v>
      </c>
      <c r="H621" s="326">
        <f t="shared" si="160"/>
        <v>0</v>
      </c>
      <c r="I621" s="326">
        <f t="shared" si="160"/>
        <v>0</v>
      </c>
      <c r="J621" s="326">
        <f t="shared" si="160"/>
        <v>0</v>
      </c>
      <c r="K621" s="326">
        <f t="shared" si="160"/>
        <v>0</v>
      </c>
      <c r="L621" s="326">
        <f t="shared" si="160"/>
        <v>0</v>
      </c>
      <c r="M621" s="326">
        <f t="shared" si="160"/>
        <v>0</v>
      </c>
      <c r="N621" s="326">
        <f t="shared" si="160"/>
        <v>0</v>
      </c>
      <c r="O621" s="38"/>
      <c r="R621" s="5"/>
    </row>
    <row r="622" ht="13.5" customHeight="1">
      <c r="A622" s="68"/>
      <c r="B622" s="324" t="s">
        <v>149</v>
      </c>
      <c r="C622" s="325"/>
      <c r="D622" s="108"/>
      <c r="E622" s="327">
        <f t="shared" ref="E622:N622" si="161">E28+E46+E64+E82+E100+E118+E136+E154+E172+E190+E208+E226+E244+E262+E280+E298+E316+E334+E352+E370+E388+E406+E424+E442+E460+E473+E486+E499+E512+E525+E538+E551+E564+E577+E590</f>
        <v>0</v>
      </c>
      <c r="F622" s="327">
        <f t="shared" si="161"/>
        <v>0</v>
      </c>
      <c r="G622" s="327">
        <f t="shared" si="161"/>
        <v>0</v>
      </c>
      <c r="H622" s="327">
        <f t="shared" si="161"/>
        <v>0</v>
      </c>
      <c r="I622" s="327">
        <f t="shared" si="161"/>
        <v>0</v>
      </c>
      <c r="J622" s="327">
        <f t="shared" si="161"/>
        <v>0</v>
      </c>
      <c r="K622" s="327">
        <f t="shared" si="161"/>
        <v>0</v>
      </c>
      <c r="L622" s="327">
        <f t="shared" si="161"/>
        <v>0</v>
      </c>
      <c r="M622" s="327">
        <f t="shared" si="161"/>
        <v>0</v>
      </c>
      <c r="N622" s="327">
        <f t="shared" si="161"/>
        <v>0</v>
      </c>
      <c r="O622" s="38"/>
      <c r="R622" s="5"/>
    </row>
    <row r="623" ht="13.5" customHeight="1">
      <c r="A623" s="68"/>
      <c r="B623" s="324" t="s">
        <v>150</v>
      </c>
      <c r="C623" s="325"/>
      <c r="D623" s="108"/>
      <c r="E623" s="328">
        <f t="shared" ref="E623:N623" si="162">E26+E44+E62+E80+E98+E116+E134+E152+E170+E188+E206+E224+E242+E260+E278+E296+E314+E332+E350+E368+E386+E404+E422+E440+E458+E471+E484+E497+E510+E523+E536+E549+E562+E575+E588</f>
        <v>0</v>
      </c>
      <c r="F623" s="328">
        <f t="shared" si="162"/>
        <v>0</v>
      </c>
      <c r="G623" s="328">
        <f t="shared" si="162"/>
        <v>0</v>
      </c>
      <c r="H623" s="328">
        <f t="shared" si="162"/>
        <v>0</v>
      </c>
      <c r="I623" s="328">
        <f t="shared" si="162"/>
        <v>0</v>
      </c>
      <c r="J623" s="328">
        <f t="shared" si="162"/>
        <v>0</v>
      </c>
      <c r="K623" s="328">
        <f t="shared" si="162"/>
        <v>0</v>
      </c>
      <c r="L623" s="328">
        <f t="shared" si="162"/>
        <v>0</v>
      </c>
      <c r="M623" s="328">
        <f t="shared" si="162"/>
        <v>0</v>
      </c>
      <c r="N623" s="328">
        <f t="shared" si="162"/>
        <v>0</v>
      </c>
      <c r="O623" s="38"/>
      <c r="R623" s="5"/>
    </row>
    <row r="624" ht="13.5" customHeight="1">
      <c r="A624" s="80"/>
      <c r="B624" s="324" t="s">
        <v>151</v>
      </c>
      <c r="C624" s="325"/>
      <c r="D624" s="108"/>
      <c r="E624" s="329">
        <f t="shared" ref="E624:N624" si="163">(E621+E622)</f>
        <v>0</v>
      </c>
      <c r="F624" s="329">
        <f t="shared" si="163"/>
        <v>0</v>
      </c>
      <c r="G624" s="329">
        <f t="shared" si="163"/>
        <v>0</v>
      </c>
      <c r="H624" s="329">
        <f t="shared" si="163"/>
        <v>0</v>
      </c>
      <c r="I624" s="329">
        <f t="shared" si="163"/>
        <v>0</v>
      </c>
      <c r="J624" s="329">
        <f t="shared" si="163"/>
        <v>0</v>
      </c>
      <c r="K624" s="329">
        <f t="shared" si="163"/>
        <v>0</v>
      </c>
      <c r="L624" s="329">
        <f t="shared" si="163"/>
        <v>0</v>
      </c>
      <c r="M624" s="329">
        <f t="shared" si="163"/>
        <v>0</v>
      </c>
      <c r="N624" s="329">
        <f t="shared" si="163"/>
        <v>0</v>
      </c>
      <c r="O624" s="126"/>
      <c r="P624" s="24"/>
      <c r="Q624" s="24"/>
      <c r="R624" s="25"/>
    </row>
    <row r="625" ht="13.5" customHeight="1">
      <c r="A625" s="105" t="s">
        <v>152</v>
      </c>
      <c r="B625" s="96"/>
      <c r="C625" s="96"/>
      <c r="D625" s="96"/>
      <c r="E625" s="96"/>
      <c r="F625" s="96"/>
      <c r="G625" s="96"/>
      <c r="H625" s="96"/>
      <c r="I625" s="96"/>
      <c r="J625" s="96"/>
      <c r="K625" s="96"/>
      <c r="L625" s="96"/>
      <c r="M625" s="96"/>
      <c r="N625" s="96"/>
      <c r="O625" s="96"/>
      <c r="P625" s="96"/>
      <c r="Q625" s="96"/>
      <c r="R625" s="10"/>
    </row>
    <row r="626" ht="13.5" customHeight="1">
      <c r="A626" s="315"/>
      <c r="B626" s="316"/>
      <c r="C626" s="316"/>
      <c r="D626" s="316"/>
      <c r="E626" s="317" t="s">
        <v>7</v>
      </c>
      <c r="F626" s="318" t="s">
        <v>145</v>
      </c>
      <c r="G626" s="318" t="s">
        <v>9</v>
      </c>
      <c r="H626" s="318" t="s">
        <v>10</v>
      </c>
      <c r="I626" s="318" t="s">
        <v>11</v>
      </c>
      <c r="J626" s="353" t="s">
        <v>12</v>
      </c>
      <c r="K626" s="353" t="s">
        <v>195</v>
      </c>
      <c r="L626" s="353" t="s">
        <v>196</v>
      </c>
      <c r="M626" s="353" t="s">
        <v>197</v>
      </c>
      <c r="N626" s="319" t="s">
        <v>146</v>
      </c>
      <c r="O626" s="334"/>
      <c r="P626" s="334"/>
      <c r="Q626" s="334"/>
      <c r="R626" s="334"/>
    </row>
    <row r="627" ht="13.5" customHeight="1">
      <c r="A627" s="335" t="s">
        <v>2</v>
      </c>
      <c r="B627" s="321" t="s">
        <v>147</v>
      </c>
      <c r="C627" s="322"/>
      <c r="D627" s="224"/>
      <c r="E627" s="323">
        <f t="shared" ref="E627:N627" si="164">E602+E608+E614+E620</f>
        <v>0</v>
      </c>
      <c r="F627" s="323">
        <f t="shared" si="164"/>
        <v>0</v>
      </c>
      <c r="G627" s="323">
        <f t="shared" si="164"/>
        <v>0</v>
      </c>
      <c r="H627" s="323">
        <f t="shared" si="164"/>
        <v>0</v>
      </c>
      <c r="I627" s="323">
        <f t="shared" si="164"/>
        <v>0</v>
      </c>
      <c r="J627" s="336">
        <f t="shared" si="164"/>
        <v>0</v>
      </c>
      <c r="K627" s="336">
        <f t="shared" si="164"/>
        <v>0</v>
      </c>
      <c r="L627" s="336">
        <f t="shared" si="164"/>
        <v>0</v>
      </c>
      <c r="M627" s="336">
        <f t="shared" si="164"/>
        <v>0</v>
      </c>
      <c r="N627" s="336">
        <f t="shared" si="164"/>
        <v>0</v>
      </c>
      <c r="O627" s="147"/>
      <c r="P627" s="2"/>
      <c r="Q627" s="2"/>
      <c r="R627" s="3"/>
    </row>
    <row r="628" ht="13.5" customHeight="1">
      <c r="A628" s="68"/>
      <c r="B628" s="324" t="s">
        <v>148</v>
      </c>
      <c r="C628" s="325"/>
      <c r="D628" s="108"/>
      <c r="E628" s="326">
        <f t="shared" ref="E628:N628" si="165">E603+E609+E615+E621</f>
        <v>0</v>
      </c>
      <c r="F628" s="326">
        <f t="shared" si="165"/>
        <v>0</v>
      </c>
      <c r="G628" s="326">
        <f t="shared" si="165"/>
        <v>0</v>
      </c>
      <c r="H628" s="326">
        <f t="shared" si="165"/>
        <v>0</v>
      </c>
      <c r="I628" s="326">
        <f t="shared" si="165"/>
        <v>0</v>
      </c>
      <c r="J628" s="337">
        <f t="shared" si="165"/>
        <v>0</v>
      </c>
      <c r="K628" s="337">
        <f t="shared" si="165"/>
        <v>0</v>
      </c>
      <c r="L628" s="337">
        <f t="shared" si="165"/>
        <v>0</v>
      </c>
      <c r="M628" s="337">
        <f t="shared" si="165"/>
        <v>0</v>
      </c>
      <c r="N628" s="337">
        <f t="shared" si="165"/>
        <v>0</v>
      </c>
      <c r="O628" s="38"/>
      <c r="R628" s="5"/>
    </row>
    <row r="629" ht="13.5" customHeight="1">
      <c r="A629" s="68"/>
      <c r="B629" s="324" t="s">
        <v>149</v>
      </c>
      <c r="C629" s="325"/>
      <c r="D629" s="108"/>
      <c r="E629" s="327">
        <f t="shared" ref="E629:N629" si="166">E604+E610+E616+E622</f>
        <v>0</v>
      </c>
      <c r="F629" s="327">
        <f t="shared" si="166"/>
        <v>0</v>
      </c>
      <c r="G629" s="327">
        <f t="shared" si="166"/>
        <v>0</v>
      </c>
      <c r="H629" s="327">
        <f t="shared" si="166"/>
        <v>0</v>
      </c>
      <c r="I629" s="327">
        <f t="shared" si="166"/>
        <v>0</v>
      </c>
      <c r="J629" s="338">
        <f t="shared" si="166"/>
        <v>0</v>
      </c>
      <c r="K629" s="338">
        <f t="shared" si="166"/>
        <v>0</v>
      </c>
      <c r="L629" s="338">
        <f t="shared" si="166"/>
        <v>0</v>
      </c>
      <c r="M629" s="338">
        <f t="shared" si="166"/>
        <v>0</v>
      </c>
      <c r="N629" s="338">
        <f t="shared" si="166"/>
        <v>0</v>
      </c>
      <c r="O629" s="38"/>
      <c r="R629" s="5"/>
    </row>
    <row r="630" ht="13.5" customHeight="1">
      <c r="A630" s="68"/>
      <c r="B630" s="324" t="s">
        <v>153</v>
      </c>
      <c r="C630" s="325"/>
      <c r="D630" s="108"/>
      <c r="E630" s="328">
        <f t="shared" ref="E630:N630" si="167">E605+E611+E617+E623</f>
        <v>0</v>
      </c>
      <c r="F630" s="328">
        <f t="shared" si="167"/>
        <v>0</v>
      </c>
      <c r="G630" s="328">
        <f t="shared" si="167"/>
        <v>0</v>
      </c>
      <c r="H630" s="328">
        <f t="shared" si="167"/>
        <v>0</v>
      </c>
      <c r="I630" s="328">
        <f t="shared" si="167"/>
        <v>0</v>
      </c>
      <c r="J630" s="339">
        <f t="shared" si="167"/>
        <v>0</v>
      </c>
      <c r="K630" s="339">
        <f t="shared" si="167"/>
        <v>0</v>
      </c>
      <c r="L630" s="339">
        <f t="shared" si="167"/>
        <v>0</v>
      </c>
      <c r="M630" s="339">
        <f t="shared" si="167"/>
        <v>0</v>
      </c>
      <c r="N630" s="339">
        <f t="shared" si="167"/>
        <v>0</v>
      </c>
      <c r="O630" s="38"/>
      <c r="R630" s="5"/>
    </row>
    <row r="631" ht="13.5" customHeight="1">
      <c r="A631" s="80"/>
      <c r="B631" s="340" t="s">
        <v>151</v>
      </c>
      <c r="C631" s="24"/>
      <c r="D631" s="33"/>
      <c r="E631" s="329">
        <f t="shared" ref="E631:N631" si="168">(E628+E629)-E630</f>
        <v>0</v>
      </c>
      <c r="F631" s="329">
        <f t="shared" si="168"/>
        <v>0</v>
      </c>
      <c r="G631" s="329">
        <f t="shared" si="168"/>
        <v>0</v>
      </c>
      <c r="H631" s="329">
        <f t="shared" si="168"/>
        <v>0</v>
      </c>
      <c r="I631" s="329">
        <f t="shared" si="168"/>
        <v>0</v>
      </c>
      <c r="J631" s="341">
        <f t="shared" si="168"/>
        <v>0</v>
      </c>
      <c r="K631" s="341">
        <f t="shared" si="168"/>
        <v>0</v>
      </c>
      <c r="L631" s="341">
        <f t="shared" si="168"/>
        <v>0</v>
      </c>
      <c r="M631" s="341">
        <f t="shared" si="168"/>
        <v>0</v>
      </c>
      <c r="N631" s="341">
        <f t="shared" si="168"/>
        <v>0</v>
      </c>
      <c r="O631" s="126"/>
      <c r="P631" s="24"/>
      <c r="Q631" s="24"/>
      <c r="R631" s="25"/>
    </row>
  </sheetData>
  <mergeCells count="1160">
    <mergeCell ref="B327:B328"/>
    <mergeCell ref="B331:B332"/>
    <mergeCell ref="C331:D331"/>
    <mergeCell ref="A332:A334"/>
    <mergeCell ref="C332:D332"/>
    <mergeCell ref="C333:D333"/>
    <mergeCell ref="C334:D334"/>
    <mergeCell ref="B335:D335"/>
    <mergeCell ref="C336:D336"/>
    <mergeCell ref="C337:D337"/>
    <mergeCell ref="C338:D338"/>
    <mergeCell ref="A339:A340"/>
    <mergeCell ref="C339:D339"/>
    <mergeCell ref="C340:D340"/>
    <mergeCell ref="C398:D398"/>
    <mergeCell ref="C399:D399"/>
    <mergeCell ref="B391:B392"/>
    <mergeCell ref="B395:B396"/>
    <mergeCell ref="C395:D395"/>
    <mergeCell ref="C396:D396"/>
    <mergeCell ref="C397:D397"/>
    <mergeCell ref="B399:B400"/>
    <mergeCell ref="C400:D400"/>
    <mergeCell ref="C404:D404"/>
    <mergeCell ref="C405:D405"/>
    <mergeCell ref="A396:A397"/>
    <mergeCell ref="A401:A402"/>
    <mergeCell ref="C401:D401"/>
    <mergeCell ref="C402:D402"/>
    <mergeCell ref="B403:B404"/>
    <mergeCell ref="C403:D403"/>
    <mergeCell ref="A404:A406"/>
    <mergeCell ref="C411:D411"/>
    <mergeCell ref="C412:D412"/>
    <mergeCell ref="C406:D406"/>
    <mergeCell ref="B407:D407"/>
    <mergeCell ref="C408:D408"/>
    <mergeCell ref="B409:B410"/>
    <mergeCell ref="C409:D409"/>
    <mergeCell ref="C410:D410"/>
    <mergeCell ref="A411:A412"/>
    <mergeCell ref="C417:D417"/>
    <mergeCell ref="C418:D418"/>
    <mergeCell ref="B413:B414"/>
    <mergeCell ref="C413:D413"/>
    <mergeCell ref="A414:A415"/>
    <mergeCell ref="C414:D414"/>
    <mergeCell ref="C415:D415"/>
    <mergeCell ref="C416:D416"/>
    <mergeCell ref="B417:B418"/>
    <mergeCell ref="C423:D423"/>
    <mergeCell ref="C424:D424"/>
    <mergeCell ref="A419:A420"/>
    <mergeCell ref="C419:D419"/>
    <mergeCell ref="C420:D420"/>
    <mergeCell ref="B421:B422"/>
    <mergeCell ref="C421:D421"/>
    <mergeCell ref="A422:A424"/>
    <mergeCell ref="C422:D422"/>
    <mergeCell ref="B427:B428"/>
    <mergeCell ref="B431:B432"/>
    <mergeCell ref="B425:D425"/>
    <mergeCell ref="C426:D426"/>
    <mergeCell ref="C427:D427"/>
    <mergeCell ref="C428:D428"/>
    <mergeCell ref="C429:D429"/>
    <mergeCell ref="C430:D430"/>
    <mergeCell ref="C431:D431"/>
    <mergeCell ref="B381:B382"/>
    <mergeCell ref="B385:B386"/>
    <mergeCell ref="C385:D385"/>
    <mergeCell ref="A386:A388"/>
    <mergeCell ref="C386:D386"/>
    <mergeCell ref="C387:D387"/>
    <mergeCell ref="C388:D388"/>
    <mergeCell ref="B389:D389"/>
    <mergeCell ref="C390:D390"/>
    <mergeCell ref="C391:D391"/>
    <mergeCell ref="C392:D392"/>
    <mergeCell ref="A393:A394"/>
    <mergeCell ref="C393:D393"/>
    <mergeCell ref="C394:D394"/>
    <mergeCell ref="A432:A433"/>
    <mergeCell ref="A437:A438"/>
    <mergeCell ref="A429:A430"/>
    <mergeCell ref="C432:D432"/>
    <mergeCell ref="C433:D433"/>
    <mergeCell ref="C434:D434"/>
    <mergeCell ref="B435:B436"/>
    <mergeCell ref="C435:D435"/>
    <mergeCell ref="C436:D436"/>
    <mergeCell ref="C195:D195"/>
    <mergeCell ref="C196:D196"/>
    <mergeCell ref="C190:D190"/>
    <mergeCell ref="B191:D191"/>
    <mergeCell ref="C192:D192"/>
    <mergeCell ref="B193:B194"/>
    <mergeCell ref="C193:D193"/>
    <mergeCell ref="C194:D194"/>
    <mergeCell ref="A195:A196"/>
    <mergeCell ref="C201:D201"/>
    <mergeCell ref="C202:D202"/>
    <mergeCell ref="B197:B198"/>
    <mergeCell ref="C197:D197"/>
    <mergeCell ref="A198:A199"/>
    <mergeCell ref="C198:D198"/>
    <mergeCell ref="C199:D199"/>
    <mergeCell ref="C200:D200"/>
    <mergeCell ref="B201:B202"/>
    <mergeCell ref="C207:D207"/>
    <mergeCell ref="C208:D208"/>
    <mergeCell ref="A203:A204"/>
    <mergeCell ref="C203:D203"/>
    <mergeCell ref="C204:D204"/>
    <mergeCell ref="B205:B206"/>
    <mergeCell ref="C205:D205"/>
    <mergeCell ref="A206:A208"/>
    <mergeCell ref="C206:D206"/>
    <mergeCell ref="C437:D437"/>
    <mergeCell ref="C438:D438"/>
    <mergeCell ref="B439:B440"/>
    <mergeCell ref="C439:D439"/>
    <mergeCell ref="A440:A442"/>
    <mergeCell ref="C440:D440"/>
    <mergeCell ref="C441:D441"/>
    <mergeCell ref="C459:D459"/>
    <mergeCell ref="C460:D460"/>
    <mergeCell ref="A455:A456"/>
    <mergeCell ref="C455:D455"/>
    <mergeCell ref="C456:D456"/>
    <mergeCell ref="C457:D457"/>
    <mergeCell ref="C458:D458"/>
    <mergeCell ref="B461:D461"/>
    <mergeCell ref="C462:D462"/>
    <mergeCell ref="C477:D477"/>
    <mergeCell ref="C478:D478"/>
    <mergeCell ref="C470:D470"/>
    <mergeCell ref="C471:D471"/>
    <mergeCell ref="C472:D472"/>
    <mergeCell ref="C473:D473"/>
    <mergeCell ref="B474:D474"/>
    <mergeCell ref="C475:D475"/>
    <mergeCell ref="C476:D476"/>
    <mergeCell ref="B481:B482"/>
    <mergeCell ref="B484:B485"/>
    <mergeCell ref="B488:B489"/>
    <mergeCell ref="B491:B492"/>
    <mergeCell ref="B494:B495"/>
    <mergeCell ref="B457:B458"/>
    <mergeCell ref="B462:B463"/>
    <mergeCell ref="B465:B466"/>
    <mergeCell ref="B468:B469"/>
    <mergeCell ref="B471:B472"/>
    <mergeCell ref="B475:B476"/>
    <mergeCell ref="B478:B479"/>
    <mergeCell ref="C486:D486"/>
    <mergeCell ref="B487:D487"/>
    <mergeCell ref="C488:D488"/>
    <mergeCell ref="C479:D479"/>
    <mergeCell ref="C480:D480"/>
    <mergeCell ref="C481:D481"/>
    <mergeCell ref="C482:D482"/>
    <mergeCell ref="C483:D483"/>
    <mergeCell ref="C484:D484"/>
    <mergeCell ref="C485:D485"/>
    <mergeCell ref="A557:A558"/>
    <mergeCell ref="A560:A561"/>
    <mergeCell ref="A550:A551"/>
    <mergeCell ref="B553:B554"/>
    <mergeCell ref="A554:A555"/>
    <mergeCell ref="B556:B557"/>
    <mergeCell ref="C558:D558"/>
    <mergeCell ref="B559:B560"/>
    <mergeCell ref="C559:D559"/>
    <mergeCell ref="C570:D570"/>
    <mergeCell ref="C571:D571"/>
    <mergeCell ref="A563:A564"/>
    <mergeCell ref="A567:A568"/>
    <mergeCell ref="C567:D567"/>
    <mergeCell ref="C568:D568"/>
    <mergeCell ref="B569:B570"/>
    <mergeCell ref="C569:D569"/>
    <mergeCell ref="A570:A571"/>
    <mergeCell ref="C575:D575"/>
    <mergeCell ref="C576:D576"/>
    <mergeCell ref="B572:B573"/>
    <mergeCell ref="C572:D572"/>
    <mergeCell ref="A573:A574"/>
    <mergeCell ref="C573:D573"/>
    <mergeCell ref="C574:D574"/>
    <mergeCell ref="B575:B576"/>
    <mergeCell ref="A576:A577"/>
    <mergeCell ref="C528:D528"/>
    <mergeCell ref="C529:D529"/>
    <mergeCell ref="A521:A522"/>
    <mergeCell ref="A524:A525"/>
    <mergeCell ref="C524:D524"/>
    <mergeCell ref="C525:D525"/>
    <mergeCell ref="B526:D526"/>
    <mergeCell ref="C527:D527"/>
    <mergeCell ref="A528:A529"/>
    <mergeCell ref="C533:D533"/>
    <mergeCell ref="C534:D534"/>
    <mergeCell ref="B530:B531"/>
    <mergeCell ref="C530:D530"/>
    <mergeCell ref="A531:A532"/>
    <mergeCell ref="C531:D531"/>
    <mergeCell ref="C532:D532"/>
    <mergeCell ref="A534:A535"/>
    <mergeCell ref="C535:D535"/>
    <mergeCell ref="C536:D536"/>
    <mergeCell ref="C537:D537"/>
    <mergeCell ref="C538:D538"/>
    <mergeCell ref="B539:D539"/>
    <mergeCell ref="B540:B541"/>
    <mergeCell ref="C540:D540"/>
    <mergeCell ref="C541:D541"/>
    <mergeCell ref="B533:B534"/>
    <mergeCell ref="B536:B537"/>
    <mergeCell ref="A537:A538"/>
    <mergeCell ref="A541:A542"/>
    <mergeCell ref="B543:B544"/>
    <mergeCell ref="A544:A545"/>
    <mergeCell ref="A547:A548"/>
    <mergeCell ref="C581:D581"/>
    <mergeCell ref="C582:D582"/>
    <mergeCell ref="B618:D618"/>
    <mergeCell ref="B620:D620"/>
    <mergeCell ref="B610:D610"/>
    <mergeCell ref="B611:D611"/>
    <mergeCell ref="B612:D612"/>
    <mergeCell ref="B614:D614"/>
    <mergeCell ref="B615:D615"/>
    <mergeCell ref="B616:D616"/>
    <mergeCell ref="B617:D617"/>
    <mergeCell ref="B630:D630"/>
    <mergeCell ref="B631:D631"/>
    <mergeCell ref="B621:D621"/>
    <mergeCell ref="B622:D622"/>
    <mergeCell ref="B623:D623"/>
    <mergeCell ref="B624:D624"/>
    <mergeCell ref="B627:D627"/>
    <mergeCell ref="B628:D628"/>
    <mergeCell ref="B629:D629"/>
    <mergeCell ref="B582:B583"/>
    <mergeCell ref="C583:D583"/>
    <mergeCell ref="C577:D577"/>
    <mergeCell ref="B578:D578"/>
    <mergeCell ref="B579:B580"/>
    <mergeCell ref="C579:D579"/>
    <mergeCell ref="A580:A581"/>
    <mergeCell ref="C580:D580"/>
    <mergeCell ref="C584:D584"/>
    <mergeCell ref="C585:D585"/>
    <mergeCell ref="C586:D586"/>
    <mergeCell ref="C587:D587"/>
    <mergeCell ref="C588:D588"/>
    <mergeCell ref="C589:D589"/>
    <mergeCell ref="C590:D590"/>
    <mergeCell ref="C592:D592"/>
    <mergeCell ref="A596:B597"/>
    <mergeCell ref="A598:B599"/>
    <mergeCell ref="A602:A606"/>
    <mergeCell ref="A608:A612"/>
    <mergeCell ref="A614:A618"/>
    <mergeCell ref="A620:A624"/>
    <mergeCell ref="A627:A631"/>
    <mergeCell ref="A583:A584"/>
    <mergeCell ref="B585:B586"/>
    <mergeCell ref="A586:A587"/>
    <mergeCell ref="B588:B589"/>
    <mergeCell ref="A589:A590"/>
    <mergeCell ref="A592:B593"/>
    <mergeCell ref="A594:B595"/>
    <mergeCell ref="C593:D593"/>
    <mergeCell ref="C594:D594"/>
    <mergeCell ref="C595:D595"/>
    <mergeCell ref="C596:D596"/>
    <mergeCell ref="C597:D597"/>
    <mergeCell ref="C598:D598"/>
    <mergeCell ref="C599:D599"/>
    <mergeCell ref="B602:D602"/>
    <mergeCell ref="B603:D603"/>
    <mergeCell ref="B604:D604"/>
    <mergeCell ref="B605:D605"/>
    <mergeCell ref="B606:D606"/>
    <mergeCell ref="B608:D608"/>
    <mergeCell ref="B609:D609"/>
    <mergeCell ref="C492:D492"/>
    <mergeCell ref="C493:D493"/>
    <mergeCell ref="C494:D494"/>
    <mergeCell ref="A482:A483"/>
    <mergeCell ref="A485:A486"/>
    <mergeCell ref="A489:A490"/>
    <mergeCell ref="C489:D489"/>
    <mergeCell ref="C490:D490"/>
    <mergeCell ref="C491:D491"/>
    <mergeCell ref="A492:A493"/>
    <mergeCell ref="C447:D447"/>
    <mergeCell ref="C448:D448"/>
    <mergeCell ref="C442:D442"/>
    <mergeCell ref="B443:D443"/>
    <mergeCell ref="C444:D444"/>
    <mergeCell ref="B445:B446"/>
    <mergeCell ref="C445:D445"/>
    <mergeCell ref="C446:D446"/>
    <mergeCell ref="A447:A448"/>
    <mergeCell ref="C453:D453"/>
    <mergeCell ref="C454:D454"/>
    <mergeCell ref="B449:B450"/>
    <mergeCell ref="C449:D449"/>
    <mergeCell ref="A450:A451"/>
    <mergeCell ref="C450:D450"/>
    <mergeCell ref="C451:D451"/>
    <mergeCell ref="C452:D452"/>
    <mergeCell ref="B453:B454"/>
    <mergeCell ref="C463:D463"/>
    <mergeCell ref="C464:D464"/>
    <mergeCell ref="C465:D465"/>
    <mergeCell ref="C466:D466"/>
    <mergeCell ref="C467:D467"/>
    <mergeCell ref="C468:D468"/>
    <mergeCell ref="C469:D469"/>
    <mergeCell ref="A458:A460"/>
    <mergeCell ref="A463:A464"/>
    <mergeCell ref="A466:A467"/>
    <mergeCell ref="A469:A470"/>
    <mergeCell ref="A472:A473"/>
    <mergeCell ref="A476:A477"/>
    <mergeCell ref="A479:A480"/>
    <mergeCell ref="A495:A496"/>
    <mergeCell ref="C495:D495"/>
    <mergeCell ref="C496:D496"/>
    <mergeCell ref="B497:B498"/>
    <mergeCell ref="C497:D497"/>
    <mergeCell ref="A498:A499"/>
    <mergeCell ref="C498:D498"/>
    <mergeCell ref="C522:D522"/>
    <mergeCell ref="C523:D523"/>
    <mergeCell ref="C515:D515"/>
    <mergeCell ref="C516:D516"/>
    <mergeCell ref="C517:D517"/>
    <mergeCell ref="C518:D518"/>
    <mergeCell ref="C519:D519"/>
    <mergeCell ref="C520:D520"/>
    <mergeCell ref="C521:D521"/>
    <mergeCell ref="C503:D503"/>
    <mergeCell ref="C504:D504"/>
    <mergeCell ref="B504:B505"/>
    <mergeCell ref="C505:D505"/>
    <mergeCell ref="C499:D499"/>
    <mergeCell ref="B500:D500"/>
    <mergeCell ref="B501:B502"/>
    <mergeCell ref="C501:D501"/>
    <mergeCell ref="A502:A503"/>
    <mergeCell ref="C502:D502"/>
    <mergeCell ref="C506:D506"/>
    <mergeCell ref="B513:D513"/>
    <mergeCell ref="C514:D514"/>
    <mergeCell ref="C507:D507"/>
    <mergeCell ref="C508:D508"/>
    <mergeCell ref="C509:D509"/>
    <mergeCell ref="C510:D510"/>
    <mergeCell ref="C511:D511"/>
    <mergeCell ref="C512:D512"/>
    <mergeCell ref="B514:B515"/>
    <mergeCell ref="B517:B518"/>
    <mergeCell ref="B520:B521"/>
    <mergeCell ref="B523:B524"/>
    <mergeCell ref="B527:B528"/>
    <mergeCell ref="A505:A506"/>
    <mergeCell ref="B507:B508"/>
    <mergeCell ref="A508:A509"/>
    <mergeCell ref="B510:B511"/>
    <mergeCell ref="A511:A512"/>
    <mergeCell ref="A515:A516"/>
    <mergeCell ref="A518:A519"/>
    <mergeCell ref="C549:D549"/>
    <mergeCell ref="C550:D550"/>
    <mergeCell ref="C542:D542"/>
    <mergeCell ref="C543:D543"/>
    <mergeCell ref="C544:D544"/>
    <mergeCell ref="C545:D545"/>
    <mergeCell ref="C546:D546"/>
    <mergeCell ref="C547:D547"/>
    <mergeCell ref="C548:D548"/>
    <mergeCell ref="C556:D556"/>
    <mergeCell ref="C557:D557"/>
    <mergeCell ref="B546:B547"/>
    <mergeCell ref="B549:B550"/>
    <mergeCell ref="C551:D551"/>
    <mergeCell ref="B552:D552"/>
    <mergeCell ref="C553:D553"/>
    <mergeCell ref="C554:D554"/>
    <mergeCell ref="C555:D555"/>
    <mergeCell ref="B562:B563"/>
    <mergeCell ref="B566:B567"/>
    <mergeCell ref="C560:D560"/>
    <mergeCell ref="C561:D561"/>
    <mergeCell ref="C562:D562"/>
    <mergeCell ref="C563:D563"/>
    <mergeCell ref="C564:D564"/>
    <mergeCell ref="B565:D565"/>
    <mergeCell ref="C566:D566"/>
    <mergeCell ref="A5:D5"/>
    <mergeCell ref="A6:D6"/>
    <mergeCell ref="A7:B7"/>
    <mergeCell ref="C7:D7"/>
    <mergeCell ref="D3:E3"/>
    <mergeCell ref="A8:B8"/>
    <mergeCell ref="C8:D8"/>
    <mergeCell ref="A9:B9"/>
    <mergeCell ref="C9:D9"/>
    <mergeCell ref="A1:R1"/>
    <mergeCell ref="A2:R2"/>
    <mergeCell ref="F3:N3"/>
    <mergeCell ref="P3:R3"/>
    <mergeCell ref="A4:R4"/>
    <mergeCell ref="O5:R6"/>
    <mergeCell ref="O7:R10"/>
    <mergeCell ref="B13:B14"/>
    <mergeCell ref="B17:B18"/>
    <mergeCell ref="C18:D18"/>
    <mergeCell ref="C19:D19"/>
    <mergeCell ref="A15:A16"/>
    <mergeCell ref="A18:A19"/>
    <mergeCell ref="O39:P39"/>
    <mergeCell ref="O43:P43"/>
    <mergeCell ref="A10:B10"/>
    <mergeCell ref="C10:D10"/>
    <mergeCell ref="B11:D11"/>
    <mergeCell ref="C12:D12"/>
    <mergeCell ref="C13:D13"/>
    <mergeCell ref="C16:D16"/>
    <mergeCell ref="C17:D17"/>
    <mergeCell ref="C23:D23"/>
    <mergeCell ref="C24:D24"/>
    <mergeCell ref="C14:D14"/>
    <mergeCell ref="C15:D15"/>
    <mergeCell ref="C20:D20"/>
    <mergeCell ref="B21:B22"/>
    <mergeCell ref="C21:D21"/>
    <mergeCell ref="C22:D22"/>
    <mergeCell ref="A23:A24"/>
    <mergeCell ref="B25:B26"/>
    <mergeCell ref="B31:B32"/>
    <mergeCell ref="B35:B36"/>
    <mergeCell ref="B39:B40"/>
    <mergeCell ref="B43:B44"/>
    <mergeCell ref="C25:D25"/>
    <mergeCell ref="A26:A28"/>
    <mergeCell ref="C26:D26"/>
    <mergeCell ref="C27:D27"/>
    <mergeCell ref="C28:D28"/>
    <mergeCell ref="B29:D29"/>
    <mergeCell ref="C30:D30"/>
    <mergeCell ref="C31:D31"/>
    <mergeCell ref="C32:D32"/>
    <mergeCell ref="A33:A34"/>
    <mergeCell ref="C33:D33"/>
    <mergeCell ref="C34:D34"/>
    <mergeCell ref="C35:D35"/>
    <mergeCell ref="A36:A37"/>
    <mergeCell ref="C42:D42"/>
    <mergeCell ref="C43:D43"/>
    <mergeCell ref="C41:D41"/>
    <mergeCell ref="C44:D44"/>
    <mergeCell ref="C45:D45"/>
    <mergeCell ref="C46:D46"/>
    <mergeCell ref="C36:D36"/>
    <mergeCell ref="C37:D37"/>
    <mergeCell ref="C38:D38"/>
    <mergeCell ref="C39:D39"/>
    <mergeCell ref="C40:D40"/>
    <mergeCell ref="A41:A42"/>
    <mergeCell ref="A44:A46"/>
    <mergeCell ref="B49:B50"/>
    <mergeCell ref="B53:B54"/>
    <mergeCell ref="B57:B58"/>
    <mergeCell ref="B61:B62"/>
    <mergeCell ref="A51:A52"/>
    <mergeCell ref="A54:A55"/>
    <mergeCell ref="A59:A60"/>
    <mergeCell ref="A62:A64"/>
    <mergeCell ref="B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89:D89"/>
    <mergeCell ref="C90:D90"/>
    <mergeCell ref="C85:D85"/>
    <mergeCell ref="C86:D86"/>
    <mergeCell ref="A87:A88"/>
    <mergeCell ref="C87:D87"/>
    <mergeCell ref="C88:D88"/>
    <mergeCell ref="B89:B90"/>
    <mergeCell ref="A90:A91"/>
    <mergeCell ref="C61:D61"/>
    <mergeCell ref="C62:D62"/>
    <mergeCell ref="C63:D63"/>
    <mergeCell ref="C64:D64"/>
    <mergeCell ref="B65:D65"/>
    <mergeCell ref="C66:D66"/>
    <mergeCell ref="B67:B68"/>
    <mergeCell ref="C71:D71"/>
    <mergeCell ref="C72:D72"/>
    <mergeCell ref="C67:D67"/>
    <mergeCell ref="C68:D68"/>
    <mergeCell ref="A69:A70"/>
    <mergeCell ref="C69:D69"/>
    <mergeCell ref="C70:D70"/>
    <mergeCell ref="B71:B72"/>
    <mergeCell ref="A72:A73"/>
    <mergeCell ref="B75:B76"/>
    <mergeCell ref="B79:B80"/>
    <mergeCell ref="A80:A82"/>
    <mergeCell ref="C73:D73"/>
    <mergeCell ref="C74:D74"/>
    <mergeCell ref="C75:D75"/>
    <mergeCell ref="C76:D76"/>
    <mergeCell ref="A77:A78"/>
    <mergeCell ref="C77:D77"/>
    <mergeCell ref="C78:D78"/>
    <mergeCell ref="C79:D79"/>
    <mergeCell ref="C80:D80"/>
    <mergeCell ref="C81:D81"/>
    <mergeCell ref="C82:D82"/>
    <mergeCell ref="B83:D83"/>
    <mergeCell ref="C84:D84"/>
    <mergeCell ref="B85:B86"/>
    <mergeCell ref="C97:D97"/>
    <mergeCell ref="C98:D98"/>
    <mergeCell ref="B121:B122"/>
    <mergeCell ref="B125:B126"/>
    <mergeCell ref="B119:D119"/>
    <mergeCell ref="C120:D120"/>
    <mergeCell ref="C121:D121"/>
    <mergeCell ref="C122:D122"/>
    <mergeCell ref="C123:D123"/>
    <mergeCell ref="C124:D124"/>
    <mergeCell ref="C125:D125"/>
    <mergeCell ref="C126:D126"/>
    <mergeCell ref="O103:P103"/>
    <mergeCell ref="O107:P107"/>
    <mergeCell ref="O111:P111"/>
    <mergeCell ref="O115:P115"/>
    <mergeCell ref="O119:P119"/>
    <mergeCell ref="Q119:R119"/>
    <mergeCell ref="Q120:R120"/>
    <mergeCell ref="O120:P120"/>
    <mergeCell ref="O121:P121"/>
    <mergeCell ref="O125:P125"/>
    <mergeCell ref="O129:P129"/>
    <mergeCell ref="O133:P133"/>
    <mergeCell ref="O137:P137"/>
    <mergeCell ref="Q137:R137"/>
    <mergeCell ref="C130:D130"/>
    <mergeCell ref="C131:D131"/>
    <mergeCell ref="A123:A124"/>
    <mergeCell ref="A126:A127"/>
    <mergeCell ref="C127:D127"/>
    <mergeCell ref="C128:D128"/>
    <mergeCell ref="C129:D129"/>
    <mergeCell ref="A131:A132"/>
    <mergeCell ref="C132:D132"/>
    <mergeCell ref="C146:D146"/>
    <mergeCell ref="C147:D147"/>
    <mergeCell ref="B139:B140"/>
    <mergeCell ref="B143:B144"/>
    <mergeCell ref="C143:D143"/>
    <mergeCell ref="C144:D144"/>
    <mergeCell ref="C145:D145"/>
    <mergeCell ref="B147:B148"/>
    <mergeCell ref="C148:D148"/>
    <mergeCell ref="C152:D152"/>
    <mergeCell ref="C153:D153"/>
    <mergeCell ref="A144:A145"/>
    <mergeCell ref="A149:A150"/>
    <mergeCell ref="C149:D149"/>
    <mergeCell ref="C150:D150"/>
    <mergeCell ref="B151:B152"/>
    <mergeCell ref="C151:D151"/>
    <mergeCell ref="A152:A154"/>
    <mergeCell ref="C159:D159"/>
    <mergeCell ref="C160:D160"/>
    <mergeCell ref="C154:D154"/>
    <mergeCell ref="B155:D155"/>
    <mergeCell ref="C156:D156"/>
    <mergeCell ref="B157:B158"/>
    <mergeCell ref="C157:D157"/>
    <mergeCell ref="C158:D158"/>
    <mergeCell ref="A159:A160"/>
    <mergeCell ref="C165:D165"/>
    <mergeCell ref="C166:D166"/>
    <mergeCell ref="B161:B162"/>
    <mergeCell ref="C161:D161"/>
    <mergeCell ref="A162:A163"/>
    <mergeCell ref="C162:D162"/>
    <mergeCell ref="C163:D163"/>
    <mergeCell ref="C164:D164"/>
    <mergeCell ref="B165:B166"/>
    <mergeCell ref="C171:D171"/>
    <mergeCell ref="C172:D172"/>
    <mergeCell ref="A167:A168"/>
    <mergeCell ref="C167:D167"/>
    <mergeCell ref="C168:D168"/>
    <mergeCell ref="B169:B170"/>
    <mergeCell ref="C169:D169"/>
    <mergeCell ref="A170:A172"/>
    <mergeCell ref="C170:D170"/>
    <mergeCell ref="B175:B176"/>
    <mergeCell ref="B179:B180"/>
    <mergeCell ref="B173:D173"/>
    <mergeCell ref="C174:D174"/>
    <mergeCell ref="C175:D175"/>
    <mergeCell ref="C176:D176"/>
    <mergeCell ref="C177:D177"/>
    <mergeCell ref="C178:D178"/>
    <mergeCell ref="C179:D179"/>
    <mergeCell ref="B129:B130"/>
    <mergeCell ref="B133:B134"/>
    <mergeCell ref="C133:D133"/>
    <mergeCell ref="A134:A136"/>
    <mergeCell ref="C134:D134"/>
    <mergeCell ref="C135:D135"/>
    <mergeCell ref="C136:D136"/>
    <mergeCell ref="B137:D137"/>
    <mergeCell ref="C138:D138"/>
    <mergeCell ref="C139:D139"/>
    <mergeCell ref="C140:D140"/>
    <mergeCell ref="A141:A142"/>
    <mergeCell ref="C141:D141"/>
    <mergeCell ref="C142:D142"/>
    <mergeCell ref="A180:A181"/>
    <mergeCell ref="A185:A186"/>
    <mergeCell ref="A177:A178"/>
    <mergeCell ref="C180:D180"/>
    <mergeCell ref="C181:D181"/>
    <mergeCell ref="C182:D182"/>
    <mergeCell ref="B183:B184"/>
    <mergeCell ref="C183:D183"/>
    <mergeCell ref="C184:D184"/>
    <mergeCell ref="C91:D91"/>
    <mergeCell ref="C92:D92"/>
    <mergeCell ref="C93:D93"/>
    <mergeCell ref="C94:D94"/>
    <mergeCell ref="A95:A96"/>
    <mergeCell ref="C95:D95"/>
    <mergeCell ref="C96:D96"/>
    <mergeCell ref="C99:D99"/>
    <mergeCell ref="C100:D100"/>
    <mergeCell ref="B101:D101"/>
    <mergeCell ref="C102:D102"/>
    <mergeCell ref="B103:B104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B111:B112"/>
    <mergeCell ref="B115:B116"/>
    <mergeCell ref="B93:B94"/>
    <mergeCell ref="B97:B98"/>
    <mergeCell ref="A98:A100"/>
    <mergeCell ref="A105:A106"/>
    <mergeCell ref="B107:B108"/>
    <mergeCell ref="A108:A109"/>
    <mergeCell ref="A113:A114"/>
    <mergeCell ref="A116:A118"/>
    <mergeCell ref="C112:D112"/>
    <mergeCell ref="C113:D113"/>
    <mergeCell ref="C114:D114"/>
    <mergeCell ref="C115:D115"/>
    <mergeCell ref="C116:D116"/>
    <mergeCell ref="C117:D117"/>
    <mergeCell ref="C118:D118"/>
    <mergeCell ref="C185:D185"/>
    <mergeCell ref="C186:D186"/>
    <mergeCell ref="B187:B188"/>
    <mergeCell ref="C187:D187"/>
    <mergeCell ref="A188:A190"/>
    <mergeCell ref="C188:D188"/>
    <mergeCell ref="C189:D189"/>
    <mergeCell ref="B211:B212"/>
    <mergeCell ref="B215:B216"/>
    <mergeCell ref="B209:D209"/>
    <mergeCell ref="C210:D210"/>
    <mergeCell ref="C211:D211"/>
    <mergeCell ref="C212:D212"/>
    <mergeCell ref="C213:D213"/>
    <mergeCell ref="C214:D214"/>
    <mergeCell ref="C215:D215"/>
    <mergeCell ref="C216:D216"/>
    <mergeCell ref="C220:D220"/>
    <mergeCell ref="C221:D221"/>
    <mergeCell ref="A213:A214"/>
    <mergeCell ref="A216:A217"/>
    <mergeCell ref="C217:D217"/>
    <mergeCell ref="C218:D218"/>
    <mergeCell ref="C219:D219"/>
    <mergeCell ref="A221:A222"/>
    <mergeCell ref="C222:D222"/>
    <mergeCell ref="C236:D236"/>
    <mergeCell ref="C237:D237"/>
    <mergeCell ref="B229:B230"/>
    <mergeCell ref="B233:B234"/>
    <mergeCell ref="C233:D233"/>
    <mergeCell ref="C234:D234"/>
    <mergeCell ref="C235:D235"/>
    <mergeCell ref="B237:B238"/>
    <mergeCell ref="C238:D238"/>
    <mergeCell ref="C242:D242"/>
    <mergeCell ref="C243:D243"/>
    <mergeCell ref="A234:A235"/>
    <mergeCell ref="A239:A240"/>
    <mergeCell ref="C239:D239"/>
    <mergeCell ref="C240:D240"/>
    <mergeCell ref="B241:B242"/>
    <mergeCell ref="C241:D241"/>
    <mergeCell ref="A242:A244"/>
    <mergeCell ref="B219:B220"/>
    <mergeCell ref="B223:B224"/>
    <mergeCell ref="C223:D223"/>
    <mergeCell ref="A224:A226"/>
    <mergeCell ref="C224:D224"/>
    <mergeCell ref="C225:D225"/>
    <mergeCell ref="C226:D226"/>
    <mergeCell ref="B227:D227"/>
    <mergeCell ref="C228:D228"/>
    <mergeCell ref="C229:D229"/>
    <mergeCell ref="C230:D230"/>
    <mergeCell ref="A231:A232"/>
    <mergeCell ref="C231:D231"/>
    <mergeCell ref="C232:D232"/>
    <mergeCell ref="C249:D249"/>
    <mergeCell ref="C250:D250"/>
    <mergeCell ref="C244:D244"/>
    <mergeCell ref="B245:D245"/>
    <mergeCell ref="C246:D246"/>
    <mergeCell ref="B247:B248"/>
    <mergeCell ref="C247:D247"/>
    <mergeCell ref="C248:D248"/>
    <mergeCell ref="A249:A250"/>
    <mergeCell ref="C255:D255"/>
    <mergeCell ref="C256:D256"/>
    <mergeCell ref="B251:B252"/>
    <mergeCell ref="C251:D251"/>
    <mergeCell ref="A252:A253"/>
    <mergeCell ref="C252:D252"/>
    <mergeCell ref="C253:D253"/>
    <mergeCell ref="C254:D254"/>
    <mergeCell ref="B255:B256"/>
    <mergeCell ref="C261:D261"/>
    <mergeCell ref="C262:D262"/>
    <mergeCell ref="A257:A258"/>
    <mergeCell ref="C257:D257"/>
    <mergeCell ref="C258:D258"/>
    <mergeCell ref="B259:B260"/>
    <mergeCell ref="C259:D259"/>
    <mergeCell ref="A260:A262"/>
    <mergeCell ref="C260:D260"/>
    <mergeCell ref="B265:B266"/>
    <mergeCell ref="B269:B270"/>
    <mergeCell ref="B263:D263"/>
    <mergeCell ref="C264:D264"/>
    <mergeCell ref="C265:D265"/>
    <mergeCell ref="C266:D266"/>
    <mergeCell ref="C267:D267"/>
    <mergeCell ref="C268:D268"/>
    <mergeCell ref="C269:D269"/>
    <mergeCell ref="C270:D270"/>
    <mergeCell ref="C274:D274"/>
    <mergeCell ref="C275:D275"/>
    <mergeCell ref="A267:A268"/>
    <mergeCell ref="A270:A271"/>
    <mergeCell ref="C271:D271"/>
    <mergeCell ref="C272:D272"/>
    <mergeCell ref="C273:D273"/>
    <mergeCell ref="A275:A276"/>
    <mergeCell ref="C276:D276"/>
    <mergeCell ref="C290:D290"/>
    <mergeCell ref="C291:D291"/>
    <mergeCell ref="B283:B284"/>
    <mergeCell ref="B287:B288"/>
    <mergeCell ref="C287:D287"/>
    <mergeCell ref="C288:D288"/>
    <mergeCell ref="C289:D289"/>
    <mergeCell ref="B291:B292"/>
    <mergeCell ref="C292:D292"/>
    <mergeCell ref="B273:B274"/>
    <mergeCell ref="B277:B278"/>
    <mergeCell ref="C277:D277"/>
    <mergeCell ref="A278:A280"/>
    <mergeCell ref="C278:D278"/>
    <mergeCell ref="C279:D279"/>
    <mergeCell ref="C280:D280"/>
    <mergeCell ref="B281:D281"/>
    <mergeCell ref="C282:D282"/>
    <mergeCell ref="C283:D283"/>
    <mergeCell ref="C284:D284"/>
    <mergeCell ref="A285:A286"/>
    <mergeCell ref="C285:D285"/>
    <mergeCell ref="C286:D286"/>
    <mergeCell ref="C296:D296"/>
    <mergeCell ref="C297:D297"/>
    <mergeCell ref="A288:A289"/>
    <mergeCell ref="A293:A294"/>
    <mergeCell ref="C293:D293"/>
    <mergeCell ref="C294:D294"/>
    <mergeCell ref="B295:B296"/>
    <mergeCell ref="C295:D295"/>
    <mergeCell ref="A296:A298"/>
    <mergeCell ref="C303:D303"/>
    <mergeCell ref="C304:D304"/>
    <mergeCell ref="C298:D298"/>
    <mergeCell ref="B299:D299"/>
    <mergeCell ref="C300:D300"/>
    <mergeCell ref="B301:B302"/>
    <mergeCell ref="C301:D301"/>
    <mergeCell ref="C302:D302"/>
    <mergeCell ref="A303:A304"/>
    <mergeCell ref="C309:D309"/>
    <mergeCell ref="C310:D310"/>
    <mergeCell ref="B305:B306"/>
    <mergeCell ref="C305:D305"/>
    <mergeCell ref="A306:A307"/>
    <mergeCell ref="C306:D306"/>
    <mergeCell ref="C307:D307"/>
    <mergeCell ref="C308:D308"/>
    <mergeCell ref="B309:B310"/>
    <mergeCell ref="C315:D315"/>
    <mergeCell ref="C316:D316"/>
    <mergeCell ref="A311:A312"/>
    <mergeCell ref="C311:D311"/>
    <mergeCell ref="C312:D312"/>
    <mergeCell ref="B313:B314"/>
    <mergeCell ref="C313:D313"/>
    <mergeCell ref="A314:A316"/>
    <mergeCell ref="C314:D314"/>
    <mergeCell ref="B319:B320"/>
    <mergeCell ref="B323:B324"/>
    <mergeCell ref="B317:D317"/>
    <mergeCell ref="C318:D318"/>
    <mergeCell ref="C319:D319"/>
    <mergeCell ref="C320:D320"/>
    <mergeCell ref="C321:D321"/>
    <mergeCell ref="C322:D322"/>
    <mergeCell ref="C323:D323"/>
    <mergeCell ref="C324:D324"/>
    <mergeCell ref="C328:D328"/>
    <mergeCell ref="C329:D329"/>
    <mergeCell ref="A321:A322"/>
    <mergeCell ref="A324:A325"/>
    <mergeCell ref="C325:D325"/>
    <mergeCell ref="C326:D326"/>
    <mergeCell ref="C327:D327"/>
    <mergeCell ref="A329:A330"/>
    <mergeCell ref="C330:D330"/>
    <mergeCell ref="C344:D344"/>
    <mergeCell ref="C345:D345"/>
    <mergeCell ref="B337:B338"/>
    <mergeCell ref="B341:B342"/>
    <mergeCell ref="C341:D341"/>
    <mergeCell ref="C342:D342"/>
    <mergeCell ref="C343:D343"/>
    <mergeCell ref="B345:B346"/>
    <mergeCell ref="C346:D346"/>
    <mergeCell ref="C350:D350"/>
    <mergeCell ref="C351:D351"/>
    <mergeCell ref="A342:A343"/>
    <mergeCell ref="A347:A348"/>
    <mergeCell ref="C347:D347"/>
    <mergeCell ref="C348:D348"/>
    <mergeCell ref="B349:B350"/>
    <mergeCell ref="C349:D349"/>
    <mergeCell ref="A350:A352"/>
    <mergeCell ref="C357:D357"/>
    <mergeCell ref="C358:D358"/>
    <mergeCell ref="C352:D352"/>
    <mergeCell ref="B353:D353"/>
    <mergeCell ref="C354:D354"/>
    <mergeCell ref="B355:B356"/>
    <mergeCell ref="C355:D355"/>
    <mergeCell ref="C356:D356"/>
    <mergeCell ref="A357:A358"/>
    <mergeCell ref="C363:D363"/>
    <mergeCell ref="C364:D364"/>
    <mergeCell ref="B359:B360"/>
    <mergeCell ref="C359:D359"/>
    <mergeCell ref="A360:A361"/>
    <mergeCell ref="C360:D360"/>
    <mergeCell ref="C361:D361"/>
    <mergeCell ref="C362:D362"/>
    <mergeCell ref="B363:B364"/>
    <mergeCell ref="C369:D369"/>
    <mergeCell ref="C370:D370"/>
    <mergeCell ref="A365:A366"/>
    <mergeCell ref="C365:D365"/>
    <mergeCell ref="C366:D366"/>
    <mergeCell ref="B367:B368"/>
    <mergeCell ref="C367:D367"/>
    <mergeCell ref="A368:A370"/>
    <mergeCell ref="C368:D368"/>
    <mergeCell ref="B373:B374"/>
    <mergeCell ref="B377:B378"/>
    <mergeCell ref="B371:D371"/>
    <mergeCell ref="C372:D372"/>
    <mergeCell ref="C373:D373"/>
    <mergeCell ref="C374:D374"/>
    <mergeCell ref="C375:D375"/>
    <mergeCell ref="C376:D376"/>
    <mergeCell ref="C377:D377"/>
    <mergeCell ref="C378:D378"/>
    <mergeCell ref="A375:A376"/>
    <mergeCell ref="A378:A379"/>
    <mergeCell ref="C379:D379"/>
    <mergeCell ref="C380:D380"/>
    <mergeCell ref="C381:D381"/>
    <mergeCell ref="A383:A384"/>
    <mergeCell ref="C384:D384"/>
    <mergeCell ref="C382:D382"/>
    <mergeCell ref="C383:D383"/>
    <mergeCell ref="A591:R591"/>
    <mergeCell ref="O592:O593"/>
    <mergeCell ref="P592:P593"/>
    <mergeCell ref="Q592:R593"/>
    <mergeCell ref="O594:O595"/>
    <mergeCell ref="A600:R600"/>
    <mergeCell ref="Q598:R599"/>
    <mergeCell ref="O602:R606"/>
    <mergeCell ref="O608:R612"/>
    <mergeCell ref="O614:R618"/>
    <mergeCell ref="O620:R624"/>
    <mergeCell ref="A625:R625"/>
    <mergeCell ref="O627:R631"/>
    <mergeCell ref="P594:P595"/>
    <mergeCell ref="Q594:R595"/>
    <mergeCell ref="O596:O597"/>
    <mergeCell ref="P596:P597"/>
    <mergeCell ref="Q596:R597"/>
    <mergeCell ref="O598:O599"/>
    <mergeCell ref="P598:P599"/>
    <mergeCell ref="O353:P353"/>
    <mergeCell ref="O354:P354"/>
    <mergeCell ref="O355:P355"/>
    <mergeCell ref="O359:P359"/>
    <mergeCell ref="O363:P363"/>
    <mergeCell ref="O367:P367"/>
    <mergeCell ref="Q371:R371"/>
    <mergeCell ref="Q372:R372"/>
    <mergeCell ref="O371:P371"/>
    <mergeCell ref="O372:P372"/>
    <mergeCell ref="O373:P373"/>
    <mergeCell ref="O377:P377"/>
    <mergeCell ref="O381:P381"/>
    <mergeCell ref="O385:P385"/>
    <mergeCell ref="Q389:R389"/>
    <mergeCell ref="O247:P247"/>
    <mergeCell ref="O251:P251"/>
    <mergeCell ref="O255:P255"/>
    <mergeCell ref="O259:P259"/>
    <mergeCell ref="O263:P263"/>
    <mergeCell ref="Q263:R263"/>
    <mergeCell ref="Q264:R264"/>
    <mergeCell ref="O264:P264"/>
    <mergeCell ref="O265:P265"/>
    <mergeCell ref="O269:P269"/>
    <mergeCell ref="O273:P273"/>
    <mergeCell ref="O277:P277"/>
    <mergeCell ref="O281:P281"/>
    <mergeCell ref="Q281:R281"/>
    <mergeCell ref="O282:P282"/>
    <mergeCell ref="Q282:R282"/>
    <mergeCell ref="O283:P283"/>
    <mergeCell ref="O287:P287"/>
    <mergeCell ref="O291:P291"/>
    <mergeCell ref="O295:P295"/>
    <mergeCell ref="Q299:R299"/>
    <mergeCell ref="Q300:R300"/>
    <mergeCell ref="O299:P299"/>
    <mergeCell ref="O300:P300"/>
    <mergeCell ref="O301:P301"/>
    <mergeCell ref="O305:P305"/>
    <mergeCell ref="O309:P309"/>
    <mergeCell ref="O313:P313"/>
    <mergeCell ref="Q317:R317"/>
    <mergeCell ref="Q318:R318"/>
    <mergeCell ref="O317:P317"/>
    <mergeCell ref="O318:P318"/>
    <mergeCell ref="O319:P319"/>
    <mergeCell ref="O323:P323"/>
    <mergeCell ref="O327:P327"/>
    <mergeCell ref="O331:P331"/>
    <mergeCell ref="Q335:R335"/>
    <mergeCell ref="Q336:R336"/>
    <mergeCell ref="O335:P335"/>
    <mergeCell ref="O336:P336"/>
    <mergeCell ref="O337:P337"/>
    <mergeCell ref="O341:P341"/>
    <mergeCell ref="O345:P345"/>
    <mergeCell ref="O349:P349"/>
    <mergeCell ref="Q353:R353"/>
    <mergeCell ref="Q354:R354"/>
    <mergeCell ref="O449:P449"/>
    <mergeCell ref="O453:P453"/>
    <mergeCell ref="O457:P457"/>
    <mergeCell ref="O461:P461"/>
    <mergeCell ref="Q461:R461"/>
    <mergeCell ref="O474:P474"/>
    <mergeCell ref="Q474:R474"/>
    <mergeCell ref="O138:P138"/>
    <mergeCell ref="Q138:R138"/>
    <mergeCell ref="O139:P139"/>
    <mergeCell ref="O143:P143"/>
    <mergeCell ref="O147:P147"/>
    <mergeCell ref="O151:P151"/>
    <mergeCell ref="Q155:R155"/>
    <mergeCell ref="Q156:R156"/>
    <mergeCell ref="O155:P155"/>
    <mergeCell ref="O156:P156"/>
    <mergeCell ref="O157:P157"/>
    <mergeCell ref="O161:P161"/>
    <mergeCell ref="O165:P165"/>
    <mergeCell ref="O169:P169"/>
    <mergeCell ref="Q173:R173"/>
    <mergeCell ref="O173:P173"/>
    <mergeCell ref="O174:P174"/>
    <mergeCell ref="Q174:R174"/>
    <mergeCell ref="O175:P175"/>
    <mergeCell ref="O179:P179"/>
    <mergeCell ref="O183:P183"/>
    <mergeCell ref="O187:P187"/>
    <mergeCell ref="O191:P191"/>
    <mergeCell ref="Q191:R191"/>
    <mergeCell ref="O192:P192"/>
    <mergeCell ref="Q192:R192"/>
    <mergeCell ref="O193:P193"/>
    <mergeCell ref="O197:P197"/>
    <mergeCell ref="O201:P201"/>
    <mergeCell ref="O205:P205"/>
    <mergeCell ref="O209:P209"/>
    <mergeCell ref="Q209:R209"/>
    <mergeCell ref="O210:P210"/>
    <mergeCell ref="Q210:R210"/>
    <mergeCell ref="O211:P211"/>
    <mergeCell ref="O215:P215"/>
    <mergeCell ref="O219:P219"/>
    <mergeCell ref="O223:P223"/>
    <mergeCell ref="O227:P227"/>
    <mergeCell ref="Q227:R227"/>
    <mergeCell ref="O228:P228"/>
    <mergeCell ref="Q228:R228"/>
    <mergeCell ref="O229:P229"/>
    <mergeCell ref="O11:P11"/>
    <mergeCell ref="Q11:R11"/>
    <mergeCell ref="O12:P12"/>
    <mergeCell ref="Q12:R12"/>
    <mergeCell ref="O13:P13"/>
    <mergeCell ref="O17:P17"/>
    <mergeCell ref="O21:P21"/>
    <mergeCell ref="O25:P25"/>
    <mergeCell ref="O29:P29"/>
    <mergeCell ref="Q29:R29"/>
    <mergeCell ref="O30:P30"/>
    <mergeCell ref="Q30:R30"/>
    <mergeCell ref="O31:P31"/>
    <mergeCell ref="O35:P35"/>
    <mergeCell ref="O47:P47"/>
    <mergeCell ref="Q47:R47"/>
    <mergeCell ref="O48:P48"/>
    <mergeCell ref="Q48:R48"/>
    <mergeCell ref="O49:P49"/>
    <mergeCell ref="O53:P53"/>
    <mergeCell ref="O57:P57"/>
    <mergeCell ref="O61:P61"/>
    <mergeCell ref="O65:P65"/>
    <mergeCell ref="Q65:R65"/>
    <mergeCell ref="O66:P66"/>
    <mergeCell ref="Q66:R66"/>
    <mergeCell ref="O67:P67"/>
    <mergeCell ref="O71:P71"/>
    <mergeCell ref="O75:P75"/>
    <mergeCell ref="O79:P79"/>
    <mergeCell ref="O83:P83"/>
    <mergeCell ref="Q83:R83"/>
    <mergeCell ref="O84:P84"/>
    <mergeCell ref="Q84:R84"/>
    <mergeCell ref="O85:P85"/>
    <mergeCell ref="O89:P89"/>
    <mergeCell ref="O93:P93"/>
    <mergeCell ref="O97:P97"/>
    <mergeCell ref="O101:P101"/>
    <mergeCell ref="Q101:R101"/>
    <mergeCell ref="O102:P102"/>
    <mergeCell ref="Q102:R102"/>
    <mergeCell ref="O233:P233"/>
    <mergeCell ref="O237:P237"/>
    <mergeCell ref="O241:P241"/>
    <mergeCell ref="O245:P245"/>
    <mergeCell ref="Q245:R245"/>
    <mergeCell ref="O246:P246"/>
    <mergeCell ref="Q246:R246"/>
    <mergeCell ref="O389:P389"/>
    <mergeCell ref="O390:P390"/>
    <mergeCell ref="Q390:R390"/>
    <mergeCell ref="O391:P391"/>
    <mergeCell ref="O395:P395"/>
    <mergeCell ref="O399:P399"/>
    <mergeCell ref="O403:P403"/>
    <mergeCell ref="O407:P407"/>
    <mergeCell ref="Q407:R407"/>
    <mergeCell ref="O408:P408"/>
    <mergeCell ref="Q408:R408"/>
    <mergeCell ref="O409:P409"/>
    <mergeCell ref="O413:P413"/>
    <mergeCell ref="O417:P417"/>
    <mergeCell ref="O421:P421"/>
    <mergeCell ref="O425:P425"/>
    <mergeCell ref="Q425:R425"/>
    <mergeCell ref="O426:P426"/>
    <mergeCell ref="Q426:R426"/>
    <mergeCell ref="O427:P427"/>
    <mergeCell ref="O431:P431"/>
    <mergeCell ref="O435:P435"/>
    <mergeCell ref="O439:P439"/>
    <mergeCell ref="O443:P443"/>
    <mergeCell ref="Q443:R443"/>
    <mergeCell ref="O444:P444"/>
    <mergeCell ref="Q444:R444"/>
    <mergeCell ref="O445:P445"/>
    <mergeCell ref="O487:P487"/>
    <mergeCell ref="Q487:R487"/>
    <mergeCell ref="O500:P500"/>
    <mergeCell ref="Q500:R500"/>
    <mergeCell ref="O513:P513"/>
    <mergeCell ref="Q513:R513"/>
    <mergeCell ref="Q526:R526"/>
    <mergeCell ref="O578:P578"/>
    <mergeCell ref="Q578:R578"/>
    <mergeCell ref="O526:P526"/>
    <mergeCell ref="O539:P539"/>
    <mergeCell ref="Q539:R539"/>
    <mergeCell ref="O552:P552"/>
    <mergeCell ref="Q552:R552"/>
    <mergeCell ref="O565:P565"/>
    <mergeCell ref="Q565:R565"/>
  </mergeCells>
  <printOptions/>
  <pageMargins bottom="1.025" footer="0.0" header="0.0" left="0.7875" right="0.7875" top="1.025"/>
  <pageSetup paperSize="9" orientation="portrait"/>
  <headerFooter>
    <oddHeader>&amp;C&amp;A</oddHeader>
    <oddFooter>&amp;CPágina &amp;P</oddFooter>
  </headerFooter>
  <drawing r:id="rId1"/>
</worksheet>
</file>